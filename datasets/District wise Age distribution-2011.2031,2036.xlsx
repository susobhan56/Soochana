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cysd1\Dropbox\DIU_CYSD\Demographic Data &amp; Reports\Antim\"/>
    </mc:Choice>
  </mc:AlternateContent>
  <xr:revisionPtr revIDLastSave="0" documentId="13_ncr:1_{E42806A6-2BD5-4DD9-BD45-43486450728D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Sheet1" sheetId="1" r:id="rId1"/>
    <sheet name="Sheet2" sheetId="2" r:id="rId2"/>
    <sheet name="Sheet4" sheetId="4" r:id="rId3"/>
    <sheet name="2036" sheetId="5" r:id="rId4"/>
    <sheet name="2031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2" l="1"/>
  <c r="G12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4" i="6"/>
  <c r="AC8" i="6"/>
  <c r="AC24" i="6"/>
  <c r="AB11" i="6"/>
  <c r="AA12" i="6"/>
  <c r="AA16" i="6"/>
  <c r="AC16" i="6" s="1"/>
  <c r="AA27" i="6"/>
  <c r="AB27" i="6"/>
  <c r="AA28" i="6"/>
  <c r="AA34" i="6"/>
  <c r="AC34" i="6" s="1"/>
  <c r="Z34" i="6" s="1"/>
  <c r="AB34" i="6"/>
  <c r="Y34" i="6"/>
  <c r="S5" i="6"/>
  <c r="S21" i="6"/>
  <c r="S28" i="6"/>
  <c r="S34" i="6"/>
  <c r="T34" i="6" s="1"/>
  <c r="M34" i="6"/>
  <c r="N34" i="6" s="1"/>
  <c r="G34" i="6"/>
  <c r="H34" i="6" s="1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4" i="6"/>
  <c r="V5" i="6"/>
  <c r="V6" i="6"/>
  <c r="Y6" i="6" s="1"/>
  <c r="V7" i="6"/>
  <c r="V8" i="6"/>
  <c r="V9" i="6"/>
  <c r="V10" i="6"/>
  <c r="V11" i="6"/>
  <c r="V12" i="6"/>
  <c r="V13" i="6"/>
  <c r="V14" i="6"/>
  <c r="Y14" i="6" s="1"/>
  <c r="V15" i="6"/>
  <c r="V16" i="6"/>
  <c r="V17" i="6"/>
  <c r="V18" i="6"/>
  <c r="V19" i="6"/>
  <c r="V20" i="6"/>
  <c r="V21" i="6"/>
  <c r="V22" i="6"/>
  <c r="Y22" i="6" s="1"/>
  <c r="V23" i="6"/>
  <c r="V24" i="6"/>
  <c r="V25" i="6"/>
  <c r="V26" i="6"/>
  <c r="V27" i="6"/>
  <c r="V28" i="6"/>
  <c r="V29" i="6"/>
  <c r="V30" i="6"/>
  <c r="Y30" i="6" s="1"/>
  <c r="V31" i="6"/>
  <c r="V32" i="6"/>
  <c r="V33" i="6"/>
  <c r="V4" i="6"/>
  <c r="R5" i="6"/>
  <c r="R6" i="6"/>
  <c r="R7" i="6"/>
  <c r="S7" i="6" s="1"/>
  <c r="R8" i="6"/>
  <c r="S8" i="6" s="1"/>
  <c r="R9" i="6"/>
  <c r="R10" i="6"/>
  <c r="R11" i="6"/>
  <c r="R12" i="6"/>
  <c r="S12" i="6" s="1"/>
  <c r="R13" i="6"/>
  <c r="R14" i="6"/>
  <c r="R15" i="6"/>
  <c r="S15" i="6" s="1"/>
  <c r="R16" i="6"/>
  <c r="S16" i="6" s="1"/>
  <c r="R17" i="6"/>
  <c r="R18" i="6"/>
  <c r="R19" i="6"/>
  <c r="R20" i="6"/>
  <c r="S20" i="6" s="1"/>
  <c r="R21" i="6"/>
  <c r="R22" i="6"/>
  <c r="R23" i="6"/>
  <c r="S23" i="6" s="1"/>
  <c r="R24" i="6"/>
  <c r="S24" i="6" s="1"/>
  <c r="R25" i="6"/>
  <c r="R26" i="6"/>
  <c r="R27" i="6"/>
  <c r="R28" i="6"/>
  <c r="R29" i="6"/>
  <c r="R30" i="6"/>
  <c r="R31" i="6"/>
  <c r="S31" i="6" s="1"/>
  <c r="R32" i="6"/>
  <c r="S32" i="6" s="1"/>
  <c r="R33" i="6"/>
  <c r="R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4" i="6"/>
  <c r="L5" i="6"/>
  <c r="L6" i="6"/>
  <c r="L7" i="6"/>
  <c r="L8" i="6"/>
  <c r="L9" i="6"/>
  <c r="L10" i="6"/>
  <c r="AB10" i="6" s="1"/>
  <c r="L11" i="6"/>
  <c r="L12" i="6"/>
  <c r="L13" i="6"/>
  <c r="L14" i="6"/>
  <c r="L15" i="6"/>
  <c r="L16" i="6"/>
  <c r="L17" i="6"/>
  <c r="L18" i="6"/>
  <c r="AB18" i="6" s="1"/>
  <c r="L19" i="6"/>
  <c r="L20" i="6"/>
  <c r="L21" i="6"/>
  <c r="L22" i="6"/>
  <c r="L23" i="6"/>
  <c r="L24" i="6"/>
  <c r="L25" i="6"/>
  <c r="L26" i="6"/>
  <c r="AB26" i="6" s="1"/>
  <c r="L27" i="6"/>
  <c r="L28" i="6"/>
  <c r="L29" i="6"/>
  <c r="L30" i="6"/>
  <c r="L31" i="6"/>
  <c r="L32" i="6"/>
  <c r="L33" i="6"/>
  <c r="L4" i="6"/>
  <c r="J5" i="6"/>
  <c r="J6" i="6"/>
  <c r="M6" i="6" s="1"/>
  <c r="J7" i="6"/>
  <c r="J8" i="6"/>
  <c r="J9" i="6"/>
  <c r="J10" i="6"/>
  <c r="J11" i="6"/>
  <c r="M11" i="6" s="1"/>
  <c r="J12" i="6"/>
  <c r="J13" i="6"/>
  <c r="J14" i="6"/>
  <c r="M14" i="6" s="1"/>
  <c r="J15" i="6"/>
  <c r="J16" i="6"/>
  <c r="J17" i="6"/>
  <c r="J18" i="6"/>
  <c r="J19" i="6"/>
  <c r="J20" i="6"/>
  <c r="J21" i="6"/>
  <c r="J22" i="6"/>
  <c r="M22" i="6" s="1"/>
  <c r="J23" i="6"/>
  <c r="J24" i="6"/>
  <c r="J25" i="6"/>
  <c r="J26" i="6"/>
  <c r="J27" i="6"/>
  <c r="M27" i="6" s="1"/>
  <c r="J28" i="6"/>
  <c r="J29" i="6"/>
  <c r="J30" i="6"/>
  <c r="M30" i="6" s="1"/>
  <c r="J31" i="6"/>
  <c r="J32" i="6"/>
  <c r="J33" i="6"/>
  <c r="J4" i="6"/>
  <c r="F5" i="6"/>
  <c r="F6" i="6"/>
  <c r="AB6" i="6" s="1"/>
  <c r="F7" i="6"/>
  <c r="AB7" i="6" s="1"/>
  <c r="F8" i="6"/>
  <c r="AB8" i="6" s="1"/>
  <c r="F9" i="6"/>
  <c r="F10" i="6"/>
  <c r="F11" i="6"/>
  <c r="F12" i="6"/>
  <c r="F13" i="6"/>
  <c r="F14" i="6"/>
  <c r="AB14" i="6" s="1"/>
  <c r="F15" i="6"/>
  <c r="AB15" i="6" s="1"/>
  <c r="F16" i="6"/>
  <c r="AB16" i="6" s="1"/>
  <c r="F17" i="6"/>
  <c r="F18" i="6"/>
  <c r="F19" i="6"/>
  <c r="AB19" i="6" s="1"/>
  <c r="F20" i="6"/>
  <c r="F21" i="6"/>
  <c r="F22" i="6"/>
  <c r="AB22" i="6" s="1"/>
  <c r="F23" i="6"/>
  <c r="AB23" i="6" s="1"/>
  <c r="F24" i="6"/>
  <c r="AB24" i="6" s="1"/>
  <c r="F25" i="6"/>
  <c r="F26" i="6"/>
  <c r="F27" i="6"/>
  <c r="F28" i="6"/>
  <c r="F29" i="6"/>
  <c r="F30" i="6"/>
  <c r="AB30" i="6" s="1"/>
  <c r="F31" i="6"/>
  <c r="G31" i="6" s="1"/>
  <c r="F32" i="6"/>
  <c r="AB32" i="6" s="1"/>
  <c r="F33" i="6"/>
  <c r="F4" i="6"/>
  <c r="AB4" i="6" s="1"/>
  <c r="D5" i="6"/>
  <c r="D6" i="6"/>
  <c r="D7" i="6"/>
  <c r="D8" i="6"/>
  <c r="AA8" i="6" s="1"/>
  <c r="D9" i="6"/>
  <c r="D10" i="6"/>
  <c r="D11" i="6"/>
  <c r="AA11" i="6" s="1"/>
  <c r="AC11" i="6" s="1"/>
  <c r="D12" i="6"/>
  <c r="D13" i="6"/>
  <c r="D14" i="6"/>
  <c r="D15" i="6"/>
  <c r="D16" i="6"/>
  <c r="D17" i="6"/>
  <c r="D18" i="6"/>
  <c r="D19" i="6"/>
  <c r="AA19" i="6" s="1"/>
  <c r="D20" i="6"/>
  <c r="AA20" i="6" s="1"/>
  <c r="D21" i="6"/>
  <c r="D22" i="6"/>
  <c r="D23" i="6"/>
  <c r="D24" i="6"/>
  <c r="AA24" i="6" s="1"/>
  <c r="D25" i="6"/>
  <c r="D26" i="6"/>
  <c r="D27" i="6"/>
  <c r="D28" i="6"/>
  <c r="D29" i="6"/>
  <c r="D30" i="6"/>
  <c r="D31" i="6"/>
  <c r="D32" i="6"/>
  <c r="AA32" i="6" s="1"/>
  <c r="AC32" i="6" s="1"/>
  <c r="D33" i="6"/>
  <c r="D4" i="6"/>
  <c r="G4" i="6" s="1"/>
  <c r="N14" i="6" l="1"/>
  <c r="AC27" i="6"/>
  <c r="N27" i="6" s="1"/>
  <c r="T32" i="6"/>
  <c r="T24" i="6"/>
  <c r="T16" i="6"/>
  <c r="T8" i="6"/>
  <c r="Z30" i="6"/>
  <c r="Z22" i="6"/>
  <c r="Z14" i="6"/>
  <c r="M29" i="6"/>
  <c r="M21" i="6"/>
  <c r="M13" i="6"/>
  <c r="M5" i="6"/>
  <c r="T23" i="6"/>
  <c r="T15" i="6"/>
  <c r="Y29" i="6"/>
  <c r="Y21" i="6"/>
  <c r="Y13" i="6"/>
  <c r="Y5" i="6"/>
  <c r="M28" i="6"/>
  <c r="M12" i="6"/>
  <c r="Y12" i="6"/>
  <c r="AC19" i="6"/>
  <c r="N11" i="6"/>
  <c r="AA31" i="6"/>
  <c r="AA23" i="6"/>
  <c r="AC23" i="6" s="1"/>
  <c r="AB21" i="6"/>
  <c r="AB5" i="6"/>
  <c r="AB33" i="6"/>
  <c r="AB25" i="6"/>
  <c r="AB9" i="6"/>
  <c r="Y11" i="6"/>
  <c r="Z11" i="6" s="1"/>
  <c r="AA30" i="6"/>
  <c r="AC30" i="6" s="1"/>
  <c r="N30" i="6" s="1"/>
  <c r="AB28" i="6"/>
  <c r="AC28" i="6" s="1"/>
  <c r="T28" i="6" s="1"/>
  <c r="AB20" i="6"/>
  <c r="AC20" i="6" s="1"/>
  <c r="T20" i="6" s="1"/>
  <c r="AB12" i="6"/>
  <c r="AC12" i="6" s="1"/>
  <c r="T12" i="6" s="1"/>
  <c r="M4" i="6"/>
  <c r="M26" i="6"/>
  <c r="M18" i="6"/>
  <c r="N18" i="6" s="1"/>
  <c r="S29" i="6"/>
  <c r="S27" i="6"/>
  <c r="S19" i="6"/>
  <c r="T19" i="6" s="1"/>
  <c r="S11" i="6"/>
  <c r="T11" i="6" s="1"/>
  <c r="AB29" i="6"/>
  <c r="AB13" i="6"/>
  <c r="AB17" i="6"/>
  <c r="G14" i="6"/>
  <c r="AA14" i="6"/>
  <c r="AC14" i="6" s="1"/>
  <c r="G6" i="6"/>
  <c r="AA6" i="6"/>
  <c r="AC6" i="6" s="1"/>
  <c r="N6" i="6" s="1"/>
  <c r="AA4" i="6"/>
  <c r="AC4" i="6" s="1"/>
  <c r="H4" i="6" s="1"/>
  <c r="G18" i="6"/>
  <c r="H18" i="6" s="1"/>
  <c r="AA18" i="6"/>
  <c r="AC18" i="6" s="1"/>
  <c r="G10" i="6"/>
  <c r="AA10" i="6"/>
  <c r="AC10" i="6" s="1"/>
  <c r="G25" i="6"/>
  <c r="AA25" i="6"/>
  <c r="AC25" i="6" s="1"/>
  <c r="G17" i="6"/>
  <c r="AA17" i="6"/>
  <c r="AC17" i="6" s="1"/>
  <c r="G32" i="6"/>
  <c r="H32" i="6" s="1"/>
  <c r="G24" i="6"/>
  <c r="H24" i="6" s="1"/>
  <c r="G16" i="6"/>
  <c r="H16" i="6" s="1"/>
  <c r="G8" i="6"/>
  <c r="H8" i="6" s="1"/>
  <c r="M20" i="6"/>
  <c r="Y28" i="6"/>
  <c r="Y20" i="6"/>
  <c r="G30" i="6"/>
  <c r="H30" i="6" s="1"/>
  <c r="AB31" i="6"/>
  <c r="G22" i="6"/>
  <c r="AA22" i="6"/>
  <c r="AC22" i="6" s="1"/>
  <c r="N22" i="6" s="1"/>
  <c r="G26" i="6"/>
  <c r="AA26" i="6"/>
  <c r="AC26" i="6" s="1"/>
  <c r="G33" i="6"/>
  <c r="AA33" i="6"/>
  <c r="AC33" i="6" s="1"/>
  <c r="G9" i="6"/>
  <c r="AA9" i="6"/>
  <c r="AC9" i="6" s="1"/>
  <c r="G15" i="6"/>
  <c r="G7" i="6"/>
  <c r="M19" i="6"/>
  <c r="N19" i="6" s="1"/>
  <c r="Y27" i="6"/>
  <c r="Y19" i="6"/>
  <c r="Z19" i="6" s="1"/>
  <c r="G23" i="6"/>
  <c r="H23" i="6" s="1"/>
  <c r="AA15" i="6"/>
  <c r="AC15" i="6" s="1"/>
  <c r="AA7" i="6"/>
  <c r="AC7" i="6" s="1"/>
  <c r="T7" i="6" s="1"/>
  <c r="M10" i="6"/>
  <c r="S30" i="6"/>
  <c r="S22" i="6"/>
  <c r="T22" i="6" s="1"/>
  <c r="S14" i="6"/>
  <c r="T14" i="6" s="1"/>
  <c r="S6" i="6"/>
  <c r="Y4" i="6"/>
  <c r="Y26" i="6"/>
  <c r="Z26" i="6" s="1"/>
  <c r="Y18" i="6"/>
  <c r="Z18" i="6" s="1"/>
  <c r="Y10" i="6"/>
  <c r="G29" i="6"/>
  <c r="G21" i="6"/>
  <c r="G13" i="6"/>
  <c r="G5" i="6"/>
  <c r="M33" i="6"/>
  <c r="N33" i="6" s="1"/>
  <c r="M25" i="6"/>
  <c r="N25" i="6" s="1"/>
  <c r="M17" i="6"/>
  <c r="N17" i="6" s="1"/>
  <c r="M9" i="6"/>
  <c r="S13" i="6"/>
  <c r="Y33" i="6"/>
  <c r="Y25" i="6"/>
  <c r="Y17" i="6"/>
  <c r="Y9" i="6"/>
  <c r="S4" i="6"/>
  <c r="T4" i="6" s="1"/>
  <c r="S26" i="6"/>
  <c r="T26" i="6" s="1"/>
  <c r="S18" i="6"/>
  <c r="T18" i="6" s="1"/>
  <c r="S10" i="6"/>
  <c r="G27" i="6"/>
  <c r="G19" i="6"/>
  <c r="H19" i="6" s="1"/>
  <c r="G11" i="6"/>
  <c r="H11" i="6" s="1"/>
  <c r="M31" i="6"/>
  <c r="M23" i="6"/>
  <c r="N23" i="6" s="1"/>
  <c r="M15" i="6"/>
  <c r="N15" i="6" s="1"/>
  <c r="M7" i="6"/>
  <c r="S33" i="6"/>
  <c r="S25" i="6"/>
  <c r="S17" i="6"/>
  <c r="S9" i="6"/>
  <c r="Y31" i="6"/>
  <c r="Y23" i="6"/>
  <c r="Z23" i="6" s="1"/>
  <c r="Y15" i="6"/>
  <c r="Z15" i="6" s="1"/>
  <c r="Y7" i="6"/>
  <c r="AA29" i="6"/>
  <c r="AA21" i="6"/>
  <c r="AA13" i="6"/>
  <c r="AC13" i="6" s="1"/>
  <c r="AA5" i="6"/>
  <c r="G28" i="6"/>
  <c r="G20" i="6"/>
  <c r="M32" i="6"/>
  <c r="N32" i="6" s="1"/>
  <c r="M24" i="6"/>
  <c r="N24" i="6" s="1"/>
  <c r="M16" i="6"/>
  <c r="N16" i="6" s="1"/>
  <c r="M8" i="6"/>
  <c r="N8" i="6" s="1"/>
  <c r="Y32" i="6"/>
  <c r="Z32" i="6" s="1"/>
  <c r="Y24" i="6"/>
  <c r="Z24" i="6" s="1"/>
  <c r="Y16" i="6"/>
  <c r="Z16" i="6" s="1"/>
  <c r="Y8" i="6"/>
  <c r="Z8" i="6" s="1"/>
  <c r="N12" i="6" l="1"/>
  <c r="T6" i="6"/>
  <c r="H12" i="6"/>
  <c r="Z12" i="6"/>
  <c r="H20" i="6"/>
  <c r="H9" i="6"/>
  <c r="H28" i="6"/>
  <c r="Z9" i="6"/>
  <c r="Z4" i="6"/>
  <c r="Z20" i="6"/>
  <c r="H17" i="6"/>
  <c r="N28" i="6"/>
  <c r="AC5" i="6"/>
  <c r="T5" i="6" s="1"/>
  <c r="T9" i="6"/>
  <c r="Z17" i="6"/>
  <c r="H33" i="6"/>
  <c r="Z28" i="6"/>
  <c r="H6" i="6"/>
  <c r="T27" i="6"/>
  <c r="AC31" i="6"/>
  <c r="Z5" i="6"/>
  <c r="T17" i="6"/>
  <c r="Z25" i="6"/>
  <c r="H13" i="6"/>
  <c r="Z27" i="6"/>
  <c r="N20" i="6"/>
  <c r="H25" i="6"/>
  <c r="T29" i="6"/>
  <c r="Z13" i="6"/>
  <c r="N13" i="6"/>
  <c r="AC21" i="6"/>
  <c r="T21" i="6" s="1"/>
  <c r="T25" i="6"/>
  <c r="H27" i="6"/>
  <c r="Z33" i="6"/>
  <c r="H21" i="6"/>
  <c r="H26" i="6"/>
  <c r="H14" i="6"/>
  <c r="N21" i="6"/>
  <c r="AC29" i="6"/>
  <c r="T33" i="6"/>
  <c r="T10" i="6"/>
  <c r="T13" i="6"/>
  <c r="H29" i="6"/>
  <c r="T30" i="6"/>
  <c r="H7" i="6"/>
  <c r="H10" i="6"/>
  <c r="N26" i="6"/>
  <c r="Z29" i="6"/>
  <c r="N29" i="6"/>
  <c r="Z7" i="6"/>
  <c r="N7" i="6"/>
  <c r="N9" i="6"/>
  <c r="Z10" i="6"/>
  <c r="N10" i="6"/>
  <c r="H15" i="6"/>
  <c r="H22" i="6"/>
  <c r="N4" i="6"/>
  <c r="Z6" i="6"/>
  <c r="H31" i="6" l="1"/>
  <c r="T31" i="6"/>
  <c r="Z21" i="6"/>
  <c r="H5" i="6"/>
  <c r="Z31" i="6"/>
  <c r="N5" i="6"/>
  <c r="N31" i="6"/>
  <c r="E5" i="4" l="1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5" i="5"/>
  <c r="M26" i="5"/>
  <c r="P6" i="5"/>
  <c r="Q6" i="5" s="1"/>
  <c r="P7" i="5"/>
  <c r="Q7" i="5" s="1"/>
  <c r="P8" i="5"/>
  <c r="Q8" i="5" s="1"/>
  <c r="P9" i="5"/>
  <c r="Q9" i="5" s="1"/>
  <c r="P10" i="5"/>
  <c r="Q10" i="5" s="1"/>
  <c r="P11" i="5"/>
  <c r="Q11" i="5" s="1"/>
  <c r="P12" i="5"/>
  <c r="Q12" i="5" s="1"/>
  <c r="P13" i="5"/>
  <c r="Q13" i="5" s="1"/>
  <c r="P14" i="5"/>
  <c r="Q14" i="5" s="1"/>
  <c r="P15" i="5"/>
  <c r="Q15" i="5" s="1"/>
  <c r="P16" i="5"/>
  <c r="Q16" i="5" s="1"/>
  <c r="P17" i="5"/>
  <c r="Q17" i="5" s="1"/>
  <c r="P18" i="5"/>
  <c r="Q18" i="5" s="1"/>
  <c r="P19" i="5"/>
  <c r="Q19" i="5" s="1"/>
  <c r="P20" i="5"/>
  <c r="Q20" i="5" s="1"/>
  <c r="P21" i="5"/>
  <c r="Q21" i="5" s="1"/>
  <c r="P22" i="5"/>
  <c r="Q22" i="5" s="1"/>
  <c r="P23" i="5"/>
  <c r="Q23" i="5" s="1"/>
  <c r="P24" i="5"/>
  <c r="Q24" i="5" s="1"/>
  <c r="P25" i="5"/>
  <c r="Q25" i="5" s="1"/>
  <c r="P26" i="5"/>
  <c r="Q26" i="5" s="1"/>
  <c r="P27" i="5"/>
  <c r="Q27" i="5" s="1"/>
  <c r="P28" i="5"/>
  <c r="Q28" i="5" s="1"/>
  <c r="P29" i="5"/>
  <c r="Q29" i="5" s="1"/>
  <c r="P30" i="5"/>
  <c r="Q30" i="5" s="1"/>
  <c r="P31" i="5"/>
  <c r="Q31" i="5" s="1"/>
  <c r="P32" i="5"/>
  <c r="Q32" i="5" s="1"/>
  <c r="P33" i="5"/>
  <c r="Q33" i="5" s="1"/>
  <c r="P34" i="5"/>
  <c r="Q34" i="5" s="1"/>
  <c r="P35" i="5"/>
  <c r="Q35" i="5" s="1"/>
  <c r="P5" i="5"/>
  <c r="Q5" i="5" s="1"/>
  <c r="L6" i="5"/>
  <c r="M6" i="5" s="1"/>
  <c r="L7" i="5"/>
  <c r="M7" i="5" s="1"/>
  <c r="L8" i="5"/>
  <c r="M8" i="5" s="1"/>
  <c r="L9" i="5"/>
  <c r="M9" i="5" s="1"/>
  <c r="L10" i="5"/>
  <c r="M10" i="5" s="1"/>
  <c r="L11" i="5"/>
  <c r="M11" i="5" s="1"/>
  <c r="L12" i="5"/>
  <c r="M12" i="5" s="1"/>
  <c r="L13" i="5"/>
  <c r="M13" i="5" s="1"/>
  <c r="L14" i="5"/>
  <c r="M14" i="5" s="1"/>
  <c r="L15" i="5"/>
  <c r="M15" i="5" s="1"/>
  <c r="L16" i="5"/>
  <c r="M16" i="5" s="1"/>
  <c r="L17" i="5"/>
  <c r="M17" i="5" s="1"/>
  <c r="L18" i="5"/>
  <c r="M18" i="5" s="1"/>
  <c r="L19" i="5"/>
  <c r="M19" i="5" s="1"/>
  <c r="L20" i="5"/>
  <c r="M20" i="5" s="1"/>
  <c r="L21" i="5"/>
  <c r="M21" i="5" s="1"/>
  <c r="L22" i="5"/>
  <c r="M22" i="5" s="1"/>
  <c r="L23" i="5"/>
  <c r="M23" i="5" s="1"/>
  <c r="L24" i="5"/>
  <c r="M24" i="5" s="1"/>
  <c r="L25" i="5"/>
  <c r="M25" i="5" s="1"/>
  <c r="L26" i="5"/>
  <c r="L27" i="5"/>
  <c r="M27" i="5" s="1"/>
  <c r="L28" i="5"/>
  <c r="M28" i="5" s="1"/>
  <c r="L29" i="5"/>
  <c r="M29" i="5" s="1"/>
  <c r="L30" i="5"/>
  <c r="M30" i="5" s="1"/>
  <c r="L31" i="5"/>
  <c r="M31" i="5" s="1"/>
  <c r="L32" i="5"/>
  <c r="M32" i="5" s="1"/>
  <c r="L33" i="5"/>
  <c r="M33" i="5" s="1"/>
  <c r="L34" i="5"/>
  <c r="M34" i="5" s="1"/>
  <c r="L35" i="5"/>
  <c r="M35" i="5" s="1"/>
  <c r="L5" i="5"/>
  <c r="M5" i="5" s="1"/>
  <c r="H6" i="5"/>
  <c r="I6" i="5" s="1"/>
  <c r="H7" i="5"/>
  <c r="I7" i="5" s="1"/>
  <c r="H8" i="5"/>
  <c r="I8" i="5" s="1"/>
  <c r="H9" i="5"/>
  <c r="I9" i="5" s="1"/>
  <c r="H10" i="5"/>
  <c r="I10" i="5" s="1"/>
  <c r="H11" i="5"/>
  <c r="I11" i="5" s="1"/>
  <c r="H12" i="5"/>
  <c r="I12" i="5" s="1"/>
  <c r="H13" i="5"/>
  <c r="I13" i="5" s="1"/>
  <c r="H14" i="5"/>
  <c r="I14" i="5" s="1"/>
  <c r="H15" i="5"/>
  <c r="I15" i="5" s="1"/>
  <c r="H16" i="5"/>
  <c r="I16" i="5" s="1"/>
  <c r="H17" i="5"/>
  <c r="I17" i="5" s="1"/>
  <c r="H18" i="5"/>
  <c r="I18" i="5" s="1"/>
  <c r="H19" i="5"/>
  <c r="I19" i="5" s="1"/>
  <c r="H20" i="5"/>
  <c r="I20" i="5" s="1"/>
  <c r="H21" i="5"/>
  <c r="I21" i="5" s="1"/>
  <c r="H22" i="5"/>
  <c r="I22" i="5" s="1"/>
  <c r="H23" i="5"/>
  <c r="I23" i="5" s="1"/>
  <c r="H24" i="5"/>
  <c r="I24" i="5" s="1"/>
  <c r="H25" i="5"/>
  <c r="I25" i="5" s="1"/>
  <c r="H26" i="5"/>
  <c r="I26" i="5" s="1"/>
  <c r="H27" i="5"/>
  <c r="I27" i="5" s="1"/>
  <c r="H28" i="5"/>
  <c r="I28" i="5" s="1"/>
  <c r="H29" i="5"/>
  <c r="I29" i="5" s="1"/>
  <c r="H30" i="5"/>
  <c r="I30" i="5" s="1"/>
  <c r="H31" i="5"/>
  <c r="I31" i="5" s="1"/>
  <c r="H32" i="5"/>
  <c r="I32" i="5" s="1"/>
  <c r="H33" i="5"/>
  <c r="I33" i="5" s="1"/>
  <c r="H34" i="5"/>
  <c r="I34" i="5" s="1"/>
  <c r="H35" i="5"/>
  <c r="I35" i="5" s="1"/>
  <c r="H5" i="5"/>
  <c r="I5" i="5" s="1"/>
  <c r="D6" i="5"/>
  <c r="E6" i="5" s="1"/>
  <c r="D7" i="5"/>
  <c r="E7" i="5" s="1"/>
  <c r="D8" i="5"/>
  <c r="E8" i="5" s="1"/>
  <c r="D9" i="5"/>
  <c r="E9" i="5" s="1"/>
  <c r="D10" i="5"/>
  <c r="E10" i="5" s="1"/>
  <c r="D11" i="5"/>
  <c r="E11" i="5" s="1"/>
  <c r="D12" i="5"/>
  <c r="E12" i="5" s="1"/>
  <c r="D13" i="5"/>
  <c r="E13" i="5" s="1"/>
  <c r="D14" i="5"/>
  <c r="E14" i="5" s="1"/>
  <c r="D15" i="5"/>
  <c r="E15" i="5" s="1"/>
  <c r="D16" i="5"/>
  <c r="E16" i="5" s="1"/>
  <c r="D17" i="5"/>
  <c r="E17" i="5" s="1"/>
  <c r="D18" i="5"/>
  <c r="E18" i="5" s="1"/>
  <c r="D19" i="5"/>
  <c r="E19" i="5" s="1"/>
  <c r="D20" i="5"/>
  <c r="E20" i="5" s="1"/>
  <c r="D21" i="5"/>
  <c r="E21" i="5" s="1"/>
  <c r="D22" i="5"/>
  <c r="E22" i="5" s="1"/>
  <c r="D23" i="5"/>
  <c r="E23" i="5" s="1"/>
  <c r="D24" i="5"/>
  <c r="E24" i="5" s="1"/>
  <c r="D25" i="5"/>
  <c r="E25" i="5" s="1"/>
  <c r="D26" i="5"/>
  <c r="E26" i="5" s="1"/>
  <c r="D27" i="5"/>
  <c r="E27" i="5" s="1"/>
  <c r="D28" i="5"/>
  <c r="E28" i="5" s="1"/>
  <c r="D29" i="5"/>
  <c r="E29" i="5" s="1"/>
  <c r="D30" i="5"/>
  <c r="E30" i="5" s="1"/>
  <c r="D31" i="5"/>
  <c r="E31" i="5" s="1"/>
  <c r="D32" i="5"/>
  <c r="E32" i="5" s="1"/>
  <c r="D33" i="5"/>
  <c r="E33" i="5" s="1"/>
  <c r="D34" i="5"/>
  <c r="E34" i="5" s="1"/>
  <c r="D35" i="5"/>
  <c r="E35" i="5" s="1"/>
  <c r="D5" i="5"/>
  <c r="E5" i="5" s="1"/>
  <c r="E22" i="4"/>
  <c r="X24" i="4"/>
  <c r="X35" i="4"/>
  <c r="Y3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Y20" i="4" s="1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5" i="4"/>
  <c r="G6" i="4"/>
  <c r="G7" i="4"/>
  <c r="G8" i="4"/>
  <c r="Y8" i="4" s="1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Y24" i="4" s="1"/>
  <c r="G25" i="4"/>
  <c r="G26" i="4"/>
  <c r="G27" i="4"/>
  <c r="G28" i="4"/>
  <c r="G29" i="4"/>
  <c r="G30" i="4"/>
  <c r="Y30" i="4" s="1"/>
  <c r="G31" i="4"/>
  <c r="G32" i="4"/>
  <c r="G33" i="4"/>
  <c r="G34" i="4"/>
  <c r="G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X18" i="4" s="1"/>
  <c r="E19" i="4"/>
  <c r="E20" i="4"/>
  <c r="E21" i="4"/>
  <c r="E23" i="4"/>
  <c r="E24" i="4"/>
  <c r="E25" i="4"/>
  <c r="E26" i="4"/>
  <c r="E27" i="4"/>
  <c r="X27" i="4" s="1"/>
  <c r="E28" i="4"/>
  <c r="X28" i="4" s="1"/>
  <c r="E29" i="4"/>
  <c r="E30" i="4"/>
  <c r="E31" i="4"/>
  <c r="E32" i="4"/>
  <c r="E33" i="4"/>
  <c r="E34" i="4"/>
  <c r="X5" i="4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5" i="2"/>
  <c r="L37" i="5" l="1"/>
  <c r="X34" i="4"/>
  <c r="W18" i="4"/>
  <c r="Z18" i="4" s="1"/>
  <c r="AA18" i="4" s="1"/>
  <c r="X22" i="4"/>
  <c r="X14" i="4"/>
  <c r="X30" i="4"/>
  <c r="W30" i="4" s="1"/>
  <c r="Z30" i="4" s="1"/>
  <c r="AA30" i="4" s="1"/>
  <c r="X13" i="4"/>
  <c r="Y19" i="4"/>
  <c r="X29" i="4"/>
  <c r="X12" i="4"/>
  <c r="Y34" i="4"/>
  <c r="Y18" i="4"/>
  <c r="Y33" i="4"/>
  <c r="Y9" i="4"/>
  <c r="X15" i="4"/>
  <c r="W34" i="4"/>
  <c r="Z34" i="4" s="1"/>
  <c r="AA34" i="4" s="1"/>
  <c r="X33" i="4"/>
  <c r="X25" i="4"/>
  <c r="X17" i="4"/>
  <c r="X9" i="4"/>
  <c r="Y31" i="4"/>
  <c r="Y23" i="4"/>
  <c r="Y15" i="4"/>
  <c r="W15" i="4" s="1"/>
  <c r="Z15" i="4" s="1"/>
  <c r="AA15" i="4" s="1"/>
  <c r="Y7" i="4"/>
  <c r="X21" i="4"/>
  <c r="Y27" i="4"/>
  <c r="Y11" i="4"/>
  <c r="X32" i="4"/>
  <c r="X16" i="4"/>
  <c r="X8" i="4"/>
  <c r="W8" i="4" s="1"/>
  <c r="Z8" i="4" s="1"/>
  <c r="AA8" i="4" s="1"/>
  <c r="Y22" i="4"/>
  <c r="W22" i="4" s="1"/>
  <c r="Z22" i="4" s="1"/>
  <c r="AA22" i="4" s="1"/>
  <c r="Y14" i="4"/>
  <c r="W14" i="4" s="1"/>
  <c r="Z14" i="4" s="1"/>
  <c r="AA14" i="4" s="1"/>
  <c r="Y6" i="4"/>
  <c r="X20" i="4"/>
  <c r="W20" i="4" s="1"/>
  <c r="Z20" i="4" s="1"/>
  <c r="AA20" i="4" s="1"/>
  <c r="Y26" i="4"/>
  <c r="Y10" i="4"/>
  <c r="X31" i="4"/>
  <c r="W31" i="4" s="1"/>
  <c r="Z31" i="4" s="1"/>
  <c r="AA31" i="4" s="1"/>
  <c r="X23" i="4"/>
  <c r="W23" i="4" s="1"/>
  <c r="Z23" i="4" s="1"/>
  <c r="AA23" i="4" s="1"/>
  <c r="X7" i="4"/>
  <c r="W7" i="4" s="1"/>
  <c r="Z7" i="4" s="1"/>
  <c r="AA7" i="4" s="1"/>
  <c r="Y29" i="4"/>
  <c r="W29" i="4" s="1"/>
  <c r="Z29" i="4" s="1"/>
  <c r="AA29" i="4" s="1"/>
  <c r="Y21" i="4"/>
  <c r="Y13" i="4"/>
  <c r="X19" i="4"/>
  <c r="X11" i="4"/>
  <c r="Y25" i="4"/>
  <c r="Y17" i="4"/>
  <c r="X6" i="4"/>
  <c r="Y28" i="4"/>
  <c r="W28" i="4" s="1"/>
  <c r="Z28" i="4" s="1"/>
  <c r="AA28" i="4" s="1"/>
  <c r="Y12" i="4"/>
  <c r="X26" i="4"/>
  <c r="W26" i="4" s="1"/>
  <c r="Z26" i="4" s="1"/>
  <c r="AA26" i="4" s="1"/>
  <c r="X10" i="4"/>
  <c r="Y32" i="4"/>
  <c r="Y16" i="4"/>
  <c r="W11" i="4"/>
  <c r="Z11" i="4" s="1"/>
  <c r="AA11" i="4" s="1"/>
  <c r="W12" i="4"/>
  <c r="Z12" i="4" s="1"/>
  <c r="AA12" i="4" s="1"/>
  <c r="W24" i="4"/>
  <c r="Z24" i="4" s="1"/>
  <c r="AA24" i="4" s="1"/>
  <c r="W27" i="4"/>
  <c r="Z27" i="4" s="1"/>
  <c r="AA27" i="4" s="1"/>
  <c r="Y5" i="4"/>
  <c r="W35" i="4"/>
  <c r="Z35" i="4" s="1"/>
  <c r="AA35" i="4" s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5" i="2"/>
  <c r="AE35" i="2"/>
  <c r="AF35" i="2" s="1"/>
  <c r="AC35" i="2"/>
  <c r="AD35" i="2" s="1"/>
  <c r="AB35" i="2"/>
  <c r="AA35" i="2"/>
  <c r="U35" i="2"/>
  <c r="O35" i="2"/>
  <c r="I35" i="2"/>
  <c r="AE34" i="2"/>
  <c r="AC34" i="2"/>
  <c r="AD34" i="2" s="1"/>
  <c r="AB34" i="2"/>
  <c r="AA34" i="2"/>
  <c r="U34" i="2"/>
  <c r="O34" i="2"/>
  <c r="I34" i="2"/>
  <c r="AE33" i="2"/>
  <c r="AC33" i="2"/>
  <c r="AD33" i="2" s="1"/>
  <c r="AB33" i="2"/>
  <c r="AA33" i="2"/>
  <c r="U33" i="2"/>
  <c r="O33" i="2"/>
  <c r="I33" i="2"/>
  <c r="AE32" i="2"/>
  <c r="AF32" i="2" s="1"/>
  <c r="AC32" i="2"/>
  <c r="AD32" i="2" s="1"/>
  <c r="AB32" i="2"/>
  <c r="AA32" i="2"/>
  <c r="U32" i="2"/>
  <c r="O32" i="2"/>
  <c r="I32" i="2"/>
  <c r="AE31" i="2"/>
  <c r="AF31" i="2" s="1"/>
  <c r="AC31" i="2"/>
  <c r="AD31" i="2" s="1"/>
  <c r="AB31" i="2"/>
  <c r="AA31" i="2"/>
  <c r="U31" i="2"/>
  <c r="O31" i="2"/>
  <c r="I31" i="2"/>
  <c r="AE30" i="2"/>
  <c r="AF30" i="2" s="1"/>
  <c r="AC30" i="2"/>
  <c r="AD30" i="2" s="1"/>
  <c r="AB30" i="2"/>
  <c r="AA30" i="2"/>
  <c r="U30" i="2"/>
  <c r="O30" i="2"/>
  <c r="I30" i="2"/>
  <c r="AE29" i="2"/>
  <c r="AC29" i="2"/>
  <c r="AD29" i="2" s="1"/>
  <c r="AB29" i="2"/>
  <c r="AA29" i="2"/>
  <c r="U29" i="2"/>
  <c r="O29" i="2"/>
  <c r="I29" i="2"/>
  <c r="AE28" i="2"/>
  <c r="AC28" i="2"/>
  <c r="AD28" i="2" s="1"/>
  <c r="AB28" i="2"/>
  <c r="AA28" i="2"/>
  <c r="U28" i="2"/>
  <c r="O28" i="2"/>
  <c r="I28" i="2"/>
  <c r="AE27" i="2"/>
  <c r="AF27" i="2" s="1"/>
  <c r="AC27" i="2"/>
  <c r="AD27" i="2" s="1"/>
  <c r="AB27" i="2"/>
  <c r="AA27" i="2"/>
  <c r="U27" i="2"/>
  <c r="O27" i="2"/>
  <c r="I27" i="2"/>
  <c r="AE26" i="2"/>
  <c r="AF26" i="2" s="1"/>
  <c r="AC26" i="2"/>
  <c r="AD26" i="2" s="1"/>
  <c r="AB26" i="2"/>
  <c r="AA26" i="2"/>
  <c r="U26" i="2"/>
  <c r="O26" i="2"/>
  <c r="I26" i="2"/>
  <c r="AE25" i="2"/>
  <c r="AC25" i="2"/>
  <c r="AD25" i="2" s="1"/>
  <c r="AB25" i="2"/>
  <c r="AA25" i="2"/>
  <c r="U25" i="2"/>
  <c r="O25" i="2"/>
  <c r="I25" i="2"/>
  <c r="AE24" i="2"/>
  <c r="AF24" i="2" s="1"/>
  <c r="AC24" i="2"/>
  <c r="AD24" i="2" s="1"/>
  <c r="AB24" i="2"/>
  <c r="AA24" i="2"/>
  <c r="U24" i="2"/>
  <c r="O24" i="2"/>
  <c r="I24" i="2"/>
  <c r="AE23" i="2"/>
  <c r="AF23" i="2" s="1"/>
  <c r="AC23" i="2"/>
  <c r="AD23" i="2" s="1"/>
  <c r="AB23" i="2"/>
  <c r="AA23" i="2"/>
  <c r="U23" i="2"/>
  <c r="O23" i="2"/>
  <c r="I23" i="2"/>
  <c r="AE22" i="2"/>
  <c r="AF22" i="2" s="1"/>
  <c r="AC22" i="2"/>
  <c r="AD22" i="2" s="1"/>
  <c r="AB22" i="2"/>
  <c r="AA22" i="2"/>
  <c r="U22" i="2"/>
  <c r="O22" i="2"/>
  <c r="I22" i="2"/>
  <c r="AE21" i="2"/>
  <c r="AF21" i="2" s="1"/>
  <c r="AC21" i="2"/>
  <c r="AD21" i="2" s="1"/>
  <c r="AB21" i="2"/>
  <c r="AA21" i="2"/>
  <c r="U21" i="2"/>
  <c r="O21" i="2"/>
  <c r="I21" i="2"/>
  <c r="AE20" i="2"/>
  <c r="AC20" i="2"/>
  <c r="AD20" i="2" s="1"/>
  <c r="AB20" i="2"/>
  <c r="AA20" i="2"/>
  <c r="U20" i="2"/>
  <c r="O20" i="2"/>
  <c r="I20" i="2"/>
  <c r="AE19" i="2"/>
  <c r="AF19" i="2" s="1"/>
  <c r="AC19" i="2"/>
  <c r="AD19" i="2" s="1"/>
  <c r="AB19" i="2"/>
  <c r="AA19" i="2"/>
  <c r="U19" i="2"/>
  <c r="O19" i="2"/>
  <c r="I19" i="2"/>
  <c r="AE18" i="2"/>
  <c r="AF18" i="2" s="1"/>
  <c r="AC18" i="2"/>
  <c r="AD18" i="2" s="1"/>
  <c r="AB18" i="2"/>
  <c r="AA18" i="2"/>
  <c r="U18" i="2"/>
  <c r="O18" i="2"/>
  <c r="I18" i="2"/>
  <c r="AE17" i="2"/>
  <c r="AF17" i="2" s="1"/>
  <c r="AC17" i="2"/>
  <c r="AD17" i="2" s="1"/>
  <c r="AB17" i="2"/>
  <c r="AA17" i="2"/>
  <c r="U17" i="2"/>
  <c r="O17" i="2"/>
  <c r="I17" i="2"/>
  <c r="AE16" i="2"/>
  <c r="AF16" i="2" s="1"/>
  <c r="AC16" i="2"/>
  <c r="AD16" i="2" s="1"/>
  <c r="AB16" i="2"/>
  <c r="AA16" i="2"/>
  <c r="U16" i="2"/>
  <c r="O16" i="2"/>
  <c r="I16" i="2"/>
  <c r="AE15" i="2"/>
  <c r="AF15" i="2" s="1"/>
  <c r="AC15" i="2"/>
  <c r="AD15" i="2" s="1"/>
  <c r="AB15" i="2"/>
  <c r="AA15" i="2"/>
  <c r="U15" i="2"/>
  <c r="O15" i="2"/>
  <c r="I15" i="2"/>
  <c r="AE14" i="2"/>
  <c r="AF14" i="2" s="1"/>
  <c r="AC14" i="2"/>
  <c r="AD14" i="2" s="1"/>
  <c r="AB14" i="2"/>
  <c r="AA14" i="2"/>
  <c r="U14" i="2"/>
  <c r="O14" i="2"/>
  <c r="I14" i="2"/>
  <c r="AE13" i="2"/>
  <c r="AF13" i="2" s="1"/>
  <c r="AC13" i="2"/>
  <c r="AD13" i="2" s="1"/>
  <c r="AB13" i="2"/>
  <c r="AA13" i="2"/>
  <c r="U13" i="2"/>
  <c r="O13" i="2"/>
  <c r="I13" i="2"/>
  <c r="AE12" i="2"/>
  <c r="AC12" i="2"/>
  <c r="AD12" i="2" s="1"/>
  <c r="AB12" i="2"/>
  <c r="AA12" i="2"/>
  <c r="U12" i="2"/>
  <c r="O12" i="2"/>
  <c r="I12" i="2"/>
  <c r="AE11" i="2"/>
  <c r="AF11" i="2" s="1"/>
  <c r="AC11" i="2"/>
  <c r="AD11" i="2" s="1"/>
  <c r="AB11" i="2"/>
  <c r="AA11" i="2"/>
  <c r="U11" i="2"/>
  <c r="O11" i="2"/>
  <c r="I11" i="2"/>
  <c r="AE10" i="2"/>
  <c r="AF10" i="2" s="1"/>
  <c r="AC10" i="2"/>
  <c r="AD10" i="2" s="1"/>
  <c r="AB10" i="2"/>
  <c r="AA10" i="2"/>
  <c r="U10" i="2"/>
  <c r="O10" i="2"/>
  <c r="I10" i="2"/>
  <c r="AE9" i="2"/>
  <c r="AF9" i="2" s="1"/>
  <c r="AC9" i="2"/>
  <c r="AD9" i="2" s="1"/>
  <c r="AB9" i="2"/>
  <c r="AA9" i="2"/>
  <c r="U9" i="2"/>
  <c r="O9" i="2"/>
  <c r="I9" i="2"/>
  <c r="AE8" i="2"/>
  <c r="AF8" i="2" s="1"/>
  <c r="AC8" i="2"/>
  <c r="AD8" i="2" s="1"/>
  <c r="AB8" i="2"/>
  <c r="AA8" i="2"/>
  <c r="U8" i="2"/>
  <c r="O8" i="2"/>
  <c r="I8" i="2"/>
  <c r="AE7" i="2"/>
  <c r="AF7" i="2" s="1"/>
  <c r="AC7" i="2"/>
  <c r="AD7" i="2" s="1"/>
  <c r="AB7" i="2"/>
  <c r="AA7" i="2"/>
  <c r="U7" i="2"/>
  <c r="O7" i="2"/>
  <c r="I7" i="2"/>
  <c r="AE6" i="2"/>
  <c r="AF6" i="2" s="1"/>
  <c r="AC6" i="2"/>
  <c r="AD6" i="2" s="1"/>
  <c r="AB6" i="2"/>
  <c r="AA6" i="2"/>
  <c r="U6" i="2"/>
  <c r="O6" i="2"/>
  <c r="I6" i="2"/>
  <c r="AE5" i="2"/>
  <c r="AF5" i="2" s="1"/>
  <c r="AC5" i="2"/>
  <c r="AD5" i="2" s="1"/>
  <c r="AB5" i="2"/>
  <c r="AA5" i="2"/>
  <c r="U5" i="2"/>
  <c r="O5" i="2"/>
  <c r="I5" i="2"/>
  <c r="AF29" i="2" l="1"/>
  <c r="AG12" i="2"/>
  <c r="AF12" i="2"/>
  <c r="AG20" i="2"/>
  <c r="AF20" i="2"/>
  <c r="AF28" i="2"/>
  <c r="W10" i="4"/>
  <c r="Z10" i="4" s="1"/>
  <c r="AA10" i="4" s="1"/>
  <c r="W9" i="4"/>
  <c r="Z9" i="4" s="1"/>
  <c r="AA9" i="4" s="1"/>
  <c r="W19" i="4"/>
  <c r="Z19" i="4" s="1"/>
  <c r="AA19" i="4" s="1"/>
  <c r="AF34" i="2"/>
  <c r="W13" i="4"/>
  <c r="Z13" i="4" s="1"/>
  <c r="AA13" i="4" s="1"/>
  <c r="W25" i="4"/>
  <c r="Z25" i="4" s="1"/>
  <c r="AA25" i="4" s="1"/>
  <c r="AF25" i="2"/>
  <c r="AF33" i="2"/>
  <c r="W33" i="4"/>
  <c r="Z33" i="4" s="1"/>
  <c r="AA33" i="4" s="1"/>
  <c r="W32" i="4"/>
  <c r="Z32" i="4" s="1"/>
  <c r="AA32" i="4" s="1"/>
  <c r="W16" i="4"/>
  <c r="Z16" i="4" s="1"/>
  <c r="AA16" i="4" s="1"/>
  <c r="W17" i="4"/>
  <c r="Z17" i="4" s="1"/>
  <c r="AA17" i="4" s="1"/>
  <c r="W6" i="4"/>
  <c r="Z6" i="4" s="1"/>
  <c r="AA6" i="4" s="1"/>
  <c r="W21" i="4"/>
  <c r="Z21" i="4" s="1"/>
  <c r="AA21" i="4" s="1"/>
  <c r="W5" i="4"/>
  <c r="AG33" i="2"/>
  <c r="AG26" i="2"/>
  <c r="AG17" i="2"/>
  <c r="AG25" i="2"/>
  <c r="AG16" i="2"/>
  <c r="AG32" i="2"/>
  <c r="AG7" i="2"/>
  <c r="AG15" i="2"/>
  <c r="AG23" i="2"/>
  <c r="AG11" i="2"/>
  <c r="AG19" i="2"/>
  <c r="AG27" i="2"/>
  <c r="AG10" i="2"/>
  <c r="AG18" i="2"/>
  <c r="AG9" i="2"/>
  <c r="AG34" i="2"/>
  <c r="AG8" i="2"/>
  <c r="AG24" i="2"/>
  <c r="AG31" i="2"/>
  <c r="AG6" i="2"/>
  <c r="AG14" i="2"/>
  <c r="AG22" i="2"/>
  <c r="AG30" i="2"/>
  <c r="AG5" i="2"/>
  <c r="AG13" i="2"/>
  <c r="AG21" i="2"/>
  <c r="AG29" i="2"/>
  <c r="AG28" i="2"/>
  <c r="AG35" i="2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5" i="1"/>
  <c r="Z35" i="1"/>
  <c r="AA35" i="1" s="1"/>
  <c r="Y35" i="1"/>
  <c r="H5" i="1"/>
  <c r="X5" i="1" s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5" i="1"/>
  <c r="J36" i="1"/>
  <c r="J5" i="1"/>
  <c r="U5" i="1" s="1"/>
  <c r="V5" i="1" s="1"/>
  <c r="AA5" i="4" l="1"/>
  <c r="Z5" i="4"/>
  <c r="H6" i="1"/>
  <c r="X6" i="1" s="1"/>
  <c r="H7" i="1"/>
  <c r="X7" i="1" s="1"/>
  <c r="H8" i="1"/>
  <c r="X8" i="1" s="1"/>
  <c r="H9" i="1"/>
  <c r="X9" i="1" s="1"/>
  <c r="Y9" i="1" s="1"/>
  <c r="H10" i="1"/>
  <c r="X10" i="1" s="1"/>
  <c r="Y10" i="1" s="1"/>
  <c r="H11" i="1"/>
  <c r="X11" i="1" s="1"/>
  <c r="Y11" i="1" s="1"/>
  <c r="H12" i="1"/>
  <c r="X12" i="1" s="1"/>
  <c r="H13" i="1"/>
  <c r="X13" i="1" s="1"/>
  <c r="H14" i="1"/>
  <c r="X14" i="1" s="1"/>
  <c r="H15" i="1"/>
  <c r="X15" i="1" s="1"/>
  <c r="H16" i="1"/>
  <c r="X16" i="1" s="1"/>
  <c r="H17" i="1"/>
  <c r="X17" i="1" s="1"/>
  <c r="Y17" i="1" s="1"/>
  <c r="H18" i="1"/>
  <c r="X18" i="1" s="1"/>
  <c r="Y18" i="1" s="1"/>
  <c r="H19" i="1"/>
  <c r="X19" i="1" s="1"/>
  <c r="Y19" i="1" s="1"/>
  <c r="H20" i="1"/>
  <c r="X20" i="1" s="1"/>
  <c r="H21" i="1"/>
  <c r="X21" i="1" s="1"/>
  <c r="H22" i="1"/>
  <c r="X22" i="1" s="1"/>
  <c r="H23" i="1"/>
  <c r="X23" i="1" s="1"/>
  <c r="H24" i="1"/>
  <c r="X24" i="1" s="1"/>
  <c r="H25" i="1"/>
  <c r="X25" i="1" s="1"/>
  <c r="Y25" i="1" s="1"/>
  <c r="H26" i="1"/>
  <c r="X26" i="1" s="1"/>
  <c r="Y26" i="1" s="1"/>
  <c r="H27" i="1"/>
  <c r="X27" i="1" s="1"/>
  <c r="Y27" i="1" s="1"/>
  <c r="H28" i="1"/>
  <c r="X28" i="1" s="1"/>
  <c r="Y28" i="1" s="1"/>
  <c r="H29" i="1"/>
  <c r="X29" i="1" s="1"/>
  <c r="H30" i="1"/>
  <c r="X30" i="1" s="1"/>
  <c r="H31" i="1"/>
  <c r="X31" i="1" s="1"/>
  <c r="H32" i="1"/>
  <c r="X32" i="1" s="1"/>
  <c r="H33" i="1"/>
  <c r="X33" i="1" s="1"/>
  <c r="Y33" i="1" s="1"/>
  <c r="H34" i="1"/>
  <c r="X34" i="1" s="1"/>
  <c r="Y34" i="1" s="1"/>
  <c r="F6" i="1"/>
  <c r="W6" i="1" s="1"/>
  <c r="Z6" i="1" s="1"/>
  <c r="AA6" i="1" s="1"/>
  <c r="F7" i="1"/>
  <c r="W7" i="1" s="1"/>
  <c r="Z7" i="1" s="1"/>
  <c r="AA7" i="1" s="1"/>
  <c r="F8" i="1"/>
  <c r="W8" i="1" s="1"/>
  <c r="F9" i="1"/>
  <c r="W9" i="1" s="1"/>
  <c r="F10" i="1"/>
  <c r="W10" i="1" s="1"/>
  <c r="F11" i="1"/>
  <c r="W11" i="1" s="1"/>
  <c r="F12" i="1"/>
  <c r="W12" i="1" s="1"/>
  <c r="F13" i="1"/>
  <c r="W13" i="1" s="1"/>
  <c r="Z13" i="1" s="1"/>
  <c r="AA13" i="1" s="1"/>
  <c r="F14" i="1"/>
  <c r="W14" i="1" s="1"/>
  <c r="Z14" i="1" s="1"/>
  <c r="AA14" i="1" s="1"/>
  <c r="F15" i="1"/>
  <c r="W15" i="1" s="1"/>
  <c r="Z15" i="1" s="1"/>
  <c r="AA15" i="1" s="1"/>
  <c r="F16" i="1"/>
  <c r="W16" i="1" s="1"/>
  <c r="F17" i="1"/>
  <c r="W17" i="1" s="1"/>
  <c r="F18" i="1"/>
  <c r="W18" i="1" s="1"/>
  <c r="F19" i="1"/>
  <c r="W19" i="1" s="1"/>
  <c r="F20" i="1"/>
  <c r="W20" i="1" s="1"/>
  <c r="F21" i="1"/>
  <c r="W21" i="1" s="1"/>
  <c r="Z21" i="1" s="1"/>
  <c r="AA21" i="1" s="1"/>
  <c r="F22" i="1"/>
  <c r="W22" i="1" s="1"/>
  <c r="Z22" i="1" s="1"/>
  <c r="AA22" i="1" s="1"/>
  <c r="F23" i="1"/>
  <c r="W23" i="1" s="1"/>
  <c r="Z23" i="1" s="1"/>
  <c r="AA23" i="1" s="1"/>
  <c r="F24" i="1"/>
  <c r="W24" i="1" s="1"/>
  <c r="F25" i="1"/>
  <c r="W25" i="1" s="1"/>
  <c r="F26" i="1"/>
  <c r="W26" i="1" s="1"/>
  <c r="F27" i="1"/>
  <c r="W27" i="1" s="1"/>
  <c r="F28" i="1"/>
  <c r="W28" i="1" s="1"/>
  <c r="F29" i="1"/>
  <c r="W29" i="1" s="1"/>
  <c r="Z29" i="1" s="1"/>
  <c r="AA29" i="1" s="1"/>
  <c r="F30" i="1"/>
  <c r="W30" i="1" s="1"/>
  <c r="Z30" i="1" s="1"/>
  <c r="AA30" i="1" s="1"/>
  <c r="F31" i="1"/>
  <c r="W31" i="1" s="1"/>
  <c r="Z31" i="1" s="1"/>
  <c r="AA31" i="1" s="1"/>
  <c r="F32" i="1"/>
  <c r="W32" i="1" s="1"/>
  <c r="F33" i="1"/>
  <c r="W33" i="1" s="1"/>
  <c r="F34" i="1"/>
  <c r="W34" i="1" s="1"/>
  <c r="F5" i="1"/>
  <c r="W5" i="1" s="1"/>
  <c r="Y32" i="1" l="1"/>
  <c r="Y24" i="1"/>
  <c r="Y16" i="1"/>
  <c r="Y8" i="1"/>
  <c r="Y20" i="1"/>
  <c r="Y12" i="1"/>
  <c r="Z28" i="1"/>
  <c r="AA28" i="1" s="1"/>
  <c r="Z20" i="1"/>
  <c r="AA20" i="1" s="1"/>
  <c r="Z12" i="1"/>
  <c r="AA12" i="1" s="1"/>
  <c r="Z5" i="1"/>
  <c r="AA5" i="1" s="1"/>
  <c r="AB5" i="1" s="1"/>
  <c r="Y5" i="1"/>
  <c r="Z27" i="1"/>
  <c r="AA27" i="1" s="1"/>
  <c r="Z19" i="1"/>
  <c r="AA19" i="1" s="1"/>
  <c r="Z11" i="1"/>
  <c r="AA11" i="1" s="1"/>
  <c r="Z34" i="1"/>
  <c r="AA34" i="1" s="1"/>
  <c r="Z26" i="1"/>
  <c r="AA26" i="1" s="1"/>
  <c r="Z18" i="1"/>
  <c r="AA18" i="1" s="1"/>
  <c r="Z10" i="1"/>
  <c r="AA10" i="1" s="1"/>
  <c r="Y31" i="1"/>
  <c r="Y23" i="1"/>
  <c r="Y15" i="1"/>
  <c r="Y7" i="1"/>
  <c r="Z33" i="1"/>
  <c r="AA33" i="1" s="1"/>
  <c r="Z25" i="1"/>
  <c r="AA25" i="1" s="1"/>
  <c r="Z17" i="1"/>
  <c r="AA17" i="1" s="1"/>
  <c r="Z9" i="1"/>
  <c r="AA9" i="1" s="1"/>
  <c r="Y30" i="1"/>
  <c r="Y22" i="1"/>
  <c r="Y14" i="1"/>
  <c r="Y6" i="1"/>
  <c r="Z32" i="1"/>
  <c r="AA32" i="1" s="1"/>
  <c r="Z24" i="1"/>
  <c r="AA24" i="1" s="1"/>
  <c r="Z16" i="1"/>
  <c r="AA16" i="1" s="1"/>
  <c r="Z8" i="1"/>
  <c r="AA8" i="1" s="1"/>
  <c r="Y29" i="1"/>
  <c r="Y21" i="1"/>
  <c r="Y13" i="1"/>
  <c r="V35" i="1"/>
  <c r="AB35" i="1" s="1"/>
  <c r="J6" i="1" l="1"/>
  <c r="U6" i="1" s="1"/>
  <c r="V6" i="1" s="1"/>
  <c r="AB6" i="1" s="1"/>
  <c r="J7" i="1"/>
  <c r="U7" i="1" s="1"/>
  <c r="V7" i="1" s="1"/>
  <c r="AB7" i="1" s="1"/>
  <c r="J8" i="1"/>
  <c r="U8" i="1" s="1"/>
  <c r="V8" i="1" s="1"/>
  <c r="AB8" i="1" s="1"/>
  <c r="J9" i="1"/>
  <c r="U9" i="1" s="1"/>
  <c r="V9" i="1" s="1"/>
  <c r="AB9" i="1" s="1"/>
  <c r="J10" i="1"/>
  <c r="U10" i="1" s="1"/>
  <c r="V10" i="1" s="1"/>
  <c r="AB10" i="1" s="1"/>
  <c r="J11" i="1"/>
  <c r="U11" i="1" s="1"/>
  <c r="V11" i="1" s="1"/>
  <c r="AB11" i="1" s="1"/>
  <c r="J12" i="1"/>
  <c r="U12" i="1" s="1"/>
  <c r="V12" i="1" s="1"/>
  <c r="AB12" i="1" s="1"/>
  <c r="J13" i="1"/>
  <c r="U13" i="1" s="1"/>
  <c r="V13" i="1" s="1"/>
  <c r="AB13" i="1" s="1"/>
  <c r="J14" i="1"/>
  <c r="U14" i="1" s="1"/>
  <c r="V14" i="1" s="1"/>
  <c r="AB14" i="1" s="1"/>
  <c r="J15" i="1"/>
  <c r="U15" i="1" s="1"/>
  <c r="V15" i="1" s="1"/>
  <c r="AB15" i="1" s="1"/>
  <c r="J16" i="1"/>
  <c r="U16" i="1" s="1"/>
  <c r="V16" i="1" s="1"/>
  <c r="AB16" i="1" s="1"/>
  <c r="J17" i="1"/>
  <c r="U17" i="1" s="1"/>
  <c r="V17" i="1" s="1"/>
  <c r="AB17" i="1" s="1"/>
  <c r="J18" i="1"/>
  <c r="U18" i="1" s="1"/>
  <c r="V18" i="1" s="1"/>
  <c r="AB18" i="1" s="1"/>
  <c r="J19" i="1"/>
  <c r="U19" i="1" s="1"/>
  <c r="V19" i="1" s="1"/>
  <c r="AB19" i="1" s="1"/>
  <c r="J20" i="1"/>
  <c r="U20" i="1" s="1"/>
  <c r="V20" i="1" s="1"/>
  <c r="AB20" i="1" s="1"/>
  <c r="J21" i="1"/>
  <c r="U21" i="1" s="1"/>
  <c r="V21" i="1" s="1"/>
  <c r="AB21" i="1" s="1"/>
  <c r="J22" i="1"/>
  <c r="U22" i="1" s="1"/>
  <c r="V22" i="1" s="1"/>
  <c r="AB22" i="1" s="1"/>
  <c r="J23" i="1"/>
  <c r="U23" i="1" s="1"/>
  <c r="V23" i="1" s="1"/>
  <c r="AB23" i="1" s="1"/>
  <c r="J24" i="1"/>
  <c r="U24" i="1" s="1"/>
  <c r="V24" i="1" s="1"/>
  <c r="AB24" i="1" s="1"/>
  <c r="J25" i="1"/>
  <c r="U25" i="1" s="1"/>
  <c r="V25" i="1" s="1"/>
  <c r="AB25" i="1" s="1"/>
  <c r="J26" i="1"/>
  <c r="U26" i="1" s="1"/>
  <c r="V26" i="1" s="1"/>
  <c r="AB26" i="1" s="1"/>
  <c r="J27" i="1"/>
  <c r="U27" i="1" s="1"/>
  <c r="V27" i="1" s="1"/>
  <c r="AB27" i="1" s="1"/>
  <c r="J28" i="1"/>
  <c r="U28" i="1" s="1"/>
  <c r="V28" i="1" s="1"/>
  <c r="AB28" i="1" s="1"/>
  <c r="J29" i="1"/>
  <c r="U29" i="1" s="1"/>
  <c r="V29" i="1" s="1"/>
  <c r="AB29" i="1" s="1"/>
  <c r="J30" i="1"/>
  <c r="U30" i="1" s="1"/>
  <c r="V30" i="1" s="1"/>
  <c r="AB30" i="1" s="1"/>
  <c r="J31" i="1"/>
  <c r="U31" i="1" s="1"/>
  <c r="V31" i="1" s="1"/>
  <c r="AB31" i="1" s="1"/>
  <c r="J32" i="1"/>
  <c r="U32" i="1" s="1"/>
  <c r="V32" i="1" s="1"/>
  <c r="AB32" i="1" s="1"/>
  <c r="J33" i="1"/>
  <c r="U33" i="1" s="1"/>
  <c r="V33" i="1" s="1"/>
  <c r="AB33" i="1" s="1"/>
  <c r="J34" i="1"/>
  <c r="U34" i="1" s="1"/>
  <c r="V34" i="1" s="1"/>
  <c r="AB34" i="1" s="1"/>
</calcChain>
</file>

<file path=xl/sharedStrings.xml><?xml version="1.0" encoding="utf-8"?>
<sst xmlns="http://schemas.openxmlformats.org/spreadsheetml/2006/main" count="374" uniqueCount="108">
  <si>
    <t>Districts</t>
  </si>
  <si>
    <t>Bargarh</t>
  </si>
  <si>
    <t>Jharsuguda</t>
  </si>
  <si>
    <t>Sambalpur</t>
  </si>
  <si>
    <t>Debagarh</t>
  </si>
  <si>
    <t>Sundargarh</t>
  </si>
  <si>
    <t>Kendujarh</t>
  </si>
  <si>
    <t>Mayunbhanj</t>
  </si>
  <si>
    <t>Baleshwar</t>
  </si>
  <si>
    <t>Bhadrak</t>
  </si>
  <si>
    <t>Kendrapara</t>
  </si>
  <si>
    <t>Jagatsinghapur</t>
  </si>
  <si>
    <t>Cuttack</t>
  </si>
  <si>
    <t>Jajapur</t>
  </si>
  <si>
    <t>Dhenkanal</t>
  </si>
  <si>
    <t>Auugul</t>
  </si>
  <si>
    <t>Nayagarh</t>
  </si>
  <si>
    <t>Khorda</t>
  </si>
  <si>
    <t>Puri</t>
  </si>
  <si>
    <t>Ganjam</t>
  </si>
  <si>
    <t>Gajapati</t>
  </si>
  <si>
    <t>Kandhamal</t>
  </si>
  <si>
    <t>Baudh</t>
  </si>
  <si>
    <t>Subarnapur</t>
  </si>
  <si>
    <t>Balangir</t>
  </si>
  <si>
    <t>Nuapada</t>
  </si>
  <si>
    <t>Kalahandi</t>
  </si>
  <si>
    <t>Rayagada</t>
  </si>
  <si>
    <t>Nabarangapur</t>
  </si>
  <si>
    <t>Koraput</t>
  </si>
  <si>
    <t>Malkangiri</t>
  </si>
  <si>
    <t>Male</t>
  </si>
  <si>
    <t>Female</t>
  </si>
  <si>
    <t>Total Pop 60+</t>
  </si>
  <si>
    <t>Total</t>
  </si>
  <si>
    <t>All Ages</t>
  </si>
  <si>
    <t>Odisha</t>
  </si>
  <si>
    <t xml:space="preserve">Wrong </t>
  </si>
  <si>
    <t>Total 60+ Population</t>
  </si>
  <si>
    <t>Share of all 60+ male</t>
  </si>
  <si>
    <t>share of all 60+ Female</t>
  </si>
  <si>
    <t>Share of Total 60+</t>
  </si>
  <si>
    <t>Sex Ratio</t>
  </si>
  <si>
    <t>Sex ratio</t>
  </si>
  <si>
    <t>Exact Figures</t>
  </si>
  <si>
    <t>Estimated Figures</t>
  </si>
  <si>
    <t>Share of 60+ Population, out of District Total Population</t>
  </si>
  <si>
    <t>computed by multiplying  proportion of 2011 with state's total 60+ population of 2036</t>
  </si>
  <si>
    <t>Difference</t>
  </si>
  <si>
    <t>share out of total district Population</t>
  </si>
  <si>
    <t>0-4</t>
  </si>
  <si>
    <t xml:space="preserve"> 5-14</t>
  </si>
  <si>
    <t>15-59</t>
  </si>
  <si>
    <t>60+</t>
  </si>
  <si>
    <t>All ages</t>
  </si>
  <si>
    <t>District</t>
  </si>
  <si>
    <t>Persons</t>
  </si>
  <si>
    <t>Males</t>
  </si>
  <si>
    <t>Females</t>
  </si>
  <si>
    <t>District - Bargarh (01)</t>
  </si>
  <si>
    <t>District - Jharsuguda (02)</t>
  </si>
  <si>
    <t>District - Sambalpur (03)</t>
  </si>
  <si>
    <t>District - Debagarh (04)</t>
  </si>
  <si>
    <t>District - Sundargarh (05)</t>
  </si>
  <si>
    <t>District - Kendujhar (06)</t>
  </si>
  <si>
    <t>District - Mayurbhanj (07)</t>
  </si>
  <si>
    <t>District - Baleshwar (08)</t>
  </si>
  <si>
    <t>District - Bhadrak (09)</t>
  </si>
  <si>
    <t>District - Kendrapara  (10)</t>
  </si>
  <si>
    <t>District - Jagatsinghapur  (11)</t>
  </si>
  <si>
    <t>District - Cuttack (12)</t>
  </si>
  <si>
    <t>District - Jajapur   (13)</t>
  </si>
  <si>
    <t>District - Dhenkanal (14)</t>
  </si>
  <si>
    <t>District - Anugul   (15)</t>
  </si>
  <si>
    <t>District - Nayagarh   (16)</t>
  </si>
  <si>
    <t>District - Khordha  (17)</t>
  </si>
  <si>
    <t>District - Puri (18)</t>
  </si>
  <si>
    <t>District - Ganjam (19)</t>
  </si>
  <si>
    <t>District - Gajapati (20)</t>
  </si>
  <si>
    <t>District - Kandhamal (21)</t>
  </si>
  <si>
    <t>District - Baudh (22)</t>
  </si>
  <si>
    <t>District - Subarnapur (23)</t>
  </si>
  <si>
    <t>District - Balangir (24)</t>
  </si>
  <si>
    <t>District - Nuapada (25)</t>
  </si>
  <si>
    <t>District - Kalahandi (26)</t>
  </si>
  <si>
    <t>District - Rayagada   (27)</t>
  </si>
  <si>
    <t>District - Nabarangapur  (28)</t>
  </si>
  <si>
    <t>District - Koraput (29)</t>
  </si>
  <si>
    <t>District - Malkangiri   (30)</t>
  </si>
  <si>
    <t>State - ODISHA (21)</t>
  </si>
  <si>
    <t>Share-M</t>
  </si>
  <si>
    <t>Share-F</t>
  </si>
  <si>
    <t>Observed</t>
  </si>
  <si>
    <t>Calculated</t>
  </si>
  <si>
    <t>Share</t>
  </si>
  <si>
    <t>Calculated-2036</t>
  </si>
  <si>
    <t>Reported- 2036</t>
  </si>
  <si>
    <t>Difference between calculated and Reported</t>
  </si>
  <si>
    <t>Angul</t>
  </si>
  <si>
    <t>Person</t>
  </si>
  <si>
    <t>Share-M-2011</t>
  </si>
  <si>
    <t>Share-F-2011</t>
  </si>
  <si>
    <t>Share of District's total population</t>
  </si>
  <si>
    <t>Share of State total</t>
  </si>
  <si>
    <t>2031- Reported Figures</t>
  </si>
  <si>
    <t>2036- Calculated Figures</t>
  </si>
  <si>
    <t>Share of District total population</t>
  </si>
  <si>
    <t>Share of State total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</si>
</sst>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8"/>
      <name val="Arial"/>
      <family val="2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4">
    <xf numFmtId="0" fontId="0" fillId="0" borderId="0" xfId="0"/>
    <xf numFmtId="0" fontId="2" fillId="0" borderId="0" xfId="0" applyFont="1"/>
    <xf numFmtId="0" fontId="1" fillId="0" borderId="0" xfId="0" applyFont="1"/>
    <xf numFmtId="49" fontId="2" fillId="0" borderId="0" xfId="0" applyNumberFormat="1" applyFont="1"/>
    <xf numFmtId="3" fontId="4" fillId="0" borderId="0" xfId="0" applyNumberFormat="1" applyFont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3" fontId="3" fillId="0" borderId="5" xfId="0" applyNumberFormat="1" applyFont="1" applyBorder="1"/>
    <xf numFmtId="0" fontId="1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left"/>
    </xf>
    <xf numFmtId="0" fontId="1" fillId="0" borderId="10" xfId="0" applyFont="1" applyBorder="1"/>
    <xf numFmtId="3" fontId="2" fillId="0" borderId="11" xfId="0" applyNumberFormat="1" applyFont="1" applyBorder="1"/>
    <xf numFmtId="3" fontId="3" fillId="0" borderId="11" xfId="0" applyNumberFormat="1" applyFont="1" applyBorder="1"/>
    <xf numFmtId="0" fontId="2" fillId="0" borderId="13" xfId="0" applyFont="1" applyBorder="1" applyAlignment="1">
      <alignment horizontal="left"/>
    </xf>
    <xf numFmtId="3" fontId="2" fillId="0" borderId="14" xfId="0" applyNumberFormat="1" applyFont="1" applyBorder="1" applyAlignment="1">
      <alignment horizontal="center" vertical="center"/>
    </xf>
    <xf numFmtId="3" fontId="3" fillId="0" borderId="14" xfId="0" applyNumberFormat="1" applyFont="1" applyBorder="1"/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" fontId="2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2" fillId="0" borderId="0" xfId="0" applyNumberFormat="1" applyFont="1"/>
    <xf numFmtId="0" fontId="2" fillId="0" borderId="20" xfId="0" applyFont="1" applyBorder="1" applyAlignment="1">
      <alignment horizontal="left"/>
    </xf>
    <xf numFmtId="0" fontId="2" fillId="0" borderId="21" xfId="0" applyFont="1" applyBorder="1"/>
    <xf numFmtId="0" fontId="1" fillId="0" borderId="21" xfId="0" applyFont="1" applyBorder="1"/>
    <xf numFmtId="1" fontId="6" fillId="0" borderId="21" xfId="0" applyNumberFormat="1" applyFont="1" applyBorder="1" applyAlignment="1">
      <alignment horizontal="center" vertical="center"/>
    </xf>
    <xf numFmtId="1" fontId="5" fillId="0" borderId="21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left"/>
    </xf>
    <xf numFmtId="0" fontId="1" fillId="0" borderId="21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6" fillId="0" borderId="21" xfId="0" applyFont="1" applyBorder="1"/>
    <xf numFmtId="4" fontId="3" fillId="0" borderId="14" xfId="0" applyNumberFormat="1" applyFont="1" applyBorder="1"/>
    <xf numFmtId="0" fontId="2" fillId="0" borderId="0" xfId="0" applyFont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1" xfId="0" applyFont="1" applyBorder="1" applyAlignment="1">
      <alignment horizontal="center" wrapText="1"/>
    </xf>
    <xf numFmtId="1" fontId="2" fillId="0" borderId="0" xfId="0" applyNumberFormat="1" applyFont="1" applyAlignment="1">
      <alignment horizontal="center"/>
    </xf>
    <xf numFmtId="0" fontId="2" fillId="0" borderId="21" xfId="0" applyFont="1" applyBorder="1" applyAlignment="1">
      <alignment horizontal="center"/>
    </xf>
    <xf numFmtId="0" fontId="6" fillId="0" borderId="0" xfId="0" applyFont="1" applyAlignment="1">
      <alignment horizontal="center"/>
    </xf>
    <xf numFmtId="4" fontId="3" fillId="0" borderId="15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4" fontId="3" fillId="0" borderId="9" xfId="0" applyNumberFormat="1" applyFont="1" applyBorder="1" applyAlignment="1">
      <alignment horizontal="center"/>
    </xf>
    <xf numFmtId="4" fontId="3" fillId="0" borderId="12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wrapText="1"/>
    </xf>
    <xf numFmtId="0" fontId="1" fillId="0" borderId="25" xfId="0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3" fontId="3" fillId="0" borderId="27" xfId="0" applyNumberFormat="1" applyFont="1" applyBorder="1" applyAlignment="1">
      <alignment horizontal="center"/>
    </xf>
    <xf numFmtId="3" fontId="3" fillId="0" borderId="25" xfId="0" applyNumberFormat="1" applyFont="1" applyBorder="1" applyAlignment="1">
      <alignment horizontal="center"/>
    </xf>
    <xf numFmtId="2" fontId="2" fillId="0" borderId="0" xfId="0" applyNumberFormat="1" applyFont="1"/>
    <xf numFmtId="0" fontId="2" fillId="0" borderId="18" xfId="0" applyFont="1" applyBorder="1" applyAlignment="1">
      <alignment horizontal="center"/>
    </xf>
    <xf numFmtId="0" fontId="2" fillId="0" borderId="22" xfId="0" applyFont="1" applyBorder="1" applyAlignment="1">
      <alignment horizontal="center" wrapText="1"/>
    </xf>
    <xf numFmtId="2" fontId="2" fillId="0" borderId="19" xfId="0" applyNumberFormat="1" applyFont="1" applyBorder="1" applyAlignment="1">
      <alignment horizontal="center"/>
    </xf>
    <xf numFmtId="2" fontId="2" fillId="0" borderId="22" xfId="0" applyNumberFormat="1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0" fontId="5" fillId="0" borderId="17" xfId="0" applyFont="1" applyBorder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/>
    </xf>
    <xf numFmtId="0" fontId="6" fillId="0" borderId="21" xfId="0" applyFont="1" applyBorder="1" applyAlignment="1">
      <alignment wrapText="1"/>
    </xf>
    <xf numFmtId="0" fontId="2" fillId="2" borderId="0" xfId="0" applyFont="1" applyFill="1" applyAlignment="1">
      <alignment horizontal="center" vertical="center"/>
    </xf>
    <xf numFmtId="3" fontId="8" fillId="0" borderId="16" xfId="0" applyNumberFormat="1" applyFont="1" applyBorder="1"/>
    <xf numFmtId="3" fontId="8" fillId="0" borderId="3" xfId="0" applyNumberFormat="1" applyFont="1" applyBorder="1" applyAlignment="1">
      <alignment horizontal="center"/>
    </xf>
    <xf numFmtId="3" fontId="8" fillId="0" borderId="2" xfId="0" applyNumberFormat="1" applyFont="1" applyBorder="1" applyAlignment="1">
      <alignment horizontal="center"/>
    </xf>
    <xf numFmtId="3" fontId="8" fillId="0" borderId="1" xfId="0" applyNumberFormat="1" applyFont="1" applyBorder="1"/>
    <xf numFmtId="49" fontId="11" fillId="0" borderId="1" xfId="0" applyNumberFormat="1" applyFont="1" applyBorder="1"/>
    <xf numFmtId="0" fontId="11" fillId="0" borderId="0" xfId="0" applyFont="1"/>
    <xf numFmtId="1" fontId="11" fillId="3" borderId="0" xfId="0" applyNumberFormat="1" applyFont="1" applyFill="1"/>
    <xf numFmtId="3" fontId="8" fillId="0" borderId="0" xfId="0" applyNumberFormat="1" applyFont="1"/>
    <xf numFmtId="3" fontId="8" fillId="3" borderId="0" xfId="0" applyNumberFormat="1" applyFont="1" applyFill="1"/>
    <xf numFmtId="49" fontId="11" fillId="0" borderId="20" xfId="0" applyNumberFormat="1" applyFont="1" applyBorder="1"/>
    <xf numFmtId="0" fontId="11" fillId="0" borderId="21" xfId="0" applyFont="1" applyBorder="1"/>
    <xf numFmtId="1" fontId="11" fillId="3" borderId="21" xfId="0" applyNumberFormat="1" applyFont="1" applyFill="1" applyBorder="1"/>
    <xf numFmtId="3" fontId="8" fillId="0" borderId="21" xfId="0" applyNumberFormat="1" applyFont="1" applyBorder="1"/>
    <xf numFmtId="3" fontId="8" fillId="3" borderId="21" xfId="0" applyNumberFormat="1" applyFont="1" applyFill="1" applyBorder="1"/>
    <xf numFmtId="3" fontId="8" fillId="0" borderId="2" xfId="0" applyNumberFormat="1" applyFont="1" applyBorder="1"/>
    <xf numFmtId="0" fontId="0" fillId="4" borderId="6" xfId="0" applyFill="1" applyBorder="1"/>
    <xf numFmtId="0" fontId="0" fillId="4" borderId="7" xfId="0" applyFill="1" applyBorder="1"/>
    <xf numFmtId="0" fontId="0" fillId="4" borderId="28" xfId="0" applyFill="1" applyBorder="1"/>
    <xf numFmtId="3" fontId="10" fillId="4" borderId="8" xfId="0" applyNumberFormat="1" applyFont="1" applyFill="1" applyBorder="1"/>
    <xf numFmtId="3" fontId="8" fillId="4" borderId="5" xfId="0" applyNumberFormat="1" applyFont="1" applyFill="1" applyBorder="1" applyAlignment="1">
      <alignment horizontal="center"/>
    </xf>
    <xf numFmtId="3" fontId="8" fillId="4" borderId="9" xfId="0" applyNumberFormat="1" applyFont="1" applyFill="1" applyBorder="1" applyAlignment="1">
      <alignment horizontal="center"/>
    </xf>
    <xf numFmtId="1" fontId="7" fillId="4" borderId="8" xfId="0" applyNumberFormat="1" applyFont="1" applyFill="1" applyBorder="1"/>
    <xf numFmtId="1" fontId="11" fillId="4" borderId="5" xfId="0" applyNumberFormat="1" applyFont="1" applyFill="1" applyBorder="1"/>
    <xf numFmtId="1" fontId="0" fillId="4" borderId="9" xfId="0" applyNumberFormat="1" applyFill="1" applyBorder="1"/>
    <xf numFmtId="3" fontId="12" fillId="4" borderId="10" xfId="0" applyNumberFormat="1" applyFont="1" applyFill="1" applyBorder="1" applyAlignment="1">
      <alignment horizontal="right" shrinkToFit="1"/>
    </xf>
    <xf numFmtId="3" fontId="12" fillId="4" borderId="11" xfId="0" applyNumberFormat="1" applyFont="1" applyFill="1" applyBorder="1" applyAlignment="1">
      <alignment horizontal="right" shrinkToFit="1"/>
    </xf>
    <xf numFmtId="1" fontId="0" fillId="4" borderId="12" xfId="0" applyNumberFormat="1" applyFill="1" applyBorder="1"/>
    <xf numFmtId="2" fontId="11" fillId="0" borderId="0" xfId="0" applyNumberFormat="1" applyFont="1"/>
    <xf numFmtId="4" fontId="8" fillId="0" borderId="0" xfId="0" applyNumberFormat="1" applyFont="1"/>
    <xf numFmtId="3" fontId="8" fillId="0" borderId="3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3" fillId="0" borderId="0" xfId="0" applyFont="1"/>
    <xf numFmtId="0" fontId="13" fillId="0" borderId="5" xfId="0" applyFont="1" applyBorder="1" applyAlignment="1">
      <alignment horizontal="center"/>
    </xf>
    <xf numFmtId="0" fontId="13" fillId="0" borderId="5" xfId="0" applyFont="1" applyBorder="1"/>
    <xf numFmtId="1" fontId="0" fillId="0" borderId="0" xfId="0" applyNumberFormat="1"/>
    <xf numFmtId="2" fontId="0" fillId="0" borderId="0" xfId="0" applyNumberFormat="1"/>
    <xf numFmtId="0" fontId="0" fillId="0" borderId="5" xfId="0" applyBorder="1"/>
    <xf numFmtId="0" fontId="13" fillId="0" borderId="33" xfId="0" applyFont="1" applyBorder="1"/>
    <xf numFmtId="0" fontId="13" fillId="0" borderId="34" xfId="0" applyFont="1" applyBorder="1"/>
    <xf numFmtId="0" fontId="0" fillId="0" borderId="35" xfId="0" applyBorder="1"/>
    <xf numFmtId="0" fontId="0" fillId="0" borderId="36" xfId="0" applyBorder="1"/>
    <xf numFmtId="0" fontId="0" fillId="0" borderId="30" xfId="0" applyBorder="1"/>
    <xf numFmtId="0" fontId="0" fillId="0" borderId="37" xfId="0" applyBorder="1"/>
    <xf numFmtId="0" fontId="13" fillId="0" borderId="17" xfId="0" applyFont="1" applyBorder="1"/>
    <xf numFmtId="0" fontId="13" fillId="0" borderId="18" xfId="0" applyFont="1" applyBorder="1"/>
    <xf numFmtId="0" fontId="13" fillId="0" borderId="36" xfId="0" applyFont="1" applyBorder="1"/>
    <xf numFmtId="0" fontId="13" fillId="0" borderId="30" xfId="0" applyFont="1" applyBorder="1"/>
    <xf numFmtId="0" fontId="13" fillId="0" borderId="37" xfId="0" applyFont="1" applyBorder="1"/>
    <xf numFmtId="0" fontId="13" fillId="0" borderId="0" xfId="0" applyFont="1" applyAlignment="1">
      <alignment horizontal="center"/>
    </xf>
    <xf numFmtId="0" fontId="13" fillId="0" borderId="14" xfId="0" applyFont="1" applyBorder="1" applyAlignment="1">
      <alignment horizontal="center"/>
    </xf>
    <xf numFmtId="2" fontId="0" fillId="3" borderId="0" xfId="0" applyNumberFormat="1" applyFill="1" applyAlignment="1">
      <alignment horizontal="center"/>
    </xf>
    <xf numFmtId="0" fontId="14" fillId="0" borderId="2" xfId="0" applyFont="1" applyBorder="1" applyAlignment="1">
      <alignment horizontal="center"/>
    </xf>
    <xf numFmtId="0" fontId="13" fillId="3" borderId="5" xfId="0" applyFont="1" applyFill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0" fillId="0" borderId="19" xfId="0" applyNumberFormat="1" applyBorder="1"/>
    <xf numFmtId="3" fontId="15" fillId="0" borderId="21" xfId="0" applyNumberFormat="1" applyFont="1" applyBorder="1" applyAlignment="1">
      <alignment horizontal="right" vertical="top" shrinkToFit="1"/>
    </xf>
    <xf numFmtId="3" fontId="15" fillId="0" borderId="22" xfId="0" applyNumberFormat="1" applyFont="1" applyBorder="1" applyAlignment="1">
      <alignment horizontal="right" vertical="top" shrinkToFit="1"/>
    </xf>
    <xf numFmtId="0" fontId="0" fillId="0" borderId="16" xfId="0" applyBorder="1"/>
    <xf numFmtId="0" fontId="0" fillId="0" borderId="21" xfId="0" applyBorder="1"/>
    <xf numFmtId="0" fontId="14" fillId="0" borderId="1" xfId="0" applyFont="1" applyBorder="1" applyAlignment="1">
      <alignment horizontal="left"/>
    </xf>
    <xf numFmtId="0" fontId="14" fillId="0" borderId="3" xfId="0" applyFont="1" applyBorder="1"/>
    <xf numFmtId="0" fontId="14" fillId="0" borderId="0" xfId="0" applyFont="1" applyAlignment="1">
      <alignment horizontal="center"/>
    </xf>
    <xf numFmtId="2" fontId="0" fillId="0" borderId="19" xfId="0" applyNumberFormat="1" applyBorder="1"/>
    <xf numFmtId="1" fontId="0" fillId="0" borderId="21" xfId="0" applyNumberFormat="1" applyBorder="1"/>
    <xf numFmtId="2" fontId="0" fillId="0" borderId="22" xfId="0" applyNumberFormat="1" applyBorder="1"/>
    <xf numFmtId="2" fontId="0" fillId="0" borderId="1" xfId="0" applyNumberFormat="1" applyBorder="1"/>
    <xf numFmtId="0" fontId="0" fillId="0" borderId="20" xfId="0" applyBorder="1"/>
    <xf numFmtId="1" fontId="0" fillId="0" borderId="1" xfId="0" applyNumberFormat="1" applyBorder="1" applyAlignment="1">
      <alignment horizontal="center" vertical="center" shrinkToFit="1"/>
    </xf>
    <xf numFmtId="1" fontId="0" fillId="0" borderId="0" xfId="0" applyNumberFormat="1" applyAlignment="1">
      <alignment horizontal="center" vertical="center" shrinkToFit="1"/>
    </xf>
    <xf numFmtId="1" fontId="0" fillId="0" borderId="0" xfId="0" applyNumberFormat="1" applyAlignment="1">
      <alignment horizontal="center" vertical="center"/>
    </xf>
    <xf numFmtId="3" fontId="0" fillId="0" borderId="41" xfId="0" applyNumberFormat="1" applyBorder="1"/>
    <xf numFmtId="3" fontId="0" fillId="0" borderId="42" xfId="0" applyNumberFormat="1" applyBorder="1"/>
    <xf numFmtId="0" fontId="14" fillId="0" borderId="4" xfId="0" applyFont="1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14" fillId="0" borderId="4" xfId="0" applyFont="1" applyBorder="1" applyAlignment="1">
      <alignment horizontal="center" vertical="center"/>
    </xf>
    <xf numFmtId="0" fontId="13" fillId="3" borderId="14" xfId="0" applyFont="1" applyFill="1" applyBorder="1" applyAlignment="1">
      <alignment horizontal="center" wrapText="1"/>
    </xf>
    <xf numFmtId="0" fontId="13" fillId="0" borderId="43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1" fontId="0" fillId="0" borderId="1" xfId="0" applyNumberFormat="1" applyBorder="1"/>
    <xf numFmtId="1" fontId="0" fillId="0" borderId="20" xfId="0" applyNumberFormat="1" applyBorder="1"/>
    <xf numFmtId="2" fontId="0" fillId="3" borderId="21" xfId="0" applyNumberFormat="1" applyFill="1" applyBorder="1" applyAlignment="1">
      <alignment horizontal="center"/>
    </xf>
    <xf numFmtId="1" fontId="0" fillId="0" borderId="22" xfId="0" applyNumberFormat="1" applyBorder="1"/>
    <xf numFmtId="0" fontId="13" fillId="0" borderId="13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" fontId="0" fillId="0" borderId="22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2" fontId="0" fillId="0" borderId="19" xfId="0" applyNumberFormat="1" applyBorder="1" applyAlignment="1">
      <alignment horizontal="center"/>
    </xf>
    <xf numFmtId="2" fontId="0" fillId="0" borderId="22" xfId="0" applyNumberFormat="1" applyBorder="1" applyAlignment="1">
      <alignment horizontal="center"/>
    </xf>
    <xf numFmtId="0" fontId="13" fillId="0" borderId="31" xfId="0" applyFont="1" applyBorder="1" applyAlignment="1">
      <alignment horizontal="center"/>
    </xf>
    <xf numFmtId="0" fontId="13" fillId="0" borderId="44" xfId="0" applyFont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3" fontId="10" fillId="4" borderId="29" xfId="0" applyNumberFormat="1" applyFont="1" applyFill="1" applyBorder="1" applyAlignment="1">
      <alignment horizontal="center"/>
    </xf>
    <xf numFmtId="3" fontId="10" fillId="4" borderId="30" xfId="0" applyNumberFormat="1" applyFont="1" applyFill="1" applyBorder="1" applyAlignment="1">
      <alignment horizontal="center"/>
    </xf>
    <xf numFmtId="3" fontId="10" fillId="4" borderId="31" xfId="0" applyNumberFormat="1" applyFont="1" applyFill="1" applyBorder="1" applyAlignment="1">
      <alignment horizontal="center"/>
    </xf>
    <xf numFmtId="3" fontId="9" fillId="0" borderId="3" xfId="0" applyNumberFormat="1" applyFont="1" applyBorder="1" applyAlignment="1">
      <alignment horizontal="center"/>
    </xf>
    <xf numFmtId="3" fontId="9" fillId="0" borderId="2" xfId="0" applyNumberFormat="1" applyFont="1" applyBorder="1" applyAlignment="1">
      <alignment horizontal="center"/>
    </xf>
    <xf numFmtId="3" fontId="9" fillId="0" borderId="4" xfId="0" applyNumberFormat="1" applyFont="1" applyBorder="1" applyAlignment="1">
      <alignment horizontal="center"/>
    </xf>
    <xf numFmtId="3" fontId="8" fillId="0" borderId="3" xfId="0" applyNumberFormat="1" applyFont="1" applyBorder="1" applyAlignment="1">
      <alignment horizontal="center"/>
    </xf>
    <xf numFmtId="3" fontId="8" fillId="0" borderId="2" xfId="0" applyNumberFormat="1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" xfId="0" applyBorder="1" applyAlignment="1">
      <alignment horizontal="center"/>
    </xf>
    <xf numFmtId="0" fontId="13" fillId="0" borderId="33" xfId="0" applyFont="1" applyBorder="1" applyAlignment="1">
      <alignment horizontal="center"/>
    </xf>
    <xf numFmtId="0" fontId="13" fillId="0" borderId="34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17" fontId="13" fillId="0" borderId="16" xfId="0" applyNumberFormat="1" applyFont="1" applyBorder="1" applyAlignment="1">
      <alignment horizontal="center"/>
    </xf>
    <xf numFmtId="17" fontId="13" fillId="0" borderId="17" xfId="0" applyNumberFormat="1" applyFont="1" applyBorder="1" applyAlignment="1">
      <alignment horizontal="center"/>
    </xf>
    <xf numFmtId="17" fontId="13" fillId="0" borderId="18" xfId="0" applyNumberFormat="1" applyFon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7" xfId="0" applyBorder="1" applyAlignment="1">
      <alignment horizontal="center"/>
    </xf>
    <xf numFmtId="0" fontId="13" fillId="0" borderId="36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13" fillId="0" borderId="37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3" fillId="0" borderId="40" xfId="0" applyFont="1" applyBorder="1" applyAlignment="1">
      <alignment horizontal="center"/>
    </xf>
    <xf numFmtId="0" fontId="13" fillId="0" borderId="38" xfId="0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17" fontId="13" fillId="0" borderId="40" xfId="0" applyNumberFormat="1" applyFont="1" applyBorder="1" applyAlignment="1">
      <alignment horizontal="center"/>
    </xf>
    <xf numFmtId="17" fontId="13" fillId="0" borderId="38" xfId="0" applyNumberFormat="1" applyFont="1" applyBorder="1" applyAlignment="1">
      <alignment horizontal="center"/>
    </xf>
    <xf numFmtId="17" fontId="13" fillId="0" borderId="39" xfId="0" applyNumberFormat="1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4" fillId="0" borderId="1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6"/>
  <sheetViews>
    <sheetView zoomScale="97" workbookViewId="0">
      <selection activeCell="Z4" sqref="Z4"/>
    </sheetView>
  </sheetViews>
  <sheetFormatPr defaultRowHeight="13.8" x14ac:dyDescent="0.25"/>
  <cols>
    <col min="1" max="1" width="12.6640625" style="1" bestFit="1" customWidth="1"/>
    <col min="2" max="9" width="12.6640625" style="1" customWidth="1"/>
    <col min="10" max="11" width="11.33203125" style="1" customWidth="1"/>
    <col min="12" max="12" width="8.88671875" style="1"/>
    <col min="13" max="13" width="12.6640625" style="1" bestFit="1" customWidth="1"/>
    <col min="14" max="15" width="8.88671875" style="1"/>
    <col min="16" max="16" width="9.109375" style="1" bestFit="1" customWidth="1"/>
    <col min="17" max="19" width="8.88671875" style="1"/>
    <col min="20" max="20" width="17.44140625" style="1" customWidth="1"/>
    <col min="21" max="21" width="18.44140625" style="32" bestFit="1" customWidth="1"/>
    <col min="22" max="22" width="22.44140625" style="32" bestFit="1" customWidth="1"/>
    <col min="23" max="23" width="17.77734375" style="32" customWidth="1"/>
    <col min="24" max="24" width="21" style="32" customWidth="1"/>
    <col min="25" max="25" width="11.6640625" style="1" customWidth="1"/>
    <col min="26" max="26" width="8.88671875" style="1"/>
    <col min="27" max="27" width="17.88671875" style="1" customWidth="1"/>
    <col min="28" max="28" width="9.44140625" style="1" bestFit="1" customWidth="1"/>
    <col min="29" max="16384" width="8.88671875" style="1"/>
  </cols>
  <sheetData>
    <row r="1" spans="1:28" x14ac:dyDescent="0.25">
      <c r="A1" s="2"/>
      <c r="B1" s="2"/>
      <c r="C1" s="2"/>
      <c r="D1" s="2"/>
      <c r="G1" s="2"/>
      <c r="H1" s="2"/>
      <c r="I1" s="2"/>
    </row>
    <row r="2" spans="1:28" ht="14.4" thickBot="1" x14ac:dyDescent="0.3">
      <c r="A2" s="1" t="s">
        <v>44</v>
      </c>
      <c r="M2" s="1" t="s">
        <v>45</v>
      </c>
      <c r="Q2" s="168" t="s">
        <v>37</v>
      </c>
      <c r="R2" s="168"/>
      <c r="S2" s="168"/>
      <c r="T2" s="37"/>
    </row>
    <row r="3" spans="1:28" ht="27.6" customHeight="1" thickBot="1" x14ac:dyDescent="0.3">
      <c r="A3" s="7">
        <v>2011</v>
      </c>
      <c r="B3" s="166" t="s">
        <v>35</v>
      </c>
      <c r="C3" s="166"/>
      <c r="D3" s="167"/>
      <c r="E3" s="169" t="s">
        <v>33</v>
      </c>
      <c r="F3" s="170"/>
      <c r="G3" s="170"/>
      <c r="H3" s="170"/>
      <c r="I3" s="170"/>
      <c r="J3" s="170"/>
      <c r="K3" s="171"/>
      <c r="M3" s="17">
        <v>2036</v>
      </c>
      <c r="N3" s="165" t="s">
        <v>35</v>
      </c>
      <c r="O3" s="165"/>
      <c r="P3" s="165"/>
      <c r="Q3" s="162" t="s">
        <v>33</v>
      </c>
      <c r="R3" s="163"/>
      <c r="S3" s="164"/>
      <c r="T3" s="56"/>
      <c r="U3" s="33"/>
      <c r="V3" s="50"/>
      <c r="W3" s="160" t="s">
        <v>47</v>
      </c>
      <c r="X3" s="161"/>
    </row>
    <row r="4" spans="1:28" ht="55.8" thickBot="1" x14ac:dyDescent="0.3">
      <c r="A4" s="15" t="s">
        <v>0</v>
      </c>
      <c r="B4" s="16" t="s">
        <v>31</v>
      </c>
      <c r="C4" s="16" t="s">
        <v>32</v>
      </c>
      <c r="D4" s="16" t="s">
        <v>34</v>
      </c>
      <c r="E4" s="42" t="s">
        <v>31</v>
      </c>
      <c r="F4" s="43" t="s">
        <v>39</v>
      </c>
      <c r="G4" s="42" t="s">
        <v>32</v>
      </c>
      <c r="H4" s="43" t="s">
        <v>40</v>
      </c>
      <c r="I4" s="42" t="s">
        <v>34</v>
      </c>
      <c r="J4" s="44" t="s">
        <v>41</v>
      </c>
      <c r="K4" s="45" t="s">
        <v>43</v>
      </c>
      <c r="M4" s="27" t="s">
        <v>0</v>
      </c>
      <c r="N4" s="28" t="s">
        <v>31</v>
      </c>
      <c r="O4" s="28" t="s">
        <v>32</v>
      </c>
      <c r="P4" s="28" t="s">
        <v>34</v>
      </c>
      <c r="Q4" s="29" t="s">
        <v>31</v>
      </c>
      <c r="R4" s="29" t="s">
        <v>32</v>
      </c>
      <c r="S4" s="30" t="s">
        <v>34</v>
      </c>
      <c r="T4" s="58" t="s">
        <v>49</v>
      </c>
      <c r="U4" s="34" t="s">
        <v>38</v>
      </c>
      <c r="V4" s="51" t="s">
        <v>46</v>
      </c>
      <c r="W4" s="59" t="s">
        <v>31</v>
      </c>
      <c r="X4" s="59" t="s">
        <v>32</v>
      </c>
      <c r="Y4" s="32" t="s">
        <v>42</v>
      </c>
      <c r="Z4" s="1" t="s">
        <v>34</v>
      </c>
      <c r="AA4" s="51" t="s">
        <v>46</v>
      </c>
      <c r="AB4" s="1" t="s">
        <v>48</v>
      </c>
    </row>
    <row r="5" spans="1:28" ht="15" customHeight="1" x14ac:dyDescent="0.25">
      <c r="A5" s="12" t="s">
        <v>1</v>
      </c>
      <c r="B5" s="13">
        <v>749161</v>
      </c>
      <c r="C5" s="13">
        <v>732094</v>
      </c>
      <c r="D5" s="13">
        <v>1481255</v>
      </c>
      <c r="E5" s="14">
        <v>77111</v>
      </c>
      <c r="F5" s="31">
        <f>(E5/E$35)*100</f>
        <v>3.8666278889017032</v>
      </c>
      <c r="G5" s="14">
        <v>78052</v>
      </c>
      <c r="H5" s="31">
        <f>(G5/G$35)*100</f>
        <v>3.9218602557158206</v>
      </c>
      <c r="I5" s="14">
        <v>155163</v>
      </c>
      <c r="J5" s="38">
        <f>(I5/I$35)*100</f>
        <v>3.8942157106831363</v>
      </c>
      <c r="K5" s="46">
        <f>(G5/E5)*1000</f>
        <v>1012.2031876126623</v>
      </c>
      <c r="L5" s="4"/>
      <c r="M5" s="18" t="s">
        <v>1</v>
      </c>
      <c r="N5" s="19">
        <v>873440.26520493091</v>
      </c>
      <c r="O5" s="19">
        <v>856631.75749442761</v>
      </c>
      <c r="P5" s="19">
        <v>1730072.0226993584</v>
      </c>
      <c r="Q5" s="20">
        <v>90017.065232613051</v>
      </c>
      <c r="R5" s="20">
        <v>91434.314389171501</v>
      </c>
      <c r="S5" s="20">
        <v>181451.37962178455</v>
      </c>
      <c r="T5" s="57">
        <f>(S5/P5)*100</f>
        <v>10.488082417440264</v>
      </c>
      <c r="U5" s="35">
        <f>(8350000*J5)/100</f>
        <v>325167.01184204186</v>
      </c>
      <c r="V5" s="52">
        <f>(U5/P5)*100</f>
        <v>18.794998565128953</v>
      </c>
      <c r="W5" s="55">
        <f>(F5*W$35)/100</f>
        <v>155090.44462384732</v>
      </c>
      <c r="X5" s="55">
        <f t="shared" ref="X5:X34" si="0">(H5*4340000)/100</f>
        <v>170208.73509806662</v>
      </c>
      <c r="Y5" s="21">
        <f t="shared" ref="Y5:Y34" si="1">(X5/W5)*1000</f>
        <v>1097.4804767043311</v>
      </c>
      <c r="Z5" s="21">
        <f>SUM(W5:X5)</f>
        <v>325299.17972191394</v>
      </c>
      <c r="AA5" s="49">
        <f>(Z5/P5)*100</f>
        <v>18.802638008928863</v>
      </c>
      <c r="AB5" s="49">
        <f>AA5-V5</f>
        <v>7.6394437999098841E-3</v>
      </c>
    </row>
    <row r="6" spans="1:28" x14ac:dyDescent="0.25">
      <c r="A6" s="8" t="s">
        <v>2</v>
      </c>
      <c r="B6" s="5">
        <v>296690</v>
      </c>
      <c r="C6" s="5">
        <v>282815</v>
      </c>
      <c r="D6" s="5">
        <v>579505</v>
      </c>
      <c r="E6" s="6">
        <v>26164</v>
      </c>
      <c r="F6" s="31">
        <f t="shared" ref="F6:F34" si="2">(E6/E$35)*100</f>
        <v>1.311958761852708</v>
      </c>
      <c r="G6" s="6">
        <v>26059</v>
      </c>
      <c r="H6" s="31">
        <f t="shared" ref="H6:H34" si="3">(G6/G$35)*100</f>
        <v>1.3093803669822499</v>
      </c>
      <c r="I6" s="6">
        <v>52223</v>
      </c>
      <c r="J6" s="40">
        <f t="shared" ref="J6:J34" si="4">(I6/I$35)*100</f>
        <v>1.3106708884141542</v>
      </c>
      <c r="K6" s="47">
        <f t="shared" ref="K6:K35" si="5">(G6/E6)*1000</f>
        <v>995.98685216327772</v>
      </c>
      <c r="M6" s="18" t="s">
        <v>2</v>
      </c>
      <c r="N6" s="19">
        <v>345908.02722558344</v>
      </c>
      <c r="O6" s="19">
        <v>330924.8828640313</v>
      </c>
      <c r="P6" s="19">
        <v>676832.9100896148</v>
      </c>
      <c r="Q6" s="20">
        <v>30575.115556910241</v>
      </c>
      <c r="R6" s="20">
        <v>30560.61969614292</v>
      </c>
      <c r="S6" s="20">
        <v>61135.735253053164</v>
      </c>
      <c r="T6" s="57">
        <f t="shared" ref="T6:T35" si="6">(S6/P6)*100</f>
        <v>9.0326185889747297</v>
      </c>
      <c r="U6" s="35">
        <f t="shared" ref="U6:U34" si="7">(8350000*J6)/100</f>
        <v>109441.01918258188</v>
      </c>
      <c r="V6" s="52">
        <f t="shared" ref="V6:V35" si="8">(U6/P6)*100</f>
        <v>16.169577092238548</v>
      </c>
      <c r="W6" s="55">
        <f t="shared" ref="W6:W34" si="9">(F6*W$35)/100</f>
        <v>52622.665937912119</v>
      </c>
      <c r="X6" s="55">
        <f t="shared" si="0"/>
        <v>56827.107927029647</v>
      </c>
      <c r="Y6" s="21">
        <f t="shared" si="1"/>
        <v>1079.8979282820492</v>
      </c>
      <c r="Z6" s="21">
        <f t="shared" ref="Z6:Z35" si="10">SUM(W6:X6)</f>
        <v>109449.77386494176</v>
      </c>
      <c r="AA6" s="49">
        <f t="shared" ref="AA6:AA35" si="11">(Z6/P6)*100</f>
        <v>16.170870569879686</v>
      </c>
      <c r="AB6" s="49">
        <f t="shared" ref="AB6:AB35" si="12">AA6-V6</f>
        <v>1.2934776411377413E-3</v>
      </c>
    </row>
    <row r="7" spans="1:28" x14ac:dyDescent="0.25">
      <c r="A7" s="8" t="s">
        <v>3</v>
      </c>
      <c r="B7" s="5">
        <v>526877</v>
      </c>
      <c r="C7" s="5">
        <v>514222</v>
      </c>
      <c r="D7" s="5">
        <v>1041099</v>
      </c>
      <c r="E7" s="6">
        <v>50266</v>
      </c>
      <c r="F7" s="31">
        <f t="shared" si="2"/>
        <v>2.5205212935058943</v>
      </c>
      <c r="G7" s="6">
        <v>48556</v>
      </c>
      <c r="H7" s="31">
        <f t="shared" si="3"/>
        <v>2.4397817682639444</v>
      </c>
      <c r="I7" s="6">
        <v>98822</v>
      </c>
      <c r="J7" s="40">
        <f t="shared" si="4"/>
        <v>2.4801929903464672</v>
      </c>
      <c r="K7" s="47">
        <f t="shared" si="5"/>
        <v>965.98098118012172</v>
      </c>
      <c r="M7" s="18" t="s">
        <v>3</v>
      </c>
      <c r="N7" s="19">
        <v>614281.0421689488</v>
      </c>
      <c r="O7" s="19">
        <v>601697.52024291491</v>
      </c>
      <c r="P7" s="19">
        <v>1215978.5624118638</v>
      </c>
      <c r="Q7" s="20">
        <v>58727.192233252797</v>
      </c>
      <c r="R7" s="20">
        <v>56926.360299466869</v>
      </c>
      <c r="S7" s="20">
        <v>115653.55253271967</v>
      </c>
      <c r="T7" s="57">
        <f t="shared" si="6"/>
        <v>9.5111506162841941</v>
      </c>
      <c r="U7" s="35">
        <f t="shared" si="7"/>
        <v>207096.11469392999</v>
      </c>
      <c r="V7" s="52">
        <f t="shared" si="8"/>
        <v>17.031230738407093</v>
      </c>
      <c r="W7" s="55">
        <f t="shared" si="9"/>
        <v>101098.10908252142</v>
      </c>
      <c r="X7" s="55">
        <f t="shared" si="0"/>
        <v>105886.52874265518</v>
      </c>
      <c r="Y7" s="21">
        <f t="shared" si="1"/>
        <v>1047.3640872573119</v>
      </c>
      <c r="Z7" s="21">
        <f t="shared" si="10"/>
        <v>206984.63782517659</v>
      </c>
      <c r="AA7" s="49">
        <f t="shared" si="11"/>
        <v>17.022063071130759</v>
      </c>
      <c r="AB7" s="49">
        <f t="shared" si="12"/>
        <v>-9.1676672763334466E-3</v>
      </c>
    </row>
    <row r="8" spans="1:28" x14ac:dyDescent="0.25">
      <c r="A8" s="8" t="s">
        <v>4</v>
      </c>
      <c r="B8" s="5">
        <v>158230</v>
      </c>
      <c r="C8" s="5">
        <v>154290</v>
      </c>
      <c r="D8" s="5">
        <v>312520</v>
      </c>
      <c r="E8" s="6">
        <v>14844</v>
      </c>
      <c r="F8" s="31">
        <f t="shared" si="2"/>
        <v>0.74433251264873868</v>
      </c>
      <c r="G8" s="6">
        <v>13953</v>
      </c>
      <c r="H8" s="31">
        <f t="shared" si="3"/>
        <v>0.70109306805722904</v>
      </c>
      <c r="I8" s="6">
        <v>28797</v>
      </c>
      <c r="J8" s="40">
        <f t="shared" si="4"/>
        <v>0.72273499365533189</v>
      </c>
      <c r="K8" s="47">
        <f t="shared" si="5"/>
        <v>939.97574777687953</v>
      </c>
      <c r="M8" s="18" t="s">
        <v>4</v>
      </c>
      <c r="N8" s="19">
        <v>184478.78019378614</v>
      </c>
      <c r="O8" s="19">
        <v>180537.02122094345</v>
      </c>
      <c r="P8" s="19">
        <v>365015.80141472956</v>
      </c>
      <c r="Q8" s="20">
        <v>17345.970007414136</v>
      </c>
      <c r="R8" s="20">
        <v>16362.481607662323</v>
      </c>
      <c r="S8" s="20">
        <v>33708.451615076461</v>
      </c>
      <c r="T8" s="57">
        <f t="shared" si="6"/>
        <v>9.2347924348560042</v>
      </c>
      <c r="U8" s="35">
        <f t="shared" si="7"/>
        <v>60348.371970220214</v>
      </c>
      <c r="V8" s="52">
        <f t="shared" si="8"/>
        <v>16.53308479696544</v>
      </c>
      <c r="W8" s="55">
        <f t="shared" si="9"/>
        <v>29855.17708234091</v>
      </c>
      <c r="X8" s="55">
        <f t="shared" si="0"/>
        <v>30427.439153683739</v>
      </c>
      <c r="Y8" s="21">
        <f t="shared" si="1"/>
        <v>1019.1679342502147</v>
      </c>
      <c r="Z8" s="21">
        <f t="shared" si="10"/>
        <v>60282.616236024653</v>
      </c>
      <c r="AA8" s="49">
        <f t="shared" si="11"/>
        <v>16.515070307197956</v>
      </c>
      <c r="AB8" s="49">
        <f t="shared" si="12"/>
        <v>-1.8014489767484321E-2</v>
      </c>
    </row>
    <row r="9" spans="1:28" x14ac:dyDescent="0.25">
      <c r="A9" s="8" t="s">
        <v>5</v>
      </c>
      <c r="B9" s="5">
        <v>1061147</v>
      </c>
      <c r="C9" s="5">
        <v>1032290</v>
      </c>
      <c r="D9" s="5">
        <v>2093437</v>
      </c>
      <c r="E9" s="6">
        <v>81163</v>
      </c>
      <c r="F9" s="31">
        <f t="shared" si="2"/>
        <v>4.0698100056662332</v>
      </c>
      <c r="G9" s="6">
        <v>82807</v>
      </c>
      <c r="H9" s="31">
        <f t="shared" si="3"/>
        <v>4.1607836083003633</v>
      </c>
      <c r="I9" s="6">
        <v>163970</v>
      </c>
      <c r="J9" s="40">
        <f t="shared" si="4"/>
        <v>4.1152500923590924</v>
      </c>
      <c r="K9" s="47">
        <f t="shared" si="5"/>
        <v>1020.2555351576457</v>
      </c>
      <c r="M9" s="18" t="s">
        <v>5</v>
      </c>
      <c r="N9" s="19">
        <v>1237182.6610335258</v>
      </c>
      <c r="O9" s="19">
        <v>1207894.3325524267</v>
      </c>
      <c r="P9" s="19">
        <v>2445076.9935859526</v>
      </c>
      <c r="Q9" s="20">
        <v>94938.967496223617</v>
      </c>
      <c r="R9" s="20">
        <v>97210.357371840888</v>
      </c>
      <c r="S9" s="20">
        <v>192149.32486806449</v>
      </c>
      <c r="T9" s="57">
        <f t="shared" si="6"/>
        <v>7.8586206230773152</v>
      </c>
      <c r="U9" s="35">
        <f t="shared" si="7"/>
        <v>343623.38271198422</v>
      </c>
      <c r="V9" s="52">
        <f t="shared" si="8"/>
        <v>14.053683528714808</v>
      </c>
      <c r="W9" s="55">
        <f t="shared" si="9"/>
        <v>163240.0793272726</v>
      </c>
      <c r="X9" s="55">
        <f t="shared" si="0"/>
        <v>180578.00860023577</v>
      </c>
      <c r="Y9" s="21">
        <f t="shared" si="1"/>
        <v>1106.2112279313656</v>
      </c>
      <c r="Z9" s="21">
        <f t="shared" si="10"/>
        <v>343818.0879275084</v>
      </c>
      <c r="AA9" s="49">
        <f t="shared" si="11"/>
        <v>14.061646681451304</v>
      </c>
      <c r="AB9" s="49">
        <f t="shared" si="12"/>
        <v>7.9631527364956156E-3</v>
      </c>
    </row>
    <row r="10" spans="1:28" x14ac:dyDescent="0.25">
      <c r="A10" s="8" t="s">
        <v>6</v>
      </c>
      <c r="B10" s="5">
        <v>906487</v>
      </c>
      <c r="C10" s="5">
        <v>895246</v>
      </c>
      <c r="D10" s="5">
        <v>1801733</v>
      </c>
      <c r="E10" s="6">
        <v>71506</v>
      </c>
      <c r="F10" s="31">
        <f t="shared" si="2"/>
        <v>3.5855726656871938</v>
      </c>
      <c r="G10" s="6">
        <v>72466</v>
      </c>
      <c r="H10" s="31">
        <f t="shared" si="3"/>
        <v>3.6411818440360606</v>
      </c>
      <c r="I10" s="6">
        <v>143972</v>
      </c>
      <c r="J10" s="40">
        <f t="shared" si="4"/>
        <v>3.6133486997446069</v>
      </c>
      <c r="K10" s="47">
        <f t="shared" si="5"/>
        <v>1013.4254468156519</v>
      </c>
      <c r="M10" s="18" t="s">
        <v>6</v>
      </c>
      <c r="N10" s="19">
        <v>1056865.3078515218</v>
      </c>
      <c r="O10" s="19">
        <v>1047537.7791930127</v>
      </c>
      <c r="P10" s="19">
        <v>2104403.0870445343</v>
      </c>
      <c r="Q10" s="20">
        <v>83702.445269127187</v>
      </c>
      <c r="R10" s="20">
        <v>85131.960154027212</v>
      </c>
      <c r="S10" s="20">
        <v>168834.40542315441</v>
      </c>
      <c r="T10" s="57">
        <f t="shared" si="6"/>
        <v>8.0229118871075613</v>
      </c>
      <c r="U10" s="35">
        <f t="shared" si="7"/>
        <v>301714.61642867466</v>
      </c>
      <c r="V10" s="52">
        <f t="shared" si="8"/>
        <v>14.337301550550787</v>
      </c>
      <c r="W10" s="55">
        <f t="shared" si="9"/>
        <v>143817.31962071336</v>
      </c>
      <c r="X10" s="55">
        <f t="shared" si="0"/>
        <v>158027.29203116504</v>
      </c>
      <c r="Y10" s="21">
        <f t="shared" si="1"/>
        <v>1098.8057102435739</v>
      </c>
      <c r="Z10" s="21">
        <f t="shared" si="10"/>
        <v>301844.6116518784</v>
      </c>
      <c r="AA10" s="49">
        <f t="shared" si="11"/>
        <v>14.343478847286573</v>
      </c>
      <c r="AB10" s="49">
        <f t="shared" si="12"/>
        <v>6.1772967357853759E-3</v>
      </c>
    </row>
    <row r="11" spans="1:28" x14ac:dyDescent="0.25">
      <c r="A11" s="8" t="s">
        <v>7</v>
      </c>
      <c r="B11" s="5">
        <v>1256213</v>
      </c>
      <c r="C11" s="5">
        <v>1263525</v>
      </c>
      <c r="D11" s="5">
        <v>2519738</v>
      </c>
      <c r="E11" s="6">
        <v>103185</v>
      </c>
      <c r="F11" s="31">
        <f t="shared" si="2"/>
        <v>5.1740737212112702</v>
      </c>
      <c r="G11" s="6">
        <v>109731</v>
      </c>
      <c r="H11" s="31">
        <f t="shared" si="3"/>
        <v>5.5136274242806422</v>
      </c>
      <c r="I11" s="6">
        <v>212916</v>
      </c>
      <c r="J11" s="40">
        <f t="shared" si="4"/>
        <v>5.3436762131165976</v>
      </c>
      <c r="K11" s="47">
        <f t="shared" si="5"/>
        <v>1063.4394534089258</v>
      </c>
      <c r="M11" s="18" t="s">
        <v>7</v>
      </c>
      <c r="N11" s="19">
        <v>1464608.2154392032</v>
      </c>
      <c r="O11" s="19">
        <v>1478465.1429513716</v>
      </c>
      <c r="P11" s="19">
        <v>2943073.3583905748</v>
      </c>
      <c r="Q11" s="20">
        <v>120579.9150611817</v>
      </c>
      <c r="R11" s="20">
        <v>128693.13682602778</v>
      </c>
      <c r="S11" s="20">
        <v>249273.05188720947</v>
      </c>
      <c r="T11" s="57">
        <f t="shared" si="6"/>
        <v>8.4698212219733762</v>
      </c>
      <c r="U11" s="35">
        <f t="shared" si="7"/>
        <v>446196.9637952359</v>
      </c>
      <c r="V11" s="52">
        <f t="shared" si="8"/>
        <v>15.1609188579397</v>
      </c>
      <c r="W11" s="55">
        <f t="shared" si="9"/>
        <v>207532.09695778403</v>
      </c>
      <c r="X11" s="55">
        <f t="shared" si="0"/>
        <v>239291.43021377988</v>
      </c>
      <c r="Y11" s="21">
        <f t="shared" si="1"/>
        <v>1153.033355907623</v>
      </c>
      <c r="Z11" s="21">
        <f t="shared" si="10"/>
        <v>446823.52717156394</v>
      </c>
      <c r="AA11" s="49">
        <f t="shared" si="11"/>
        <v>15.182208282294066</v>
      </c>
      <c r="AB11" s="49">
        <f t="shared" si="12"/>
        <v>2.1289424354366204E-2</v>
      </c>
    </row>
    <row r="12" spans="1:28" x14ac:dyDescent="0.25">
      <c r="A12" s="8" t="s">
        <v>8</v>
      </c>
      <c r="B12" s="5">
        <v>1185787</v>
      </c>
      <c r="C12" s="5">
        <v>1134742</v>
      </c>
      <c r="D12" s="5">
        <v>2320529</v>
      </c>
      <c r="E12" s="6">
        <v>108437</v>
      </c>
      <c r="F12" s="31">
        <f t="shared" si="2"/>
        <v>5.4374282318843488</v>
      </c>
      <c r="G12" s="6">
        <v>104751</v>
      </c>
      <c r="H12" s="31">
        <f t="shared" si="3"/>
        <v>5.263398550280427</v>
      </c>
      <c r="I12" s="6">
        <v>213188</v>
      </c>
      <c r="J12" s="40">
        <f t="shared" si="4"/>
        <v>5.3505027547103134</v>
      </c>
      <c r="K12" s="47">
        <f t="shared" si="5"/>
        <v>966.00791242841467</v>
      </c>
      <c r="M12" s="18" t="s">
        <v>8</v>
      </c>
      <c r="N12" s="19">
        <v>1382499.2016558247</v>
      </c>
      <c r="O12" s="19">
        <v>1327773.9833052815</v>
      </c>
      <c r="P12" s="19">
        <v>2710273.1849611062</v>
      </c>
      <c r="Q12" s="20">
        <v>126613.53833902422</v>
      </c>
      <c r="R12" s="20">
        <v>122759.8695073436</v>
      </c>
      <c r="S12" s="20">
        <v>249373.4078463678</v>
      </c>
      <c r="T12" s="57">
        <f t="shared" si="6"/>
        <v>9.2010432464927483</v>
      </c>
      <c r="U12" s="35">
        <f t="shared" si="7"/>
        <v>446766.98001831112</v>
      </c>
      <c r="V12" s="52">
        <f t="shared" si="8"/>
        <v>16.484204710335224</v>
      </c>
      <c r="W12" s="55">
        <f t="shared" si="9"/>
        <v>218095.24638088123</v>
      </c>
      <c r="X12" s="55">
        <f t="shared" si="0"/>
        <v>228431.49708217054</v>
      </c>
      <c r="Y12" s="21">
        <f t="shared" si="1"/>
        <v>1047.3932874412039</v>
      </c>
      <c r="Z12" s="21">
        <f t="shared" si="10"/>
        <v>446526.74346305174</v>
      </c>
      <c r="AA12" s="49">
        <f t="shared" si="11"/>
        <v>16.475340786336993</v>
      </c>
      <c r="AB12" s="49">
        <f t="shared" si="12"/>
        <v>-8.8639239982306606E-3</v>
      </c>
    </row>
    <row r="13" spans="1:28" x14ac:dyDescent="0.25">
      <c r="A13" s="8" t="s">
        <v>9</v>
      </c>
      <c r="B13" s="5">
        <v>760260</v>
      </c>
      <c r="C13" s="5">
        <v>746077</v>
      </c>
      <c r="D13" s="5">
        <v>1506337</v>
      </c>
      <c r="E13" s="6">
        <v>72823</v>
      </c>
      <c r="F13" s="31">
        <f t="shared" si="2"/>
        <v>3.651611868001825</v>
      </c>
      <c r="G13" s="6">
        <v>70326</v>
      </c>
      <c r="H13" s="31">
        <f t="shared" si="3"/>
        <v>3.5336537736825555</v>
      </c>
      <c r="I13" s="6">
        <v>143149</v>
      </c>
      <c r="J13" s="40">
        <f t="shared" si="4"/>
        <v>3.5926933919077371</v>
      </c>
      <c r="K13" s="47">
        <f t="shared" si="5"/>
        <v>965.71138239292532</v>
      </c>
      <c r="M13" s="18" t="s">
        <v>9</v>
      </c>
      <c r="N13" s="19">
        <v>886380.60831096757</v>
      </c>
      <c r="O13" s="19">
        <v>872993.12366374012</v>
      </c>
      <c r="P13" s="19">
        <v>1759373.7319747077</v>
      </c>
      <c r="Q13" s="20">
        <v>85099.623233853956</v>
      </c>
      <c r="R13" s="20">
        <v>82489.253229524023</v>
      </c>
      <c r="S13" s="20">
        <v>167588.87646337796</v>
      </c>
      <c r="T13" s="57">
        <f t="shared" si="6"/>
        <v>9.5254847459429488</v>
      </c>
      <c r="U13" s="35">
        <f t="shared" si="7"/>
        <v>299989.89822429605</v>
      </c>
      <c r="V13" s="52">
        <f t="shared" si="8"/>
        <v>17.050947889712418</v>
      </c>
      <c r="W13" s="55">
        <f t="shared" si="9"/>
        <v>146466.15202555319</v>
      </c>
      <c r="X13" s="55">
        <f t="shared" si="0"/>
        <v>153360.57377782289</v>
      </c>
      <c r="Y13" s="21">
        <f t="shared" si="1"/>
        <v>1047.0717749932207</v>
      </c>
      <c r="Z13" s="21">
        <f t="shared" si="10"/>
        <v>299826.72580337606</v>
      </c>
      <c r="AA13" s="49">
        <f t="shared" si="11"/>
        <v>17.041673429263536</v>
      </c>
      <c r="AB13" s="49">
        <f t="shared" si="12"/>
        <v>-9.2744604488821381E-3</v>
      </c>
    </row>
    <row r="14" spans="1:28" x14ac:dyDescent="0.25">
      <c r="A14" s="8" t="s">
        <v>10</v>
      </c>
      <c r="B14" s="5">
        <v>717814</v>
      </c>
      <c r="C14" s="5">
        <v>722547</v>
      </c>
      <c r="D14" s="5">
        <v>1440361</v>
      </c>
      <c r="E14" s="6">
        <v>86502</v>
      </c>
      <c r="F14" s="31">
        <f t="shared" si="2"/>
        <v>4.3375270148976819</v>
      </c>
      <c r="G14" s="6">
        <v>82807</v>
      </c>
      <c r="H14" s="31">
        <f t="shared" si="3"/>
        <v>4.1607836083003633</v>
      </c>
      <c r="I14" s="6">
        <v>169309</v>
      </c>
      <c r="J14" s="40">
        <f t="shared" si="4"/>
        <v>4.2492460687151645</v>
      </c>
      <c r="K14" s="47">
        <f t="shared" si="5"/>
        <v>957.28422464220478</v>
      </c>
      <c r="M14" s="18" t="s">
        <v>10</v>
      </c>
      <c r="N14" s="19">
        <v>836892.85584315145</v>
      </c>
      <c r="O14" s="19">
        <v>845459.90936177957</v>
      </c>
      <c r="P14" s="19">
        <v>1682352.7652049311</v>
      </c>
      <c r="Q14" s="20">
        <v>101115.31924931353</v>
      </c>
      <c r="R14" s="20">
        <v>97130.072604514236</v>
      </c>
      <c r="S14" s="20">
        <v>198245.39185382775</v>
      </c>
      <c r="T14" s="57">
        <f t="shared" si="6"/>
        <v>11.783818230873774</v>
      </c>
      <c r="U14" s="35">
        <f t="shared" si="7"/>
        <v>354812.0467377163</v>
      </c>
      <c r="V14" s="52">
        <f t="shared" si="8"/>
        <v>21.090228760345386</v>
      </c>
      <c r="W14" s="55">
        <f t="shared" si="9"/>
        <v>173978.20856754601</v>
      </c>
      <c r="X14" s="55">
        <f t="shared" si="0"/>
        <v>180578.00860023577</v>
      </c>
      <c r="Y14" s="21">
        <f t="shared" si="1"/>
        <v>1037.9346361077594</v>
      </c>
      <c r="Z14" s="21">
        <f t="shared" si="10"/>
        <v>354556.21716778178</v>
      </c>
      <c r="AA14" s="49">
        <f t="shared" si="11"/>
        <v>21.07502210599645</v>
      </c>
      <c r="AB14" s="49">
        <f t="shared" si="12"/>
        <v>-1.5206654348936866E-2</v>
      </c>
    </row>
    <row r="15" spans="1:28" x14ac:dyDescent="0.25">
      <c r="A15" s="8" t="s">
        <v>11</v>
      </c>
      <c r="B15" s="5">
        <v>577865</v>
      </c>
      <c r="C15" s="5">
        <v>559106</v>
      </c>
      <c r="D15" s="5">
        <v>1136971</v>
      </c>
      <c r="E15" s="6">
        <v>70047</v>
      </c>
      <c r="F15" s="31">
        <f t="shared" si="2"/>
        <v>3.5124130634267177</v>
      </c>
      <c r="G15" s="6">
        <v>65854</v>
      </c>
      <c r="H15" s="31">
        <f t="shared" si="3"/>
        <v>3.3089502547008354</v>
      </c>
      <c r="I15" s="6">
        <v>135901</v>
      </c>
      <c r="J15" s="40">
        <f t="shared" si="4"/>
        <v>3.4107861364987073</v>
      </c>
      <c r="K15" s="47">
        <f t="shared" si="5"/>
        <v>940.14019158564963</v>
      </c>
      <c r="M15" s="18" t="s">
        <v>11</v>
      </c>
      <c r="N15" s="19">
        <v>673727.45075740339</v>
      </c>
      <c r="O15" s="19">
        <v>654216.02260837913</v>
      </c>
      <c r="P15" s="19">
        <v>1327943.4733657825</v>
      </c>
      <c r="Q15" s="20">
        <v>81888.232540786805</v>
      </c>
      <c r="R15" s="20">
        <v>77277.433750567114</v>
      </c>
      <c r="S15" s="20">
        <v>159165.66629135393</v>
      </c>
      <c r="T15" s="57">
        <f t="shared" si="6"/>
        <v>11.985876619276226</v>
      </c>
      <c r="U15" s="35">
        <f t="shared" si="7"/>
        <v>284800.64239764208</v>
      </c>
      <c r="V15" s="52">
        <f t="shared" si="8"/>
        <v>21.446744391596077</v>
      </c>
      <c r="W15" s="55">
        <f t="shared" si="9"/>
        <v>140882.88797404565</v>
      </c>
      <c r="X15" s="55">
        <f t="shared" si="0"/>
        <v>143608.44105401626</v>
      </c>
      <c r="Y15" s="21">
        <f t="shared" si="1"/>
        <v>1019.3462323151178</v>
      </c>
      <c r="Z15" s="21">
        <f t="shared" si="10"/>
        <v>284491.32902806194</v>
      </c>
      <c r="AA15" s="49">
        <f t="shared" si="11"/>
        <v>21.423451730742361</v>
      </c>
      <c r="AB15" s="49">
        <f t="shared" si="12"/>
        <v>-2.3292660853716285E-2</v>
      </c>
    </row>
    <row r="16" spans="1:28" x14ac:dyDescent="0.25">
      <c r="A16" s="8" t="s">
        <v>12</v>
      </c>
      <c r="B16" s="5">
        <v>1352760</v>
      </c>
      <c r="C16" s="5">
        <v>1271710</v>
      </c>
      <c r="D16" s="5">
        <v>2624470</v>
      </c>
      <c r="E16" s="6">
        <v>144547</v>
      </c>
      <c r="F16" s="31">
        <f t="shared" si="2"/>
        <v>7.2481158519157391</v>
      </c>
      <c r="G16" s="6">
        <v>134133</v>
      </c>
      <c r="H16" s="31">
        <f t="shared" si="3"/>
        <v>6.7397489068816956</v>
      </c>
      <c r="I16" s="6">
        <v>278680</v>
      </c>
      <c r="J16" s="40">
        <f t="shared" si="4"/>
        <v>6.9941934240326393</v>
      </c>
      <c r="K16" s="47">
        <f t="shared" si="5"/>
        <v>927.95422942018854</v>
      </c>
      <c r="M16" s="18" t="s">
        <v>12</v>
      </c>
      <c r="N16" s="19">
        <v>1577171.9169358141</v>
      </c>
      <c r="O16" s="19">
        <v>1488042.4464358822</v>
      </c>
      <c r="P16" s="19">
        <v>3065214.3633716963</v>
      </c>
      <c r="Q16" s="20">
        <v>169148.85409518387</v>
      </c>
      <c r="R16" s="20">
        <v>157471.88071400358</v>
      </c>
      <c r="S16" s="20">
        <v>326620.73480918747</v>
      </c>
      <c r="T16" s="57">
        <f t="shared" si="6"/>
        <v>10.655722441868923</v>
      </c>
      <c r="U16" s="35">
        <f t="shared" si="7"/>
        <v>584015.15090672532</v>
      </c>
      <c r="V16" s="52">
        <f t="shared" si="8"/>
        <v>19.052995375642055</v>
      </c>
      <c r="W16" s="55">
        <f t="shared" si="9"/>
        <v>290721.92682034033</v>
      </c>
      <c r="X16" s="55">
        <f t="shared" si="0"/>
        <v>292505.10255866556</v>
      </c>
      <c r="Y16" s="21">
        <f t="shared" si="1"/>
        <v>1006.1336128231812</v>
      </c>
      <c r="Z16" s="21">
        <f t="shared" si="10"/>
        <v>583227.02937900589</v>
      </c>
      <c r="AA16" s="49">
        <f t="shared" si="11"/>
        <v>19.027283584090469</v>
      </c>
      <c r="AB16" s="49">
        <f t="shared" si="12"/>
        <v>-2.5711791551586316E-2</v>
      </c>
    </row>
    <row r="17" spans="1:28" x14ac:dyDescent="0.25">
      <c r="A17" s="8" t="s">
        <v>13</v>
      </c>
      <c r="B17" s="5">
        <v>926034</v>
      </c>
      <c r="C17" s="5">
        <v>901158</v>
      </c>
      <c r="D17" s="5">
        <v>1827192</v>
      </c>
      <c r="E17" s="6">
        <v>95642</v>
      </c>
      <c r="F17" s="31">
        <f t="shared" si="2"/>
        <v>4.7958400818344558</v>
      </c>
      <c r="G17" s="6">
        <v>89841</v>
      </c>
      <c r="H17" s="31">
        <f t="shared" si="3"/>
        <v>4.5142193311352052</v>
      </c>
      <c r="I17" s="6">
        <v>185483</v>
      </c>
      <c r="J17" s="40">
        <f t="shared" si="4"/>
        <v>4.6551743177474023</v>
      </c>
      <c r="K17" s="47">
        <f t="shared" si="5"/>
        <v>939.34673051588209</v>
      </c>
      <c r="M17" s="18" t="s">
        <v>13</v>
      </c>
      <c r="N17" s="19">
        <v>1079655.0305918208</v>
      </c>
      <c r="O17" s="19">
        <v>1054455.6498203157</v>
      </c>
      <c r="P17" s="19">
        <v>2134110.6804121365</v>
      </c>
      <c r="Q17" s="20">
        <v>111817.72476044501</v>
      </c>
      <c r="R17" s="20">
        <v>105402.74883780077</v>
      </c>
      <c r="S17" s="20">
        <v>217220.47359824576</v>
      </c>
      <c r="T17" s="57">
        <f t="shared" si="6"/>
        <v>10.178500843091065</v>
      </c>
      <c r="U17" s="35">
        <f t="shared" si="7"/>
        <v>388707.05553190812</v>
      </c>
      <c r="V17" s="52">
        <f t="shared" si="8"/>
        <v>18.214006382126421</v>
      </c>
      <c r="W17" s="55">
        <f t="shared" si="9"/>
        <v>192361.14568238001</v>
      </c>
      <c r="X17" s="55">
        <f t="shared" si="0"/>
        <v>195917.11897126789</v>
      </c>
      <c r="Y17" s="21">
        <f t="shared" si="1"/>
        <v>1018.4859228004359</v>
      </c>
      <c r="Z17" s="21">
        <f t="shared" si="10"/>
        <v>388278.2646536479</v>
      </c>
      <c r="AA17" s="49">
        <f t="shared" si="11"/>
        <v>18.193914130951452</v>
      </c>
      <c r="AB17" s="49">
        <f t="shared" si="12"/>
        <v>-2.0092251174968823E-2</v>
      </c>
    </row>
    <row r="18" spans="1:28" x14ac:dyDescent="0.25">
      <c r="A18" s="8" t="s">
        <v>14</v>
      </c>
      <c r="B18" s="5">
        <v>612593</v>
      </c>
      <c r="C18" s="5">
        <v>580218</v>
      </c>
      <c r="D18" s="5">
        <v>1192811</v>
      </c>
      <c r="E18" s="6">
        <v>64694</v>
      </c>
      <c r="F18" s="31">
        <f t="shared" si="2"/>
        <v>3.2439940429330032</v>
      </c>
      <c r="G18" s="6">
        <v>57499</v>
      </c>
      <c r="H18" s="31">
        <f t="shared" si="3"/>
        <v>2.8891385594655352</v>
      </c>
      <c r="I18" s="6">
        <v>122193</v>
      </c>
      <c r="J18" s="40">
        <f t="shared" si="4"/>
        <v>3.0667485182389131</v>
      </c>
      <c r="K18" s="47">
        <f t="shared" si="5"/>
        <v>888.78412217516313</v>
      </c>
      <c r="M18" s="18" t="s">
        <v>14</v>
      </c>
      <c r="N18" s="19">
        <v>714216.61909202556</v>
      </c>
      <c r="O18" s="19">
        <v>678919.19892644312</v>
      </c>
      <c r="P18" s="19">
        <v>1393135.8180184686</v>
      </c>
      <c r="Q18" s="20">
        <v>75594.798835345471</v>
      </c>
      <c r="R18" s="20">
        <v>67409.097766662831</v>
      </c>
      <c r="S18" s="20">
        <v>143003.89660200832</v>
      </c>
      <c r="T18" s="57">
        <f t="shared" si="6"/>
        <v>10.264892679696542</v>
      </c>
      <c r="U18" s="35">
        <f t="shared" si="7"/>
        <v>256073.50127294924</v>
      </c>
      <c r="V18" s="52">
        <f t="shared" si="8"/>
        <v>18.381086607706081</v>
      </c>
      <c r="W18" s="55">
        <f t="shared" si="9"/>
        <v>130116.60106204276</v>
      </c>
      <c r="X18" s="55">
        <f t="shared" si="0"/>
        <v>125388.61348080423</v>
      </c>
      <c r="Y18" s="21">
        <f t="shared" si="1"/>
        <v>963.66345614127965</v>
      </c>
      <c r="Z18" s="21">
        <f t="shared" si="10"/>
        <v>255505.21454284698</v>
      </c>
      <c r="AA18" s="49">
        <f t="shared" si="11"/>
        <v>18.340294696195929</v>
      </c>
      <c r="AB18" s="49">
        <f t="shared" si="12"/>
        <v>-4.079191151015138E-2</v>
      </c>
    </row>
    <row r="19" spans="1:28" x14ac:dyDescent="0.25">
      <c r="A19" s="8" t="s">
        <v>15</v>
      </c>
      <c r="B19" s="5">
        <v>655718</v>
      </c>
      <c r="C19" s="5">
        <v>618103</v>
      </c>
      <c r="D19" s="5">
        <v>1273821</v>
      </c>
      <c r="E19" s="6">
        <v>60414</v>
      </c>
      <c r="F19" s="31">
        <f t="shared" si="2"/>
        <v>3.0293791713258482</v>
      </c>
      <c r="G19" s="6">
        <v>54045</v>
      </c>
      <c r="H19" s="31">
        <f t="shared" si="3"/>
        <v>2.7155862440445029</v>
      </c>
      <c r="I19" s="6">
        <v>114459</v>
      </c>
      <c r="J19" s="40">
        <f t="shared" si="4"/>
        <v>2.8726438392469924</v>
      </c>
      <c r="K19" s="47">
        <f t="shared" si="5"/>
        <v>894.57741583076768</v>
      </c>
      <c r="M19" s="18" t="s">
        <v>15</v>
      </c>
      <c r="N19" s="19">
        <v>764496.06855297263</v>
      </c>
      <c r="O19" s="19">
        <v>723249.77027703228</v>
      </c>
      <c r="P19" s="19">
        <v>1487745.8388300049</v>
      </c>
      <c r="Q19" s="20">
        <v>70678.471902799254</v>
      </c>
      <c r="R19" s="20">
        <v>63447.267512333805</v>
      </c>
      <c r="S19" s="20">
        <v>134125.73941513305</v>
      </c>
      <c r="T19" s="57">
        <f t="shared" si="6"/>
        <v>9.0153664634419268</v>
      </c>
      <c r="U19" s="35">
        <f t="shared" si="7"/>
        <v>239865.76057712387</v>
      </c>
      <c r="V19" s="52">
        <f t="shared" si="8"/>
        <v>16.122764676375063</v>
      </c>
      <c r="W19" s="55">
        <f t="shared" si="9"/>
        <v>121508.39856187977</v>
      </c>
      <c r="X19" s="55">
        <f t="shared" si="0"/>
        <v>117856.44299153141</v>
      </c>
      <c r="Y19" s="21">
        <f t="shared" si="1"/>
        <v>969.94483003997004</v>
      </c>
      <c r="Z19" s="21">
        <f t="shared" si="10"/>
        <v>239364.84155341118</v>
      </c>
      <c r="AA19" s="49">
        <f t="shared" si="11"/>
        <v>16.089095012468853</v>
      </c>
      <c r="AB19" s="49">
        <f t="shared" si="12"/>
        <v>-3.3669663906209735E-2</v>
      </c>
    </row>
    <row r="20" spans="1:28" x14ac:dyDescent="0.25">
      <c r="A20" s="8" t="s">
        <v>16</v>
      </c>
      <c r="B20" s="5">
        <v>502636</v>
      </c>
      <c r="C20" s="5">
        <v>460153</v>
      </c>
      <c r="D20" s="5">
        <v>962789</v>
      </c>
      <c r="E20" s="6">
        <v>61089</v>
      </c>
      <c r="F20" s="31">
        <f t="shared" si="2"/>
        <v>3.0632261428994068</v>
      </c>
      <c r="G20" s="6">
        <v>52613</v>
      </c>
      <c r="H20" s="31">
        <f t="shared" si="3"/>
        <v>2.6436328810789789</v>
      </c>
      <c r="I20" s="6">
        <v>113702</v>
      </c>
      <c r="J20" s="40">
        <f t="shared" si="4"/>
        <v>2.853644971649774</v>
      </c>
      <c r="K20" s="47">
        <f t="shared" si="5"/>
        <v>861.25161649396784</v>
      </c>
      <c r="M20" s="18" t="s">
        <v>16</v>
      </c>
      <c r="N20" s="19">
        <v>586019.68964654498</v>
      </c>
      <c r="O20" s="19">
        <v>538429.77982986858</v>
      </c>
      <c r="P20" s="19">
        <v>1124449.4694764134</v>
      </c>
      <c r="Q20" s="20">
        <v>71345.28149809585</v>
      </c>
      <c r="R20" s="20">
        <v>61656.471174463702</v>
      </c>
      <c r="S20" s="20">
        <v>133001.75267255955</v>
      </c>
      <c r="T20" s="57">
        <f t="shared" si="6"/>
        <v>11.828166252280793</v>
      </c>
      <c r="U20" s="35">
        <f t="shared" si="7"/>
        <v>238279.35513275611</v>
      </c>
      <c r="V20" s="52">
        <f t="shared" si="8"/>
        <v>21.190757041639948</v>
      </c>
      <c r="W20" s="55">
        <f t="shared" si="9"/>
        <v>122866.00059169519</v>
      </c>
      <c r="X20" s="55">
        <f t="shared" si="0"/>
        <v>114733.66703882768</v>
      </c>
      <c r="Y20" s="21">
        <f t="shared" si="1"/>
        <v>933.81135941835817</v>
      </c>
      <c r="Z20" s="21">
        <f t="shared" si="10"/>
        <v>237599.66763052286</v>
      </c>
      <c r="AA20" s="49">
        <f t="shared" si="11"/>
        <v>21.130310794771269</v>
      </c>
      <c r="AB20" s="49">
        <f t="shared" si="12"/>
        <v>-6.0446246868679054E-2</v>
      </c>
    </row>
    <row r="21" spans="1:28" x14ac:dyDescent="0.25">
      <c r="A21" s="8" t="s">
        <v>17</v>
      </c>
      <c r="B21" s="5">
        <v>1167137</v>
      </c>
      <c r="C21" s="5">
        <v>1084536</v>
      </c>
      <c r="D21" s="5">
        <v>2251673</v>
      </c>
      <c r="E21" s="6">
        <v>108647</v>
      </c>
      <c r="F21" s="31">
        <f t="shared" si="2"/>
        <v>5.4479584008183446</v>
      </c>
      <c r="G21" s="6">
        <v>96198</v>
      </c>
      <c r="H21" s="31">
        <f t="shared" si="3"/>
        <v>4.833637996199335</v>
      </c>
      <c r="I21" s="6">
        <v>204845</v>
      </c>
      <c r="J21" s="40">
        <f t="shared" si="4"/>
        <v>5.1411136498706975</v>
      </c>
      <c r="K21" s="47">
        <f t="shared" si="5"/>
        <v>885.41791305788479</v>
      </c>
      <c r="M21" s="18" t="s">
        <v>17</v>
      </c>
      <c r="N21" s="19">
        <v>1360755.4109994087</v>
      </c>
      <c r="O21" s="19">
        <v>1269027.836282582</v>
      </c>
      <c r="P21" s="19">
        <v>2629783.2472819909</v>
      </c>
      <c r="Q21" s="20">
        <v>127090.78667813279</v>
      </c>
      <c r="R21" s="20">
        <v>112899.33898692943</v>
      </c>
      <c r="S21" s="20">
        <v>239990.12566506222</v>
      </c>
      <c r="T21" s="57">
        <f t="shared" si="6"/>
        <v>9.1258519466615251</v>
      </c>
      <c r="U21" s="35">
        <f t="shared" si="7"/>
        <v>429282.98976420326</v>
      </c>
      <c r="V21" s="52">
        <f t="shared" si="8"/>
        <v>16.323892480792406</v>
      </c>
      <c r="W21" s="55">
        <f t="shared" si="9"/>
        <v>218517.6114568238</v>
      </c>
      <c r="X21" s="55">
        <f t="shared" si="0"/>
        <v>209779.88903505114</v>
      </c>
      <c r="Y21" s="21">
        <f t="shared" si="1"/>
        <v>960.01364666435995</v>
      </c>
      <c r="Z21" s="21">
        <f t="shared" si="10"/>
        <v>428297.50049187493</v>
      </c>
      <c r="AA21" s="49">
        <f t="shared" si="11"/>
        <v>16.286418317347685</v>
      </c>
      <c r="AB21" s="49">
        <f t="shared" si="12"/>
        <v>-3.7474163444720432E-2</v>
      </c>
    </row>
    <row r="22" spans="1:28" x14ac:dyDescent="0.25">
      <c r="A22" s="8" t="s">
        <v>18</v>
      </c>
      <c r="B22" s="5">
        <v>865380</v>
      </c>
      <c r="C22" s="5">
        <v>833350</v>
      </c>
      <c r="D22" s="5">
        <v>1698730</v>
      </c>
      <c r="E22" s="6">
        <v>95090</v>
      </c>
      <c r="F22" s="31">
        <f t="shared" si="2"/>
        <v>4.7681607806365243</v>
      </c>
      <c r="G22" s="6">
        <v>90486</v>
      </c>
      <c r="H22" s="31">
        <f t="shared" si="3"/>
        <v>4.546628492526799</v>
      </c>
      <c r="I22" s="6">
        <v>185576</v>
      </c>
      <c r="J22" s="40">
        <f t="shared" si="4"/>
        <v>4.6575083926305476</v>
      </c>
      <c r="K22" s="47">
        <f t="shared" si="5"/>
        <v>951.58271111578506</v>
      </c>
      <c r="M22" s="18" t="s">
        <v>18</v>
      </c>
      <c r="N22" s="19">
        <v>1008939.763112405</v>
      </c>
      <c r="O22" s="19">
        <v>975112.00018195878</v>
      </c>
      <c r="P22" s="19">
        <v>1984051.7632943639</v>
      </c>
      <c r="Q22" s="20">
        <v>111146.45490029693</v>
      </c>
      <c r="R22" s="20">
        <v>106173.2595908943</v>
      </c>
      <c r="S22" s="20">
        <v>217319.71449119123</v>
      </c>
      <c r="T22" s="57">
        <f t="shared" si="6"/>
        <v>10.953328865288713</v>
      </c>
      <c r="U22" s="35">
        <f t="shared" si="7"/>
        <v>388901.95078465075</v>
      </c>
      <c r="V22" s="52">
        <f t="shared" si="8"/>
        <v>19.601401434149544</v>
      </c>
      <c r="W22" s="55">
        <f t="shared" si="9"/>
        <v>191250.92891133099</v>
      </c>
      <c r="X22" s="55">
        <f t="shared" si="0"/>
        <v>197323.67657566309</v>
      </c>
      <c r="Y22" s="21">
        <f t="shared" si="1"/>
        <v>1031.7527747389272</v>
      </c>
      <c r="Z22" s="21">
        <f t="shared" si="10"/>
        <v>388574.60548699409</v>
      </c>
      <c r="AA22" s="49">
        <f t="shared" si="11"/>
        <v>19.584902605655614</v>
      </c>
      <c r="AB22" s="49">
        <f t="shared" si="12"/>
        <v>-1.6498828493929807E-2</v>
      </c>
    </row>
    <row r="23" spans="1:28" x14ac:dyDescent="0.25">
      <c r="A23" s="8" t="s">
        <v>19</v>
      </c>
      <c r="B23" s="5">
        <v>1779218</v>
      </c>
      <c r="C23" s="5">
        <v>1749813</v>
      </c>
      <c r="D23" s="5">
        <v>3529031</v>
      </c>
      <c r="E23" s="6">
        <v>170847</v>
      </c>
      <c r="F23" s="31">
        <f t="shared" si="2"/>
        <v>8.5668941517447479</v>
      </c>
      <c r="G23" s="6">
        <v>169613</v>
      </c>
      <c r="H23" s="31">
        <f t="shared" si="3"/>
        <v>8.5225040172286111</v>
      </c>
      <c r="I23" s="6">
        <v>340460</v>
      </c>
      <c r="J23" s="40">
        <f t="shared" si="4"/>
        <v>8.5447218786642463</v>
      </c>
      <c r="K23" s="47">
        <f t="shared" si="5"/>
        <v>992.77716319279818</v>
      </c>
      <c r="M23" s="18" t="s">
        <v>19</v>
      </c>
      <c r="N23" s="19">
        <v>2074375.4696811172</v>
      </c>
      <c r="O23" s="19">
        <v>2047475.6129736612</v>
      </c>
      <c r="P23" s="19">
        <v>4121851.0826547784</v>
      </c>
      <c r="Q23" s="20">
        <v>199808.71468427227</v>
      </c>
      <c r="R23" s="20">
        <v>199066.08058650049</v>
      </c>
      <c r="S23" s="20">
        <v>398874.79527077277</v>
      </c>
      <c r="T23" s="57">
        <f t="shared" si="6"/>
        <v>9.6770792362995248</v>
      </c>
      <c r="U23" s="35">
        <f t="shared" si="7"/>
        <v>713484.27686846454</v>
      </c>
      <c r="V23" s="52">
        <f t="shared" si="8"/>
        <v>17.309802381529217</v>
      </c>
      <c r="W23" s="55">
        <f t="shared" si="9"/>
        <v>343618.1244264819</v>
      </c>
      <c r="X23" s="55">
        <f t="shared" si="0"/>
        <v>369876.67434772174</v>
      </c>
      <c r="Y23" s="21">
        <f t="shared" si="1"/>
        <v>1076.4178256460332</v>
      </c>
      <c r="Z23" s="21">
        <f t="shared" si="10"/>
        <v>713494.79877420363</v>
      </c>
      <c r="AA23" s="49">
        <f t="shared" si="11"/>
        <v>17.310057652899484</v>
      </c>
      <c r="AB23" s="49">
        <f t="shared" si="12"/>
        <v>2.5527137026770674E-4</v>
      </c>
    </row>
    <row r="24" spans="1:28" x14ac:dyDescent="0.25">
      <c r="A24" s="8" t="s">
        <v>20</v>
      </c>
      <c r="B24" s="5">
        <v>282882</v>
      </c>
      <c r="C24" s="5">
        <v>294935</v>
      </c>
      <c r="D24" s="5">
        <v>577817</v>
      </c>
      <c r="E24" s="6">
        <v>19729</v>
      </c>
      <c r="F24" s="31">
        <f t="shared" si="2"/>
        <v>0.98928429951811936</v>
      </c>
      <c r="G24" s="6">
        <v>24528</v>
      </c>
      <c r="H24" s="31">
        <f t="shared" si="3"/>
        <v>1.2324525745938304</v>
      </c>
      <c r="I24" s="6">
        <v>44257</v>
      </c>
      <c r="J24" s="40">
        <f t="shared" si="4"/>
        <v>1.1107435710040638</v>
      </c>
      <c r="K24" s="47">
        <f t="shared" si="5"/>
        <v>1243.2459830706066</v>
      </c>
      <c r="M24" s="18" t="s">
        <v>20</v>
      </c>
      <c r="N24" s="19">
        <v>329809.81667652278</v>
      </c>
      <c r="O24" s="19">
        <v>345106.2946367648</v>
      </c>
      <c r="P24" s="19">
        <v>674916.11131328763</v>
      </c>
      <c r="Q24" s="20">
        <v>23135.393784637985</v>
      </c>
      <c r="R24" s="20">
        <v>28865.719052579698</v>
      </c>
      <c r="S24" s="20">
        <v>52001.112837217683</v>
      </c>
      <c r="T24" s="57">
        <f t="shared" si="6"/>
        <v>7.7048261206909334</v>
      </c>
      <c r="U24" s="35">
        <f t="shared" si="7"/>
        <v>92747.088178839331</v>
      </c>
      <c r="V24" s="52">
        <f t="shared" si="8"/>
        <v>13.742017211348994</v>
      </c>
      <c r="W24" s="55">
        <f t="shared" si="9"/>
        <v>39680.193253671772</v>
      </c>
      <c r="X24" s="55">
        <f t="shared" si="0"/>
        <v>53488.441737372239</v>
      </c>
      <c r="Y24" s="21">
        <f t="shared" si="1"/>
        <v>1347.9884383482113</v>
      </c>
      <c r="Z24" s="21">
        <f t="shared" si="10"/>
        <v>93168.634991044004</v>
      </c>
      <c r="AA24" s="49">
        <f t="shared" si="11"/>
        <v>13.804476353328049</v>
      </c>
      <c r="AB24" s="49">
        <f t="shared" si="12"/>
        <v>6.2459141979054777E-2</v>
      </c>
    </row>
    <row r="25" spans="1:28" x14ac:dyDescent="0.25">
      <c r="A25" s="8" t="s">
        <v>21</v>
      </c>
      <c r="B25" s="5">
        <v>359945</v>
      </c>
      <c r="C25" s="5">
        <v>373165</v>
      </c>
      <c r="D25" s="5">
        <v>733110</v>
      </c>
      <c r="E25" s="6">
        <v>30102</v>
      </c>
      <c r="F25" s="31">
        <f t="shared" si="2"/>
        <v>1.5094245011959262</v>
      </c>
      <c r="G25" s="6">
        <v>33341</v>
      </c>
      <c r="H25" s="31">
        <f t="shared" si="3"/>
        <v>1.675277286755255</v>
      </c>
      <c r="I25" s="6">
        <v>63443</v>
      </c>
      <c r="J25" s="40">
        <f t="shared" si="4"/>
        <v>1.5922657291549545</v>
      </c>
      <c r="K25" s="47">
        <f t="shared" si="5"/>
        <v>1107.600823865524</v>
      </c>
      <c r="M25" s="18" t="s">
        <v>21</v>
      </c>
      <c r="N25" s="19">
        <v>419657.38980121003</v>
      </c>
      <c r="O25" s="19">
        <v>436644.30810171494</v>
      </c>
      <c r="P25" s="19">
        <v>856301.69790292496</v>
      </c>
      <c r="Q25" s="20">
        <v>35154.692493169554</v>
      </c>
      <c r="R25" s="20">
        <v>39078.61049626099</v>
      </c>
      <c r="S25" s="20">
        <v>74233.302989430551</v>
      </c>
      <c r="T25" s="57">
        <f t="shared" si="6"/>
        <v>8.6690594181031333</v>
      </c>
      <c r="U25" s="35">
        <f t="shared" si="7"/>
        <v>132954.18838443869</v>
      </c>
      <c r="V25" s="52">
        <f t="shared" si="8"/>
        <v>15.526559004851009</v>
      </c>
      <c r="W25" s="55">
        <f t="shared" si="9"/>
        <v>60543.016742968597</v>
      </c>
      <c r="X25" s="55">
        <f t="shared" si="0"/>
        <v>72707.03424517806</v>
      </c>
      <c r="Y25" s="21">
        <f t="shared" si="1"/>
        <v>1200.9152856365085</v>
      </c>
      <c r="Z25" s="21">
        <f t="shared" si="10"/>
        <v>133250.05098814666</v>
      </c>
      <c r="AA25" s="49">
        <f t="shared" si="11"/>
        <v>15.561110215532073</v>
      </c>
      <c r="AB25" s="49">
        <f t="shared" si="12"/>
        <v>3.4551210681064148E-2</v>
      </c>
    </row>
    <row r="26" spans="1:28" x14ac:dyDescent="0.25">
      <c r="A26" s="8" t="s">
        <v>22</v>
      </c>
      <c r="B26" s="5">
        <v>221625</v>
      </c>
      <c r="C26" s="5">
        <v>219537</v>
      </c>
      <c r="D26" s="5">
        <v>441162</v>
      </c>
      <c r="E26" s="6">
        <v>21213</v>
      </c>
      <c r="F26" s="31">
        <f t="shared" si="2"/>
        <v>1.0636974933183572</v>
      </c>
      <c r="G26" s="6">
        <v>20184</v>
      </c>
      <c r="H26" s="31">
        <f t="shared" si="3"/>
        <v>1.0141806411285825</v>
      </c>
      <c r="I26" s="6">
        <v>41397</v>
      </c>
      <c r="J26" s="40">
        <f t="shared" si="4"/>
        <v>1.0389644939524874</v>
      </c>
      <c r="K26" s="47">
        <f t="shared" si="5"/>
        <v>951.49200961674444</v>
      </c>
      <c r="M26" s="18" t="s">
        <v>22</v>
      </c>
      <c r="N26" s="19">
        <v>258390.94243278899</v>
      </c>
      <c r="O26" s="19">
        <v>256882.25788108993</v>
      </c>
      <c r="P26" s="19">
        <v>515273.20031387894</v>
      </c>
      <c r="Q26" s="20">
        <v>24794.612309389351</v>
      </c>
      <c r="R26" s="20">
        <v>23673.970765454458</v>
      </c>
      <c r="S26" s="20">
        <v>48468.583074843809</v>
      </c>
      <c r="T26" s="57">
        <f t="shared" si="6"/>
        <v>9.4063853981381431</v>
      </c>
      <c r="U26" s="35">
        <f t="shared" si="7"/>
        <v>86753.535245032705</v>
      </c>
      <c r="V26" s="52">
        <f t="shared" si="8"/>
        <v>16.836415166204404</v>
      </c>
      <c r="W26" s="55">
        <f t="shared" si="9"/>
        <v>42664.906456999306</v>
      </c>
      <c r="X26" s="55">
        <f t="shared" si="0"/>
        <v>44015.43982498048</v>
      </c>
      <c r="Y26" s="21">
        <f t="shared" si="1"/>
        <v>1031.6544317129192</v>
      </c>
      <c r="Z26" s="21">
        <f t="shared" si="10"/>
        <v>86680.346281979786</v>
      </c>
      <c r="AA26" s="49">
        <f t="shared" si="11"/>
        <v>16.822211252046181</v>
      </c>
      <c r="AB26" s="49">
        <f t="shared" si="12"/>
        <v>-1.4203914158223085E-2</v>
      </c>
    </row>
    <row r="27" spans="1:28" x14ac:dyDescent="0.25">
      <c r="A27" s="8" t="s">
        <v>23</v>
      </c>
      <c r="B27" s="5">
        <v>311312</v>
      </c>
      <c r="C27" s="5">
        <v>298871</v>
      </c>
      <c r="D27" s="5">
        <v>610183</v>
      </c>
      <c r="E27" s="6">
        <v>33220</v>
      </c>
      <c r="F27" s="31">
        <f t="shared" si="2"/>
        <v>1.6657724380349701</v>
      </c>
      <c r="G27" s="6">
        <v>31666</v>
      </c>
      <c r="H27" s="31">
        <f t="shared" si="3"/>
        <v>1.5911139606608053</v>
      </c>
      <c r="I27" s="6">
        <v>64886</v>
      </c>
      <c r="J27" s="40">
        <f t="shared" si="4"/>
        <v>1.6284815362127953</v>
      </c>
      <c r="K27" s="47">
        <f t="shared" si="5"/>
        <v>953.22095123419626</v>
      </c>
      <c r="M27" s="18" t="s">
        <v>23</v>
      </c>
      <c r="N27" s="19">
        <v>362956.2741664013</v>
      </c>
      <c r="O27" s="19">
        <v>349712.63305736252</v>
      </c>
      <c r="P27" s="19">
        <v>712668.90722376388</v>
      </c>
      <c r="Q27" s="20">
        <v>38826.605532152244</v>
      </c>
      <c r="R27" s="20">
        <v>37131.704888589025</v>
      </c>
      <c r="S27" s="20">
        <v>75958.310420741269</v>
      </c>
      <c r="T27" s="57">
        <f t="shared" si="6"/>
        <v>10.658288814176071</v>
      </c>
      <c r="U27" s="35">
        <f t="shared" si="7"/>
        <v>135978.2082737684</v>
      </c>
      <c r="V27" s="52">
        <f t="shared" si="8"/>
        <v>19.080137620073543</v>
      </c>
      <c r="W27" s="55">
        <f t="shared" si="9"/>
        <v>66814.132489582655</v>
      </c>
      <c r="X27" s="55">
        <f t="shared" si="0"/>
        <v>69054.345892678961</v>
      </c>
      <c r="Y27" s="21">
        <f t="shared" si="1"/>
        <v>1033.5290352448351</v>
      </c>
      <c r="Z27" s="21">
        <f t="shared" si="10"/>
        <v>135868.47838226162</v>
      </c>
      <c r="AA27" s="49">
        <f t="shared" si="11"/>
        <v>19.064740583610394</v>
      </c>
      <c r="AB27" s="49">
        <f t="shared" si="12"/>
        <v>-1.539703646314905E-2</v>
      </c>
    </row>
    <row r="28" spans="1:28" x14ac:dyDescent="0.25">
      <c r="A28" s="8" t="s">
        <v>24</v>
      </c>
      <c r="B28" s="5">
        <v>830097</v>
      </c>
      <c r="C28" s="5">
        <v>818900</v>
      </c>
      <c r="D28" s="5">
        <v>1648997</v>
      </c>
      <c r="E28" s="6">
        <v>86180</v>
      </c>
      <c r="F28" s="31">
        <f t="shared" si="2"/>
        <v>4.3213807558655546</v>
      </c>
      <c r="G28" s="6">
        <v>89782</v>
      </c>
      <c r="H28" s="31">
        <f t="shared" si="3"/>
        <v>4.5112547721862066</v>
      </c>
      <c r="I28" s="6">
        <v>175962</v>
      </c>
      <c r="J28" s="40">
        <f t="shared" si="4"/>
        <v>4.4162202643879409</v>
      </c>
      <c r="K28" s="47">
        <f t="shared" si="5"/>
        <v>1041.7962404270131</v>
      </c>
      <c r="M28" s="18" t="s">
        <v>24</v>
      </c>
      <c r="N28" s="19">
        <v>967802.74132284045</v>
      </c>
      <c r="O28" s="19">
        <v>958204.25158076698</v>
      </c>
      <c r="P28" s="19">
        <v>1926006.9929036074</v>
      </c>
      <c r="Q28" s="20">
        <v>100732.85153829894</v>
      </c>
      <c r="R28" s="20">
        <v>105307.96820970679</v>
      </c>
      <c r="S28" s="20">
        <v>206040.81974800571</v>
      </c>
      <c r="T28" s="57">
        <f t="shared" si="6"/>
        <v>10.697823035283113</v>
      </c>
      <c r="U28" s="35">
        <f t="shared" si="7"/>
        <v>368754.39207639307</v>
      </c>
      <c r="V28" s="52">
        <f t="shared" si="8"/>
        <v>19.14605676070089</v>
      </c>
      <c r="W28" s="55">
        <f t="shared" si="9"/>
        <v>173330.58211776742</v>
      </c>
      <c r="X28" s="55">
        <f t="shared" si="0"/>
        <v>195788.45711288135</v>
      </c>
      <c r="Y28" s="21">
        <f t="shared" si="1"/>
        <v>1129.5667199678312</v>
      </c>
      <c r="Z28" s="21">
        <f t="shared" si="10"/>
        <v>369119.03923064878</v>
      </c>
      <c r="AA28" s="49">
        <f t="shared" si="11"/>
        <v>19.164989566012565</v>
      </c>
      <c r="AB28" s="49">
        <f t="shared" si="12"/>
        <v>1.8932805311674628E-2</v>
      </c>
    </row>
    <row r="29" spans="1:28" x14ac:dyDescent="0.25">
      <c r="A29" s="8" t="s">
        <v>25</v>
      </c>
      <c r="B29" s="5">
        <v>301962</v>
      </c>
      <c r="C29" s="5">
        <v>308420</v>
      </c>
      <c r="D29" s="5">
        <v>610382</v>
      </c>
      <c r="E29" s="6">
        <v>30335</v>
      </c>
      <c r="F29" s="31">
        <f t="shared" si="2"/>
        <v>1.5211079743465028</v>
      </c>
      <c r="G29" s="6">
        <v>34214</v>
      </c>
      <c r="H29" s="31">
        <f t="shared" si="3"/>
        <v>1.7191427098480638</v>
      </c>
      <c r="I29" s="6">
        <v>64549</v>
      </c>
      <c r="J29" s="40">
        <f t="shared" si="4"/>
        <v>1.620023651958816</v>
      </c>
      <c r="K29" s="47">
        <f t="shared" si="5"/>
        <v>1127.8720949398385</v>
      </c>
      <c r="M29" s="18" t="s">
        <v>25</v>
      </c>
      <c r="N29" s="19">
        <v>352055.38711731794</v>
      </c>
      <c r="O29" s="19">
        <v>360885.59625619801</v>
      </c>
      <c r="P29" s="19">
        <v>712940.98337351601</v>
      </c>
      <c r="Q29" s="20">
        <v>35450.185039580247</v>
      </c>
      <c r="R29" s="20">
        <v>40111.161809379111</v>
      </c>
      <c r="S29" s="20">
        <v>75561.346848959365</v>
      </c>
      <c r="T29" s="57">
        <f t="shared" si="6"/>
        <v>10.59854162001122</v>
      </c>
      <c r="U29" s="35">
        <f t="shared" si="7"/>
        <v>135271.97493856112</v>
      </c>
      <c r="V29" s="52">
        <f t="shared" si="8"/>
        <v>18.973797003291498</v>
      </c>
      <c r="W29" s="55">
        <f t="shared" si="9"/>
        <v>61011.640851038232</v>
      </c>
      <c r="X29" s="55">
        <f t="shared" si="0"/>
        <v>74610.793607405969</v>
      </c>
      <c r="Y29" s="21">
        <f t="shared" si="1"/>
        <v>1222.8943946872446</v>
      </c>
      <c r="Z29" s="21">
        <f t="shared" si="10"/>
        <v>135622.43445844419</v>
      </c>
      <c r="AA29" s="49">
        <f t="shared" si="11"/>
        <v>19.022953879955363</v>
      </c>
      <c r="AB29" s="49">
        <f t="shared" si="12"/>
        <v>4.9156876663865035E-2</v>
      </c>
    </row>
    <row r="30" spans="1:28" x14ac:dyDescent="0.25">
      <c r="A30" s="8" t="s">
        <v>26</v>
      </c>
      <c r="B30" s="5">
        <v>787101</v>
      </c>
      <c r="C30" s="5">
        <v>789768</v>
      </c>
      <c r="D30" s="5">
        <v>1576869</v>
      </c>
      <c r="E30" s="6">
        <v>70977</v>
      </c>
      <c r="F30" s="31">
        <f t="shared" si="2"/>
        <v>3.5590466687058426</v>
      </c>
      <c r="G30" s="6">
        <v>78639</v>
      </c>
      <c r="H30" s="31">
        <f t="shared" si="3"/>
        <v>3.9513551049202635</v>
      </c>
      <c r="I30" s="6">
        <v>149616</v>
      </c>
      <c r="J30" s="40">
        <f t="shared" si="4"/>
        <v>3.7549994378142215</v>
      </c>
      <c r="K30" s="47">
        <f t="shared" si="5"/>
        <v>1107.9504628259861</v>
      </c>
      <c r="M30" s="18" t="s">
        <v>26</v>
      </c>
      <c r="N30" s="19">
        <v>917674.94086339441</v>
      </c>
      <c r="O30" s="19">
        <v>924116.67822863127</v>
      </c>
      <c r="P30" s="19">
        <v>1841791.6190920258</v>
      </c>
      <c r="Q30" s="20">
        <v>83054.591799449394</v>
      </c>
      <c r="R30" s="20">
        <v>92311.871498700624</v>
      </c>
      <c r="S30" s="20">
        <v>175366.46329815002</v>
      </c>
      <c r="T30" s="57">
        <f t="shared" si="6"/>
        <v>9.5215148923634967</v>
      </c>
      <c r="U30" s="35">
        <f t="shared" si="7"/>
        <v>313542.4530574875</v>
      </c>
      <c r="V30" s="52">
        <f t="shared" si="8"/>
        <v>17.023774557735198</v>
      </c>
      <c r="W30" s="55">
        <f t="shared" si="9"/>
        <v>142753.36188179135</v>
      </c>
      <c r="X30" s="55">
        <f t="shared" si="0"/>
        <v>171488.81155353945</v>
      </c>
      <c r="Y30" s="21">
        <f t="shared" si="1"/>
        <v>1201.2943813928728</v>
      </c>
      <c r="Z30" s="21">
        <f t="shared" si="10"/>
        <v>314242.1734353308</v>
      </c>
      <c r="AA30" s="49">
        <f t="shared" si="11"/>
        <v>17.06176584679255</v>
      </c>
      <c r="AB30" s="49">
        <f t="shared" si="12"/>
        <v>3.7991289057352162E-2</v>
      </c>
    </row>
    <row r="31" spans="1:28" x14ac:dyDescent="0.25">
      <c r="A31" s="8" t="s">
        <v>27</v>
      </c>
      <c r="B31" s="5">
        <v>471960</v>
      </c>
      <c r="C31" s="5">
        <v>495951</v>
      </c>
      <c r="D31" s="5">
        <v>967911</v>
      </c>
      <c r="E31" s="6">
        <v>29919</v>
      </c>
      <c r="F31" s="31">
        <f t="shared" si="2"/>
        <v>1.5002482111248727</v>
      </c>
      <c r="G31" s="6">
        <v>42688</v>
      </c>
      <c r="H31" s="31">
        <f t="shared" si="3"/>
        <v>2.1449337697432092</v>
      </c>
      <c r="I31" s="6">
        <v>72607</v>
      </c>
      <c r="J31" s="40">
        <f t="shared" si="4"/>
        <v>1.8222599466726632</v>
      </c>
      <c r="K31" s="47">
        <f t="shared" si="5"/>
        <v>1426.7856546007554</v>
      </c>
      <c r="M31" s="18" t="s">
        <v>27</v>
      </c>
      <c r="N31" s="19">
        <v>550253.94168220903</v>
      </c>
      <c r="O31" s="19">
        <v>580318.35622981389</v>
      </c>
      <c r="P31" s="19">
        <v>1130572.297912023</v>
      </c>
      <c r="Q31" s="20">
        <v>35025.344812476571</v>
      </c>
      <c r="R31" s="20">
        <v>50133.376930659528</v>
      </c>
      <c r="S31" s="20">
        <v>85158.721743136091</v>
      </c>
      <c r="T31" s="57">
        <f t="shared" si="6"/>
        <v>7.5323552417134163</v>
      </c>
      <c r="U31" s="35">
        <f t="shared" si="7"/>
        <v>152158.70554716737</v>
      </c>
      <c r="V31" s="52">
        <f t="shared" si="8"/>
        <v>13.458555974543064</v>
      </c>
      <c r="W31" s="55">
        <f t="shared" si="9"/>
        <v>60174.955748218643</v>
      </c>
      <c r="X31" s="55">
        <f t="shared" si="0"/>
        <v>93090.12560685529</v>
      </c>
      <c r="Y31" s="21">
        <f t="shared" si="1"/>
        <v>1546.9911768005086</v>
      </c>
      <c r="Z31" s="21">
        <f t="shared" si="10"/>
        <v>153265.08135507393</v>
      </c>
      <c r="AA31" s="49">
        <f t="shared" si="11"/>
        <v>13.556415776162989</v>
      </c>
      <c r="AB31" s="49">
        <f t="shared" si="12"/>
        <v>9.785980161992569E-2</v>
      </c>
    </row>
    <row r="32" spans="1:28" x14ac:dyDescent="0.25">
      <c r="A32" s="8" t="s">
        <v>28</v>
      </c>
      <c r="B32" s="5">
        <v>604812</v>
      </c>
      <c r="C32" s="5">
        <v>616134</v>
      </c>
      <c r="D32" s="5">
        <v>1220946</v>
      </c>
      <c r="E32" s="6">
        <v>40966</v>
      </c>
      <c r="F32" s="31">
        <f t="shared" si="2"/>
        <v>2.0541852407146477</v>
      </c>
      <c r="G32" s="6">
        <v>48706</v>
      </c>
      <c r="H32" s="31">
        <f t="shared" si="3"/>
        <v>2.4473187825410592</v>
      </c>
      <c r="I32" s="6">
        <v>89672</v>
      </c>
      <c r="J32" s="40">
        <f t="shared" si="4"/>
        <v>2.2505501389401994</v>
      </c>
      <c r="K32" s="47">
        <f t="shared" si="5"/>
        <v>1188.9371674071181</v>
      </c>
      <c r="M32" s="18" t="s">
        <v>28</v>
      </c>
      <c r="N32" s="19">
        <v>705145.55565664382</v>
      </c>
      <c r="O32" s="19">
        <v>720944.92846745206</v>
      </c>
      <c r="P32" s="19">
        <v>1426090.4841240959</v>
      </c>
      <c r="Q32" s="20">
        <v>48009.175795141149</v>
      </c>
      <c r="R32" s="20">
        <v>57299.907480778493</v>
      </c>
      <c r="S32" s="20">
        <v>105309.08327591963</v>
      </c>
      <c r="T32" s="57">
        <f t="shared" si="6"/>
        <v>7.3844601340706948</v>
      </c>
      <c r="U32" s="35">
        <f t="shared" si="7"/>
        <v>187920.93660150666</v>
      </c>
      <c r="V32" s="52">
        <f t="shared" si="8"/>
        <v>13.177350153691519</v>
      </c>
      <c r="W32" s="55">
        <f t="shared" si="9"/>
        <v>82393.370005064528</v>
      </c>
      <c r="X32" s="55">
        <f t="shared" si="0"/>
        <v>106213.63516228198</v>
      </c>
      <c r="Y32" s="21">
        <f t="shared" si="1"/>
        <v>1289.1041494692263</v>
      </c>
      <c r="Z32" s="21">
        <f t="shared" si="10"/>
        <v>188607.00516734651</v>
      </c>
      <c r="AA32" s="49">
        <f t="shared" si="11"/>
        <v>13.225458501196636</v>
      </c>
      <c r="AB32" s="49">
        <f t="shared" si="12"/>
        <v>4.8108347505117166E-2</v>
      </c>
    </row>
    <row r="33" spans="1:28" x14ac:dyDescent="0.25">
      <c r="A33" s="8" t="s">
        <v>29</v>
      </c>
      <c r="B33" s="5">
        <v>678809</v>
      </c>
      <c r="C33" s="5">
        <v>700838</v>
      </c>
      <c r="D33" s="5">
        <v>1379647</v>
      </c>
      <c r="E33" s="6">
        <v>48412</v>
      </c>
      <c r="F33" s="31">
        <f t="shared" si="2"/>
        <v>2.4275549449171878</v>
      </c>
      <c r="G33" s="6">
        <v>60344</v>
      </c>
      <c r="H33" s="31">
        <f t="shared" si="3"/>
        <v>3.0320905969214813</v>
      </c>
      <c r="I33" s="6">
        <v>108756</v>
      </c>
      <c r="J33" s="40">
        <f t="shared" si="4"/>
        <v>2.7295123439934463</v>
      </c>
      <c r="K33" s="47">
        <f t="shared" si="5"/>
        <v>1246.4678178963893</v>
      </c>
      <c r="M33" s="18" t="s">
        <v>29</v>
      </c>
      <c r="N33" s="19">
        <v>791418.22658417863</v>
      </c>
      <c r="O33" s="19">
        <v>820058.70161033527</v>
      </c>
      <c r="P33" s="19">
        <v>1611476.928194514</v>
      </c>
      <c r="Q33" s="20">
        <v>56658.744408377941</v>
      </c>
      <c r="R33" s="20">
        <v>70859.112629284282</v>
      </c>
      <c r="S33" s="20">
        <v>127517.85703766222</v>
      </c>
      <c r="T33" s="57">
        <f t="shared" si="6"/>
        <v>7.9131047306108329</v>
      </c>
      <c r="U33" s="35">
        <f t="shared" si="7"/>
        <v>227914.28072345274</v>
      </c>
      <c r="V33" s="52">
        <f t="shared" si="8"/>
        <v>14.143192293718169</v>
      </c>
      <c r="W33" s="55">
        <f t="shared" si="9"/>
        <v>97369.228840628391</v>
      </c>
      <c r="X33" s="55">
        <f t="shared" si="0"/>
        <v>131592.73190639229</v>
      </c>
      <c r="Y33" s="21">
        <f t="shared" si="1"/>
        <v>1351.4817101178865</v>
      </c>
      <c r="Z33" s="21">
        <f t="shared" si="10"/>
        <v>228961.96074702067</v>
      </c>
      <c r="AA33" s="49">
        <f t="shared" si="11"/>
        <v>14.20820594704684</v>
      </c>
      <c r="AB33" s="49">
        <f t="shared" si="12"/>
        <v>6.5013653328671595E-2</v>
      </c>
    </row>
    <row r="34" spans="1:28" x14ac:dyDescent="0.25">
      <c r="A34" s="8" t="s">
        <v>30</v>
      </c>
      <c r="B34" s="5">
        <v>303624</v>
      </c>
      <c r="C34" s="5">
        <v>309568</v>
      </c>
      <c r="D34" s="5">
        <v>613192</v>
      </c>
      <c r="E34" s="6">
        <v>20199</v>
      </c>
      <c r="F34" s="31">
        <f t="shared" si="2"/>
        <v>1.012851820465634</v>
      </c>
      <c r="G34" s="6">
        <v>26296</v>
      </c>
      <c r="H34" s="31">
        <f t="shared" si="3"/>
        <v>1.3212888495400914</v>
      </c>
      <c r="I34" s="6">
        <v>46495</v>
      </c>
      <c r="J34" s="40">
        <f t="shared" si="4"/>
        <v>1.1669119536758918</v>
      </c>
      <c r="K34" s="47">
        <f t="shared" si="5"/>
        <v>1301.8466260705977</v>
      </c>
      <c r="M34" s="18" t="s">
        <v>30</v>
      </c>
      <c r="N34" s="19">
        <v>353992.25708502025</v>
      </c>
      <c r="O34" s="19">
        <v>362229.25101214577</v>
      </c>
      <c r="P34" s="19">
        <v>716221.50809716596</v>
      </c>
      <c r="Q34" s="20">
        <v>23613.757189959448</v>
      </c>
      <c r="R34" s="20">
        <v>30850.53691148926</v>
      </c>
      <c r="S34" s="20">
        <v>54464.294101448708</v>
      </c>
      <c r="T34" s="57">
        <f t="shared" si="6"/>
        <v>7.6043924240906531</v>
      </c>
      <c r="U34" s="35">
        <f t="shared" si="7"/>
        <v>97437.148131936978</v>
      </c>
      <c r="V34" s="52">
        <f t="shared" si="8"/>
        <v>13.604331485493201</v>
      </c>
      <c r="W34" s="55">
        <f t="shared" si="9"/>
        <v>40625.486518876583</v>
      </c>
      <c r="X34" s="55">
        <f t="shared" si="0"/>
        <v>57343.93607003997</v>
      </c>
      <c r="Y34" s="21">
        <f t="shared" si="1"/>
        <v>1411.5261374997979</v>
      </c>
      <c r="Z34" s="21">
        <f t="shared" si="10"/>
        <v>97969.422588916554</v>
      </c>
      <c r="AA34" s="49">
        <f t="shared" si="11"/>
        <v>13.678648502081225</v>
      </c>
      <c r="AB34" s="49">
        <f t="shared" si="12"/>
        <v>7.4317016588024032E-2</v>
      </c>
    </row>
    <row r="35" spans="1:28" ht="14.4" thickBot="1" x14ac:dyDescent="0.3">
      <c r="A35" s="9" t="s">
        <v>36</v>
      </c>
      <c r="B35" s="10">
        <v>21212136</v>
      </c>
      <c r="C35" s="10">
        <v>20762082</v>
      </c>
      <c r="D35" s="10">
        <v>41974218</v>
      </c>
      <c r="E35" s="11">
        <v>1994270</v>
      </c>
      <c r="F35" s="31"/>
      <c r="G35" s="11">
        <v>1990178</v>
      </c>
      <c r="H35" s="31"/>
      <c r="I35" s="11">
        <v>3984448</v>
      </c>
      <c r="J35" s="41"/>
      <c r="K35" s="48">
        <f t="shared" si="5"/>
        <v>997.9481213677185</v>
      </c>
      <c r="M35" s="22"/>
      <c r="N35" s="23"/>
      <c r="O35" s="23"/>
      <c r="P35" s="24">
        <v>49025000</v>
      </c>
      <c r="Q35" s="25">
        <v>2331690.4262769055</v>
      </c>
      <c r="R35" s="25">
        <v>2335125.9452787596</v>
      </c>
      <c r="S35" s="26">
        <v>4666816.3715556655</v>
      </c>
      <c r="T35" s="57">
        <f t="shared" si="6"/>
        <v>9.5192582795628056</v>
      </c>
      <c r="U35" s="36">
        <v>8350000</v>
      </c>
      <c r="V35" s="53">
        <f t="shared" si="8"/>
        <v>17.03212646608873</v>
      </c>
      <c r="W35" s="54">
        <v>4011000</v>
      </c>
      <c r="X35" s="54">
        <v>4340000</v>
      </c>
      <c r="Y35" s="21">
        <f>(X35/W35)*1000</f>
        <v>1082.0244328097733</v>
      </c>
      <c r="Z35" s="21">
        <f t="shared" si="10"/>
        <v>8351000</v>
      </c>
      <c r="AA35" s="49">
        <f t="shared" si="11"/>
        <v>17.034166241713411</v>
      </c>
      <c r="AB35" s="49">
        <f t="shared" si="12"/>
        <v>2.0397756246808285E-3</v>
      </c>
    </row>
    <row r="36" spans="1:28" x14ac:dyDescent="0.25">
      <c r="E36" s="3"/>
      <c r="F36" s="3"/>
      <c r="I36" s="1" t="s">
        <v>43</v>
      </c>
      <c r="J36" s="21">
        <f>(G35/E35)*1000</f>
        <v>997.9481213677185</v>
      </c>
      <c r="K36" s="39"/>
    </row>
  </sheetData>
  <mergeCells count="6">
    <mergeCell ref="W3:X3"/>
    <mergeCell ref="Q3:S3"/>
    <mergeCell ref="N3:P3"/>
    <mergeCell ref="B3:D3"/>
    <mergeCell ref="Q2:S2"/>
    <mergeCell ref="E3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3A50E-12FB-42C0-A678-56A1E11D7327}">
  <dimension ref="C1:AK35"/>
  <sheetViews>
    <sheetView zoomScale="130" zoomScaleNormal="175" workbookViewId="0">
      <selection activeCell="AF6" sqref="AF6"/>
    </sheetView>
  </sheetViews>
  <sheetFormatPr defaultRowHeight="14.4" x14ac:dyDescent="0.3"/>
  <cols>
    <col min="3" max="3" width="24" bestFit="1" customWidth="1"/>
    <col min="6" max="6" width="9.44140625" bestFit="1" customWidth="1"/>
    <col min="8" max="8" width="9.44140625" bestFit="1" customWidth="1"/>
    <col min="16" max="17" width="10.33203125" bestFit="1" customWidth="1"/>
    <col min="18" max="18" width="10.33203125" customWidth="1"/>
    <col min="19" max="19" width="10.33203125" bestFit="1" customWidth="1"/>
    <col min="20" max="20" width="10.33203125" customWidth="1"/>
    <col min="28" max="29" width="10.33203125" bestFit="1" customWidth="1"/>
    <col min="30" max="30" width="10.33203125" customWidth="1"/>
    <col min="31" max="31" width="10.33203125" bestFit="1" customWidth="1"/>
    <col min="32" max="32" width="10.33203125" customWidth="1"/>
  </cols>
  <sheetData>
    <row r="1" spans="3:37" ht="15" thickBot="1" x14ac:dyDescent="0.35"/>
    <row r="2" spans="3:37" ht="15" thickBot="1" x14ac:dyDescent="0.35">
      <c r="C2" s="172">
        <v>2011</v>
      </c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4"/>
      <c r="AH2" s="75">
        <v>2036</v>
      </c>
      <c r="AI2" s="76"/>
      <c r="AJ2" s="76"/>
      <c r="AK2" s="77"/>
    </row>
    <row r="3" spans="3:37" ht="15" thickBot="1" x14ac:dyDescent="0.35">
      <c r="C3" s="60"/>
      <c r="D3" s="178" t="s">
        <v>50</v>
      </c>
      <c r="E3" s="179"/>
      <c r="F3" s="179"/>
      <c r="G3" s="179"/>
      <c r="H3" s="179"/>
      <c r="I3" s="180"/>
      <c r="J3" s="178" t="s">
        <v>51</v>
      </c>
      <c r="K3" s="179"/>
      <c r="L3" s="179"/>
      <c r="M3" s="179"/>
      <c r="N3" s="179"/>
      <c r="O3" s="180"/>
      <c r="P3" s="178" t="s">
        <v>52</v>
      </c>
      <c r="Q3" s="179"/>
      <c r="R3" s="179"/>
      <c r="S3" s="179"/>
      <c r="T3" s="179"/>
      <c r="U3" s="180"/>
      <c r="V3" s="178" t="s">
        <v>53</v>
      </c>
      <c r="W3" s="179"/>
      <c r="X3" s="179"/>
      <c r="Y3" s="179"/>
      <c r="Z3" s="179"/>
      <c r="AA3" s="180"/>
      <c r="AB3" s="181" t="s">
        <v>54</v>
      </c>
      <c r="AC3" s="182"/>
      <c r="AD3" s="182"/>
      <c r="AE3" s="182"/>
      <c r="AF3" s="182"/>
      <c r="AG3" s="182"/>
      <c r="AH3" s="175" t="s">
        <v>35</v>
      </c>
      <c r="AI3" s="176"/>
      <c r="AJ3" s="176"/>
      <c r="AK3" s="177"/>
    </row>
    <row r="4" spans="3:37" ht="15" thickBot="1" x14ac:dyDescent="0.35">
      <c r="C4" s="89" t="s">
        <v>55</v>
      </c>
      <c r="D4" s="61" t="s">
        <v>56</v>
      </c>
      <c r="E4" s="62" t="s">
        <v>57</v>
      </c>
      <c r="F4" s="62" t="s">
        <v>90</v>
      </c>
      <c r="G4" s="62" t="s">
        <v>58</v>
      </c>
      <c r="H4" s="62" t="s">
        <v>91</v>
      </c>
      <c r="I4" s="62" t="s">
        <v>42</v>
      </c>
      <c r="J4" s="62" t="s">
        <v>56</v>
      </c>
      <c r="K4" s="62" t="s">
        <v>57</v>
      </c>
      <c r="L4" s="62" t="s">
        <v>90</v>
      </c>
      <c r="M4" s="62" t="s">
        <v>58</v>
      </c>
      <c r="N4" s="62" t="s">
        <v>91</v>
      </c>
      <c r="O4" s="62" t="s">
        <v>42</v>
      </c>
      <c r="P4" s="62" t="s">
        <v>56</v>
      </c>
      <c r="Q4" s="62" t="s">
        <v>57</v>
      </c>
      <c r="R4" s="62" t="s">
        <v>90</v>
      </c>
      <c r="S4" s="62" t="s">
        <v>58</v>
      </c>
      <c r="T4" s="62" t="s">
        <v>91</v>
      </c>
      <c r="U4" s="62" t="s">
        <v>43</v>
      </c>
      <c r="V4" s="62" t="s">
        <v>56</v>
      </c>
      <c r="W4" s="62" t="s">
        <v>57</v>
      </c>
      <c r="X4" s="62" t="s">
        <v>90</v>
      </c>
      <c r="Y4" s="62" t="s">
        <v>58</v>
      </c>
      <c r="Z4" s="62" t="s">
        <v>91</v>
      </c>
      <c r="AA4" s="62" t="s">
        <v>42</v>
      </c>
      <c r="AB4" s="62" t="s">
        <v>56</v>
      </c>
      <c r="AC4" s="62" t="s">
        <v>57</v>
      </c>
      <c r="AD4" s="62" t="s">
        <v>90</v>
      </c>
      <c r="AE4" s="62" t="s">
        <v>58</v>
      </c>
      <c r="AF4" s="62" t="s">
        <v>91</v>
      </c>
      <c r="AG4" s="74" t="s">
        <v>43</v>
      </c>
      <c r="AH4" s="78" t="s">
        <v>56</v>
      </c>
      <c r="AI4" s="79" t="s">
        <v>57</v>
      </c>
      <c r="AJ4" s="79" t="s">
        <v>58</v>
      </c>
      <c r="AK4" s="80" t="s">
        <v>42</v>
      </c>
    </row>
    <row r="5" spans="3:37" x14ac:dyDescent="0.3">
      <c r="C5" s="64" t="s">
        <v>59</v>
      </c>
      <c r="D5" s="65">
        <v>115650</v>
      </c>
      <c r="E5" s="65">
        <v>58915</v>
      </c>
      <c r="F5" s="87">
        <f>(E5/E$35)*100</f>
        <v>3.1369018176087136</v>
      </c>
      <c r="G5" s="65">
        <v>56735</v>
      </c>
      <c r="H5" s="87">
        <f>(G5/G$35)*100</f>
        <v>3.1965145117871296</v>
      </c>
      <c r="I5" s="66">
        <f>(G5/E5)*1000</f>
        <v>962.99753882712378</v>
      </c>
      <c r="J5" s="67">
        <v>257761</v>
      </c>
      <c r="K5" s="67">
        <v>130758</v>
      </c>
      <c r="L5" s="88">
        <f>(K5/K$35)*100</f>
        <v>3.0487722418518239</v>
      </c>
      <c r="M5" s="67">
        <v>127003</v>
      </c>
      <c r="N5" s="88">
        <f>(M5/M$35)*100</f>
        <v>3.0717720731238627</v>
      </c>
      <c r="O5" s="68">
        <f>(M5/K5)*1000</f>
        <v>971.28282781933035</v>
      </c>
      <c r="P5" s="67">
        <v>950886</v>
      </c>
      <c r="Q5" s="67">
        <v>481426</v>
      </c>
      <c r="R5" s="88">
        <f>(Q5/Q$35)*100</f>
        <v>3.7062653133087773</v>
      </c>
      <c r="S5" s="67">
        <v>469460</v>
      </c>
      <c r="T5" s="88">
        <f>(S5/S$35)*100</f>
        <v>3.666321766163394</v>
      </c>
      <c r="U5" s="68">
        <f>(S5/Q5)*1000</f>
        <v>975.14467436324583</v>
      </c>
      <c r="V5" s="67">
        <v>155163</v>
      </c>
      <c r="W5" s="67">
        <v>77111</v>
      </c>
      <c r="X5" s="88">
        <f>(W5/W$35)*100</f>
        <v>3.8666278889017032</v>
      </c>
      <c r="Y5" s="67">
        <v>78052</v>
      </c>
      <c r="Z5" s="88">
        <f>(Y5/Y$35)*100</f>
        <v>3.9218602557158206</v>
      </c>
      <c r="AA5" s="68">
        <f>(Y5/W5)*1000</f>
        <v>1012.2031876126623</v>
      </c>
      <c r="AB5" s="67">
        <f t="shared" ref="AB5:AB35" si="0">(D5+J5+P5+V5)</f>
        <v>1479460</v>
      </c>
      <c r="AC5" s="67">
        <f t="shared" ref="AC5:AC35" si="1">(E5+K5+Q5+W5)</f>
        <v>748210</v>
      </c>
      <c r="AD5" s="88">
        <f>(AC5/AC$35)*100</f>
        <v>3.5375039673460882</v>
      </c>
      <c r="AE5" s="67">
        <f>(G5+M5+S5+Y5)</f>
        <v>731250</v>
      </c>
      <c r="AF5" s="88">
        <f>(AE5/AE$35)*100</f>
        <v>3.5318821857803355</v>
      </c>
      <c r="AG5" s="68">
        <f>(AE5/AC5)*1000</f>
        <v>977.33256706005</v>
      </c>
      <c r="AH5" s="81">
        <v>1730072.0226993584</v>
      </c>
      <c r="AI5" s="82">
        <v>873440.26520493091</v>
      </c>
      <c r="AJ5" s="82">
        <v>856631.75749442761</v>
      </c>
      <c r="AK5" s="83">
        <f>(AJ5/AI5)*1000</f>
        <v>980.75597338467151</v>
      </c>
    </row>
    <row r="6" spans="3:37" x14ac:dyDescent="0.3">
      <c r="C6" s="64" t="s">
        <v>60</v>
      </c>
      <c r="D6" s="65">
        <v>45489</v>
      </c>
      <c r="E6" s="65">
        <v>23325</v>
      </c>
      <c r="F6" s="87">
        <f t="shared" ref="F6:F35" si="2">(E6/E$35)*100</f>
        <v>1.2419287939526986</v>
      </c>
      <c r="G6" s="65">
        <v>22164</v>
      </c>
      <c r="H6" s="87">
        <f t="shared" ref="H6:H35" si="3">(G6/G$35)*100</f>
        <v>1.2487450011324568</v>
      </c>
      <c r="I6" s="66">
        <f t="shared" ref="I6:I35" si="4">(G6/E6)*1000</f>
        <v>950.22508038585204</v>
      </c>
      <c r="J6" s="67">
        <v>103675</v>
      </c>
      <c r="K6" s="67">
        <v>52495</v>
      </c>
      <c r="L6" s="88">
        <f t="shared" ref="L6:L35" si="5">(K6/K$35)*100</f>
        <v>1.2239809329908036</v>
      </c>
      <c r="M6" s="67">
        <v>51180</v>
      </c>
      <c r="N6" s="88">
        <f t="shared" ref="N6:N35" si="6">(M6/M$35)*100</f>
        <v>1.2378707172466736</v>
      </c>
      <c r="O6" s="68">
        <f t="shared" ref="O6:O35" si="7">(M6/K6)*1000</f>
        <v>974.9499952376417</v>
      </c>
      <c r="P6" s="67">
        <v>376801</v>
      </c>
      <c r="Q6" s="67">
        <v>194017</v>
      </c>
      <c r="R6" s="88">
        <f t="shared" ref="R6:R35" si="8">(Q6/Q$35)*100</f>
        <v>1.4936427972154163</v>
      </c>
      <c r="S6" s="67">
        <v>182784</v>
      </c>
      <c r="T6" s="88">
        <f t="shared" ref="T6:T35" si="9">(S6/S$35)*100</f>
        <v>1.4274804194317083</v>
      </c>
      <c r="U6" s="68">
        <f t="shared" ref="U6:U35" si="10">(S6/Q6)*1000</f>
        <v>942.10301159176765</v>
      </c>
      <c r="V6" s="67">
        <v>52223</v>
      </c>
      <c r="W6" s="67">
        <v>26164</v>
      </c>
      <c r="X6" s="88">
        <f t="shared" ref="X6:X35" si="11">(W6/W$35)*100</f>
        <v>1.311958761852708</v>
      </c>
      <c r="Y6" s="67">
        <v>26059</v>
      </c>
      <c r="Z6" s="88">
        <f t="shared" ref="Z6:Z35" si="12">(Y6/Y$35)*100</f>
        <v>1.3093803669822499</v>
      </c>
      <c r="AA6" s="68">
        <f t="shared" ref="AA6:AA35" si="13">(Y6/W6)*1000</f>
        <v>995.98685216327772</v>
      </c>
      <c r="AB6" s="67">
        <f t="shared" si="0"/>
        <v>578188</v>
      </c>
      <c r="AC6" s="67">
        <f t="shared" si="1"/>
        <v>296001</v>
      </c>
      <c r="AD6" s="88">
        <f t="shared" ref="AD6:AD35" si="14">(AC6/AC$35)*100</f>
        <v>1.3994797073527612</v>
      </c>
      <c r="AE6" s="67">
        <f t="shared" ref="AE6:AE35" si="15">(G6+M6+S6+Y6)</f>
        <v>282187</v>
      </c>
      <c r="AF6" s="88">
        <f t="shared" ref="AF6:AF35" si="16">(AE6/AE$35)*100</f>
        <v>1.3629418644222846</v>
      </c>
      <c r="AG6" s="68">
        <f t="shared" ref="AG6:AG35" si="17">(AE6/AC6)*1000</f>
        <v>953.33123874581509</v>
      </c>
      <c r="AH6" s="81">
        <v>676832.9100896148</v>
      </c>
      <c r="AI6" s="82">
        <v>345908.02722558344</v>
      </c>
      <c r="AJ6" s="82">
        <v>330924.8828640313</v>
      </c>
      <c r="AK6" s="83">
        <f t="shared" ref="AK6:AK35" si="18">(AJ6/AI6)*1000</f>
        <v>956.68460058089113</v>
      </c>
    </row>
    <row r="7" spans="3:37" x14ac:dyDescent="0.3">
      <c r="C7" s="64" t="s">
        <v>61</v>
      </c>
      <c r="D7" s="65">
        <v>82235</v>
      </c>
      <c r="E7" s="65">
        <v>42182</v>
      </c>
      <c r="F7" s="87">
        <f t="shared" si="2"/>
        <v>2.2459610026372019</v>
      </c>
      <c r="G7" s="65">
        <v>40053</v>
      </c>
      <c r="H7" s="87">
        <f t="shared" si="3"/>
        <v>2.2566316337465393</v>
      </c>
      <c r="I7" s="66">
        <f t="shared" si="4"/>
        <v>949.52823479209133</v>
      </c>
      <c r="J7" s="67">
        <v>189438</v>
      </c>
      <c r="K7" s="67">
        <v>96798</v>
      </c>
      <c r="L7" s="88">
        <f t="shared" si="5"/>
        <v>2.2569560215571731</v>
      </c>
      <c r="M7" s="67">
        <v>92640</v>
      </c>
      <c r="N7" s="88">
        <f t="shared" si="6"/>
        <v>2.240647581979911</v>
      </c>
      <c r="O7" s="68">
        <f t="shared" si="7"/>
        <v>957.04456703650897</v>
      </c>
      <c r="P7" s="67">
        <v>668506</v>
      </c>
      <c r="Q7" s="67">
        <v>336531</v>
      </c>
      <c r="R7" s="88">
        <f t="shared" si="8"/>
        <v>2.5907889730781388</v>
      </c>
      <c r="S7" s="67">
        <v>331975</v>
      </c>
      <c r="T7" s="88">
        <f t="shared" si="9"/>
        <v>2.592611017599141</v>
      </c>
      <c r="U7" s="68">
        <f t="shared" si="10"/>
        <v>986.46187126891732</v>
      </c>
      <c r="V7" s="67">
        <v>98822</v>
      </c>
      <c r="W7" s="67">
        <v>50266</v>
      </c>
      <c r="X7" s="88">
        <f t="shared" si="11"/>
        <v>2.5205212935058943</v>
      </c>
      <c r="Y7" s="67">
        <v>48556</v>
      </c>
      <c r="Z7" s="88">
        <f t="shared" si="12"/>
        <v>2.4397817682639444</v>
      </c>
      <c r="AA7" s="68">
        <f t="shared" si="13"/>
        <v>965.98098118012172</v>
      </c>
      <c r="AB7" s="67">
        <f t="shared" si="0"/>
        <v>1039001</v>
      </c>
      <c r="AC7" s="67">
        <f t="shared" si="1"/>
        <v>525777</v>
      </c>
      <c r="AD7" s="88">
        <f t="shared" si="14"/>
        <v>2.4858505278455572</v>
      </c>
      <c r="AE7" s="67">
        <f t="shared" si="15"/>
        <v>513224</v>
      </c>
      <c r="AF7" s="88">
        <f t="shared" si="16"/>
        <v>2.4788330980033191</v>
      </c>
      <c r="AG7" s="68">
        <f t="shared" si="17"/>
        <v>976.12485901817695</v>
      </c>
      <c r="AH7" s="81">
        <v>1215978.5624118638</v>
      </c>
      <c r="AI7" s="82">
        <v>614281.0421689488</v>
      </c>
      <c r="AJ7" s="82">
        <v>601697.52024291491</v>
      </c>
      <c r="AK7" s="83">
        <f t="shared" si="18"/>
        <v>979.51504106067955</v>
      </c>
    </row>
    <row r="8" spans="3:37" x14ac:dyDescent="0.3">
      <c r="C8" s="64" t="s">
        <v>62</v>
      </c>
      <c r="D8" s="65">
        <v>27674</v>
      </c>
      <c r="E8" s="65">
        <v>14357</v>
      </c>
      <c r="F8" s="87">
        <f t="shared" si="2"/>
        <v>0.76443179827562246</v>
      </c>
      <c r="G8" s="65">
        <v>13317</v>
      </c>
      <c r="H8" s="87">
        <f t="shared" si="3"/>
        <v>0.75029494586179968</v>
      </c>
      <c r="I8" s="66">
        <f t="shared" si="4"/>
        <v>927.56146827331622</v>
      </c>
      <c r="J8" s="67">
        <v>64276</v>
      </c>
      <c r="K8" s="67">
        <v>33010</v>
      </c>
      <c r="L8" s="88">
        <f t="shared" si="5"/>
        <v>0.76966588433234462</v>
      </c>
      <c r="M8" s="67">
        <v>31266</v>
      </c>
      <c r="N8" s="88">
        <f t="shared" si="6"/>
        <v>0.75621855891821999</v>
      </c>
      <c r="O8" s="68">
        <f t="shared" si="7"/>
        <v>947.16752499242648</v>
      </c>
      <c r="P8" s="67">
        <v>191093</v>
      </c>
      <c r="Q8" s="67">
        <v>95669</v>
      </c>
      <c r="R8" s="88">
        <f t="shared" si="8"/>
        <v>0.73650923767918097</v>
      </c>
      <c r="S8" s="67">
        <v>95424</v>
      </c>
      <c r="T8" s="88">
        <f t="shared" si="9"/>
        <v>0.74522874837978903</v>
      </c>
      <c r="U8" s="68">
        <f t="shared" si="10"/>
        <v>997.43908685154031</v>
      </c>
      <c r="V8" s="67">
        <v>28797</v>
      </c>
      <c r="W8" s="67">
        <v>14844</v>
      </c>
      <c r="X8" s="88">
        <f t="shared" si="11"/>
        <v>0.74433251264873868</v>
      </c>
      <c r="Y8" s="67">
        <v>13953</v>
      </c>
      <c r="Z8" s="88">
        <f t="shared" si="12"/>
        <v>0.70109306805722904</v>
      </c>
      <c r="AA8" s="68">
        <f t="shared" si="13"/>
        <v>939.97574777687953</v>
      </c>
      <c r="AB8" s="67">
        <f t="shared" si="0"/>
        <v>311840</v>
      </c>
      <c r="AC8" s="67">
        <f t="shared" si="1"/>
        <v>157880</v>
      </c>
      <c r="AD8" s="88">
        <f t="shared" si="14"/>
        <v>0.74644969509175285</v>
      </c>
      <c r="AE8" s="67">
        <f t="shared" si="15"/>
        <v>153960</v>
      </c>
      <c r="AF8" s="88">
        <f t="shared" si="16"/>
        <v>0.74361515394562805</v>
      </c>
      <c r="AG8" s="68">
        <f t="shared" si="17"/>
        <v>975.17101596148973</v>
      </c>
      <c r="AH8" s="81">
        <v>365015.80141472956</v>
      </c>
      <c r="AI8" s="82">
        <v>184478.78019378614</v>
      </c>
      <c r="AJ8" s="82">
        <v>180537.02122094345</v>
      </c>
      <c r="AK8" s="83">
        <f t="shared" si="18"/>
        <v>978.63299524909019</v>
      </c>
    </row>
    <row r="9" spans="3:37" x14ac:dyDescent="0.3">
      <c r="C9" s="64" t="s">
        <v>63</v>
      </c>
      <c r="D9" s="65">
        <v>182414</v>
      </c>
      <c r="E9" s="65">
        <v>93542</v>
      </c>
      <c r="F9" s="87">
        <f t="shared" si="2"/>
        <v>4.9806003534372278</v>
      </c>
      <c r="G9" s="65">
        <v>88872</v>
      </c>
      <c r="H9" s="87">
        <f t="shared" si="3"/>
        <v>5.0071496905181245</v>
      </c>
      <c r="I9" s="66">
        <f t="shared" si="4"/>
        <v>950.07590173398046</v>
      </c>
      <c r="J9" s="67">
        <v>423589</v>
      </c>
      <c r="K9" s="67">
        <v>214595</v>
      </c>
      <c r="L9" s="88">
        <f t="shared" si="5"/>
        <v>5.0035277324537866</v>
      </c>
      <c r="M9" s="67">
        <v>208994</v>
      </c>
      <c r="N9" s="88">
        <f t="shared" si="6"/>
        <v>5.0548564415836523</v>
      </c>
      <c r="O9" s="68">
        <f t="shared" si="7"/>
        <v>973.89967147417224</v>
      </c>
      <c r="P9" s="67">
        <v>1316619</v>
      </c>
      <c r="Q9" s="67">
        <v>668365</v>
      </c>
      <c r="R9" s="88">
        <f t="shared" si="8"/>
        <v>5.1454180208996201</v>
      </c>
      <c r="S9" s="67">
        <v>648254</v>
      </c>
      <c r="T9" s="88">
        <f t="shared" si="9"/>
        <v>5.0626416525422506</v>
      </c>
      <c r="U9" s="68">
        <f t="shared" si="10"/>
        <v>969.91015388298308</v>
      </c>
      <c r="V9" s="67">
        <v>163970</v>
      </c>
      <c r="W9" s="67">
        <v>81163</v>
      </c>
      <c r="X9" s="88">
        <f t="shared" si="11"/>
        <v>4.0698100056662332</v>
      </c>
      <c r="Y9" s="67">
        <v>82807</v>
      </c>
      <c r="Z9" s="88">
        <f t="shared" si="12"/>
        <v>4.1607836083003633</v>
      </c>
      <c r="AA9" s="68">
        <f t="shared" si="13"/>
        <v>1020.2555351576457</v>
      </c>
      <c r="AB9" s="67">
        <f t="shared" si="0"/>
        <v>2086592</v>
      </c>
      <c r="AC9" s="67">
        <f t="shared" si="1"/>
        <v>1057665</v>
      </c>
      <c r="AD9" s="88">
        <f t="shared" si="14"/>
        <v>5.0005935948772411</v>
      </c>
      <c r="AE9" s="67">
        <f t="shared" si="15"/>
        <v>1028927</v>
      </c>
      <c r="AF9" s="88">
        <f t="shared" si="16"/>
        <v>4.9696395784867056</v>
      </c>
      <c r="AG9" s="68">
        <f t="shared" si="17"/>
        <v>972.82882576241059</v>
      </c>
      <c r="AH9" s="81">
        <v>2445076.9935859526</v>
      </c>
      <c r="AI9" s="82">
        <v>1237182.6610335258</v>
      </c>
      <c r="AJ9" s="82">
        <v>1207894.3325524267</v>
      </c>
      <c r="AK9" s="83">
        <f t="shared" si="18"/>
        <v>976.32659315106139</v>
      </c>
    </row>
    <row r="10" spans="3:37" x14ac:dyDescent="0.3">
      <c r="C10" s="64" t="s">
        <v>64</v>
      </c>
      <c r="D10" s="65">
        <v>179917</v>
      </c>
      <c r="E10" s="65">
        <v>91267</v>
      </c>
      <c r="F10" s="87">
        <f t="shared" si="2"/>
        <v>4.8594690348416272</v>
      </c>
      <c r="G10" s="65">
        <v>88650</v>
      </c>
      <c r="H10" s="87">
        <f t="shared" si="3"/>
        <v>4.9946419576968193</v>
      </c>
      <c r="I10" s="66">
        <f t="shared" si="4"/>
        <v>971.32588997118341</v>
      </c>
      <c r="J10" s="67">
        <v>381757</v>
      </c>
      <c r="K10" s="67">
        <v>193408</v>
      </c>
      <c r="L10" s="88">
        <f t="shared" si="5"/>
        <v>4.5095286082081216</v>
      </c>
      <c r="M10" s="67">
        <v>188349</v>
      </c>
      <c r="N10" s="88">
        <f t="shared" si="6"/>
        <v>4.5555238710960086</v>
      </c>
      <c r="O10" s="68">
        <f t="shared" si="7"/>
        <v>973.8428606882859</v>
      </c>
      <c r="P10" s="67">
        <v>1088903</v>
      </c>
      <c r="Q10" s="67">
        <v>546685</v>
      </c>
      <c r="R10" s="88">
        <f t="shared" si="8"/>
        <v>4.208662707884927</v>
      </c>
      <c r="S10" s="67">
        <v>542218</v>
      </c>
      <c r="T10" s="88">
        <f t="shared" si="9"/>
        <v>4.2345368197622442</v>
      </c>
      <c r="U10" s="68">
        <f t="shared" si="10"/>
        <v>991.82893256628586</v>
      </c>
      <c r="V10" s="67">
        <v>143972</v>
      </c>
      <c r="W10" s="67">
        <v>71506</v>
      </c>
      <c r="X10" s="88">
        <f t="shared" si="11"/>
        <v>3.5855726656871938</v>
      </c>
      <c r="Y10" s="67">
        <v>72466</v>
      </c>
      <c r="Z10" s="88">
        <f t="shared" si="12"/>
        <v>3.6411818440360606</v>
      </c>
      <c r="AA10" s="68">
        <f t="shared" si="13"/>
        <v>1013.4254468156519</v>
      </c>
      <c r="AB10" s="67">
        <f t="shared" si="0"/>
        <v>1794549</v>
      </c>
      <c r="AC10" s="67">
        <f t="shared" si="1"/>
        <v>902866</v>
      </c>
      <c r="AD10" s="88">
        <f t="shared" si="14"/>
        <v>4.2687107322568441</v>
      </c>
      <c r="AE10" s="67">
        <f t="shared" si="15"/>
        <v>891683</v>
      </c>
      <c r="AF10" s="88">
        <f t="shared" si="16"/>
        <v>4.3067614400863823</v>
      </c>
      <c r="AG10" s="68">
        <f t="shared" si="17"/>
        <v>987.613887332118</v>
      </c>
      <c r="AH10" s="81">
        <v>2104403.0870445343</v>
      </c>
      <c r="AI10" s="82">
        <v>1056865.3078515218</v>
      </c>
      <c r="AJ10" s="82">
        <v>1047537.7791930127</v>
      </c>
      <c r="AK10" s="83">
        <f t="shared" si="18"/>
        <v>991.17434493382063</v>
      </c>
    </row>
    <row r="11" spans="3:37" x14ac:dyDescent="0.3">
      <c r="C11" s="64" t="s">
        <v>65</v>
      </c>
      <c r="D11" s="65">
        <v>237468</v>
      </c>
      <c r="E11" s="65">
        <v>120314</v>
      </c>
      <c r="F11" s="87">
        <f t="shared" si="2"/>
        <v>6.4060630617631285</v>
      </c>
      <c r="G11" s="65">
        <v>117154</v>
      </c>
      <c r="H11" s="87">
        <f t="shared" si="3"/>
        <v>6.6005897790413215</v>
      </c>
      <c r="I11" s="66">
        <f t="shared" si="4"/>
        <v>973.73539238991305</v>
      </c>
      <c r="J11" s="67">
        <v>569731</v>
      </c>
      <c r="K11" s="67">
        <v>289634</v>
      </c>
      <c r="L11" s="88">
        <f t="shared" si="5"/>
        <v>6.7531477959016746</v>
      </c>
      <c r="M11" s="67">
        <v>280097</v>
      </c>
      <c r="N11" s="88">
        <f t="shared" si="6"/>
        <v>6.774596996651848</v>
      </c>
      <c r="O11" s="68">
        <f t="shared" si="7"/>
        <v>967.07223599439294</v>
      </c>
      <c r="P11" s="67">
        <v>1493825</v>
      </c>
      <c r="Q11" s="67">
        <v>740195</v>
      </c>
      <c r="R11" s="88">
        <f t="shared" si="8"/>
        <v>5.6984023579627818</v>
      </c>
      <c r="S11" s="67">
        <v>753630</v>
      </c>
      <c r="T11" s="88">
        <f t="shared" si="9"/>
        <v>5.885592111433815</v>
      </c>
      <c r="U11" s="68">
        <f t="shared" si="10"/>
        <v>1018.1506224711056</v>
      </c>
      <c r="V11" s="67">
        <v>212916</v>
      </c>
      <c r="W11" s="67">
        <v>103185</v>
      </c>
      <c r="X11" s="88">
        <f t="shared" si="11"/>
        <v>5.1740737212112702</v>
      </c>
      <c r="Y11" s="67">
        <v>109731</v>
      </c>
      <c r="Z11" s="88">
        <f t="shared" si="12"/>
        <v>5.5136274242806422</v>
      </c>
      <c r="AA11" s="68">
        <f t="shared" si="13"/>
        <v>1063.4394534089258</v>
      </c>
      <c r="AB11" s="67">
        <f t="shared" si="0"/>
        <v>2513940</v>
      </c>
      <c r="AC11" s="67">
        <f t="shared" si="1"/>
        <v>1253328</v>
      </c>
      <c r="AD11" s="88">
        <f t="shared" si="14"/>
        <v>5.9256796519505723</v>
      </c>
      <c r="AE11" s="67">
        <f t="shared" si="15"/>
        <v>1260612</v>
      </c>
      <c r="AF11" s="88">
        <f t="shared" si="16"/>
        <v>6.0886606030508315</v>
      </c>
      <c r="AG11" s="68">
        <f t="shared" si="17"/>
        <v>1005.8117268584122</v>
      </c>
      <c r="AH11" s="81">
        <v>2943073.3583905748</v>
      </c>
      <c r="AI11" s="82">
        <v>1464608.2154392032</v>
      </c>
      <c r="AJ11" s="82">
        <v>1478465.1429513716</v>
      </c>
      <c r="AK11" s="83">
        <f t="shared" si="18"/>
        <v>1009.4611837937923</v>
      </c>
    </row>
    <row r="12" spans="3:37" x14ac:dyDescent="0.3">
      <c r="C12" s="64" t="s">
        <v>66</v>
      </c>
      <c r="D12" s="65">
        <v>197458</v>
      </c>
      <c r="E12" s="65">
        <v>101496</v>
      </c>
      <c r="F12" s="87">
        <f t="shared" si="2"/>
        <v>5.4041073899688357</v>
      </c>
      <c r="G12" s="65">
        <v>95962</v>
      </c>
      <c r="H12" s="87">
        <f t="shared" si="3"/>
        <v>5.4066083648562007</v>
      </c>
      <c r="I12" s="66">
        <f t="shared" si="4"/>
        <v>945.47568377078892</v>
      </c>
      <c r="J12" s="67">
        <v>471332</v>
      </c>
      <c r="K12" s="67">
        <v>240583</v>
      </c>
      <c r="L12" s="88">
        <f t="shared" si="5"/>
        <v>5.6094676598100106</v>
      </c>
      <c r="M12" s="67">
        <v>230749</v>
      </c>
      <c r="N12" s="88">
        <f t="shared" si="6"/>
        <v>5.5810361495496812</v>
      </c>
      <c r="O12" s="68">
        <f t="shared" si="7"/>
        <v>959.12429390272791</v>
      </c>
      <c r="P12" s="67">
        <v>1435036</v>
      </c>
      <c r="Q12" s="67">
        <v>733516</v>
      </c>
      <c r="R12" s="88">
        <f t="shared" si="8"/>
        <v>5.6469839758488343</v>
      </c>
      <c r="S12" s="67">
        <v>701520</v>
      </c>
      <c r="T12" s="88">
        <f t="shared" si="9"/>
        <v>5.4786308639691219</v>
      </c>
      <c r="U12" s="68">
        <f t="shared" si="10"/>
        <v>956.37995626543932</v>
      </c>
      <c r="V12" s="67">
        <v>213188</v>
      </c>
      <c r="W12" s="67">
        <v>108437</v>
      </c>
      <c r="X12" s="88">
        <f t="shared" si="11"/>
        <v>5.4374282318843488</v>
      </c>
      <c r="Y12" s="67">
        <v>104751</v>
      </c>
      <c r="Z12" s="88">
        <f t="shared" si="12"/>
        <v>5.263398550280427</v>
      </c>
      <c r="AA12" s="68">
        <f t="shared" si="13"/>
        <v>966.00791242841467</v>
      </c>
      <c r="AB12" s="67">
        <f t="shared" si="0"/>
        <v>2317014</v>
      </c>
      <c r="AC12" s="67">
        <f t="shared" si="1"/>
        <v>1184032</v>
      </c>
      <c r="AD12" s="88">
        <f t="shared" si="14"/>
        <v>5.5980512121793664</v>
      </c>
      <c r="AE12" s="67">
        <f t="shared" si="15"/>
        <v>1132982</v>
      </c>
      <c r="AF12" s="88">
        <f t="shared" si="16"/>
        <v>5.4722173574150785</v>
      </c>
      <c r="AG12" s="68">
        <f t="shared" si="17"/>
        <v>956.88461122672368</v>
      </c>
      <c r="AH12" s="81">
        <v>2710273.1849611062</v>
      </c>
      <c r="AI12" s="82">
        <v>1382499.2016558247</v>
      </c>
      <c r="AJ12" s="82">
        <v>1327773.9833052815</v>
      </c>
      <c r="AK12" s="83">
        <f t="shared" si="18"/>
        <v>960.41573240331809</v>
      </c>
    </row>
    <row r="13" spans="3:37" x14ac:dyDescent="0.3">
      <c r="C13" s="64" t="s">
        <v>67</v>
      </c>
      <c r="D13" s="65">
        <v>127909</v>
      </c>
      <c r="E13" s="65">
        <v>65735</v>
      </c>
      <c r="F13" s="87">
        <f t="shared" si="2"/>
        <v>3.5000295507172838</v>
      </c>
      <c r="G13" s="65">
        <v>62174</v>
      </c>
      <c r="H13" s="87">
        <f t="shared" si="3"/>
        <v>3.5029539659091036</v>
      </c>
      <c r="I13" s="66">
        <f t="shared" si="4"/>
        <v>945.82794553890631</v>
      </c>
      <c r="J13" s="67">
        <v>302402</v>
      </c>
      <c r="K13" s="67">
        <v>154021</v>
      </c>
      <c r="L13" s="88">
        <f t="shared" si="5"/>
        <v>3.5911756792109069</v>
      </c>
      <c r="M13" s="67">
        <v>148381</v>
      </c>
      <c r="N13" s="88">
        <f t="shared" si="6"/>
        <v>3.5888334289913773</v>
      </c>
      <c r="O13" s="68">
        <f t="shared" si="7"/>
        <v>963.38161679251527</v>
      </c>
      <c r="P13" s="67">
        <v>929315</v>
      </c>
      <c r="Q13" s="67">
        <v>465921</v>
      </c>
      <c r="R13" s="88">
        <f t="shared" si="8"/>
        <v>3.5868998372379943</v>
      </c>
      <c r="S13" s="67">
        <v>463394</v>
      </c>
      <c r="T13" s="88">
        <f t="shared" si="9"/>
        <v>3.6189483843341712</v>
      </c>
      <c r="U13" s="68">
        <f t="shared" si="10"/>
        <v>994.57633375615183</v>
      </c>
      <c r="V13" s="67">
        <v>143149</v>
      </c>
      <c r="W13" s="67">
        <v>72823</v>
      </c>
      <c r="X13" s="88">
        <f t="shared" si="11"/>
        <v>3.651611868001825</v>
      </c>
      <c r="Y13" s="67">
        <v>70326</v>
      </c>
      <c r="Z13" s="88">
        <f t="shared" si="12"/>
        <v>3.5336537736825555</v>
      </c>
      <c r="AA13" s="68">
        <f t="shared" si="13"/>
        <v>965.71138239292532</v>
      </c>
      <c r="AB13" s="67">
        <f t="shared" si="0"/>
        <v>1502775</v>
      </c>
      <c r="AC13" s="67">
        <f t="shared" si="1"/>
        <v>758500</v>
      </c>
      <c r="AD13" s="88">
        <f t="shared" si="14"/>
        <v>3.5861546347041711</v>
      </c>
      <c r="AE13" s="67">
        <f t="shared" si="15"/>
        <v>744275</v>
      </c>
      <c r="AF13" s="88">
        <f t="shared" si="16"/>
        <v>3.5947919505253458</v>
      </c>
      <c r="AG13" s="68">
        <f t="shared" si="17"/>
        <v>981.24588002636779</v>
      </c>
      <c r="AH13" s="81">
        <v>1759373.7319747077</v>
      </c>
      <c r="AI13" s="82">
        <v>886380.60831096757</v>
      </c>
      <c r="AJ13" s="82">
        <v>872993.12366374012</v>
      </c>
      <c r="AK13" s="83">
        <f t="shared" si="18"/>
        <v>984.89646036736087</v>
      </c>
    </row>
    <row r="14" spans="3:37" x14ac:dyDescent="0.3">
      <c r="C14" s="64" t="s">
        <v>68</v>
      </c>
      <c r="D14" s="65">
        <v>112440</v>
      </c>
      <c r="E14" s="65">
        <v>58349</v>
      </c>
      <c r="F14" s="87">
        <f t="shared" si="2"/>
        <v>3.1067654104328408</v>
      </c>
      <c r="G14" s="65">
        <v>54091</v>
      </c>
      <c r="H14" s="87">
        <f t="shared" si="3"/>
        <v>3.0475485407081631</v>
      </c>
      <c r="I14" s="66">
        <f t="shared" si="4"/>
        <v>927.02531320159733</v>
      </c>
      <c r="J14" s="67">
        <v>269702</v>
      </c>
      <c r="K14" s="67">
        <v>137709</v>
      </c>
      <c r="L14" s="88">
        <f t="shared" si="5"/>
        <v>3.2108427526665504</v>
      </c>
      <c r="M14" s="67">
        <v>131993</v>
      </c>
      <c r="N14" s="88">
        <f t="shared" si="6"/>
        <v>3.1924632587248967</v>
      </c>
      <c r="O14" s="68">
        <f t="shared" si="7"/>
        <v>958.4921827912483</v>
      </c>
      <c r="P14" s="67">
        <v>885286</v>
      </c>
      <c r="Q14" s="67">
        <v>433395</v>
      </c>
      <c r="R14" s="88">
        <f t="shared" si="8"/>
        <v>3.3364979362590668</v>
      </c>
      <c r="S14" s="67">
        <v>451891</v>
      </c>
      <c r="T14" s="88">
        <f t="shared" si="9"/>
        <v>3.5291138951845573</v>
      </c>
      <c r="U14" s="68">
        <f t="shared" si="10"/>
        <v>1042.677003657172</v>
      </c>
      <c r="V14" s="67">
        <v>169309</v>
      </c>
      <c r="W14" s="67">
        <v>86502</v>
      </c>
      <c r="X14" s="88">
        <f t="shared" si="11"/>
        <v>4.3375270148976819</v>
      </c>
      <c r="Y14" s="67">
        <v>82807</v>
      </c>
      <c r="Z14" s="88">
        <f t="shared" si="12"/>
        <v>4.1607836083003633</v>
      </c>
      <c r="AA14" s="68">
        <f t="shared" si="13"/>
        <v>957.28422464220478</v>
      </c>
      <c r="AB14" s="67">
        <f t="shared" si="0"/>
        <v>1436737</v>
      </c>
      <c r="AC14" s="67">
        <f t="shared" si="1"/>
        <v>715955</v>
      </c>
      <c r="AD14" s="88">
        <f t="shared" si="14"/>
        <v>3.3850037461959457</v>
      </c>
      <c r="AE14" s="67">
        <f t="shared" si="15"/>
        <v>720782</v>
      </c>
      <c r="AF14" s="88">
        <f t="shared" si="16"/>
        <v>3.4813225376152093</v>
      </c>
      <c r="AG14" s="68">
        <f t="shared" si="17"/>
        <v>1006.7420438435377</v>
      </c>
      <c r="AH14" s="81">
        <v>1682352.7652049311</v>
      </c>
      <c r="AI14" s="82">
        <v>836892.85584315145</v>
      </c>
      <c r="AJ14" s="82">
        <v>845459.90936177957</v>
      </c>
      <c r="AK14" s="83">
        <f t="shared" si="18"/>
        <v>1010.2367387399873</v>
      </c>
    </row>
    <row r="15" spans="3:37" x14ac:dyDescent="0.3">
      <c r="C15" s="64" t="s">
        <v>69</v>
      </c>
      <c r="D15" s="65">
        <v>77146</v>
      </c>
      <c r="E15" s="65">
        <v>39928</v>
      </c>
      <c r="F15" s="87">
        <f t="shared" si="2"/>
        <v>2.1259478192901757</v>
      </c>
      <c r="G15" s="65">
        <v>37218</v>
      </c>
      <c r="H15" s="87">
        <f t="shared" si="3"/>
        <v>2.0969045051501434</v>
      </c>
      <c r="I15" s="66">
        <f t="shared" si="4"/>
        <v>932.12783009416955</v>
      </c>
      <c r="J15" s="67">
        <v>187644</v>
      </c>
      <c r="K15" s="67">
        <v>96741</v>
      </c>
      <c r="L15" s="88">
        <f t="shared" si="5"/>
        <v>2.2556270013994348</v>
      </c>
      <c r="M15" s="67">
        <v>90903</v>
      </c>
      <c r="N15" s="88">
        <f t="shared" si="6"/>
        <v>2.1986354398177879</v>
      </c>
      <c r="O15" s="68">
        <f t="shared" si="7"/>
        <v>939.65330108227124</v>
      </c>
      <c r="P15" s="67">
        <v>733106</v>
      </c>
      <c r="Q15" s="67">
        <v>369584</v>
      </c>
      <c r="R15" s="88">
        <f t="shared" si="8"/>
        <v>2.8452479914959121</v>
      </c>
      <c r="S15" s="67">
        <v>363522</v>
      </c>
      <c r="T15" s="88">
        <f t="shared" si="9"/>
        <v>2.8389822798092474</v>
      </c>
      <c r="U15" s="68">
        <f t="shared" si="10"/>
        <v>983.59777479544573</v>
      </c>
      <c r="V15" s="67">
        <v>135901</v>
      </c>
      <c r="W15" s="67">
        <v>70047</v>
      </c>
      <c r="X15" s="88">
        <f t="shared" si="11"/>
        <v>3.5124130634267177</v>
      </c>
      <c r="Y15" s="67">
        <v>65854</v>
      </c>
      <c r="Z15" s="88">
        <f t="shared" si="12"/>
        <v>3.3089502547008354</v>
      </c>
      <c r="AA15" s="68">
        <f t="shared" si="13"/>
        <v>940.14019158564963</v>
      </c>
      <c r="AB15" s="67">
        <f t="shared" si="0"/>
        <v>1133797</v>
      </c>
      <c r="AC15" s="67">
        <f t="shared" si="1"/>
        <v>576300</v>
      </c>
      <c r="AD15" s="88">
        <f t="shared" si="14"/>
        <v>2.724721049413334</v>
      </c>
      <c r="AE15" s="67">
        <f t="shared" si="15"/>
        <v>557497</v>
      </c>
      <c r="AF15" s="88">
        <f t="shared" si="16"/>
        <v>2.6926683390440749</v>
      </c>
      <c r="AG15" s="68">
        <f t="shared" si="17"/>
        <v>967.37289606107936</v>
      </c>
      <c r="AH15" s="81">
        <v>1327943.4733657825</v>
      </c>
      <c r="AI15" s="82">
        <v>673727.45075740339</v>
      </c>
      <c r="AJ15" s="82">
        <v>654216.02260837913</v>
      </c>
      <c r="AK15" s="83">
        <f t="shared" si="18"/>
        <v>971.03958265751305</v>
      </c>
    </row>
    <row r="16" spans="3:37" x14ac:dyDescent="0.3">
      <c r="C16" s="64" t="s">
        <v>70</v>
      </c>
      <c r="D16" s="65">
        <v>190662</v>
      </c>
      <c r="E16" s="65">
        <v>99480</v>
      </c>
      <c r="F16" s="87">
        <f t="shared" si="2"/>
        <v>5.2967664061056574</v>
      </c>
      <c r="G16" s="65">
        <v>91182</v>
      </c>
      <c r="H16" s="87">
        <f t="shared" si="3"/>
        <v>5.1372977212262985</v>
      </c>
      <c r="I16" s="66">
        <f t="shared" si="4"/>
        <v>916.58624849215914</v>
      </c>
      <c r="J16" s="67">
        <v>444397</v>
      </c>
      <c r="K16" s="67">
        <v>228509</v>
      </c>
      <c r="L16" s="88">
        <f t="shared" si="5"/>
        <v>5.3279485478006583</v>
      </c>
      <c r="M16" s="67">
        <v>215888</v>
      </c>
      <c r="N16" s="88">
        <f t="shared" si="6"/>
        <v>5.2215989332737376</v>
      </c>
      <c r="O16" s="68">
        <f t="shared" si="7"/>
        <v>944.7680397708624</v>
      </c>
      <c r="P16" s="67">
        <v>1701547</v>
      </c>
      <c r="Q16" s="67">
        <v>875249</v>
      </c>
      <c r="R16" s="88">
        <f t="shared" si="8"/>
        <v>6.7381176114463983</v>
      </c>
      <c r="S16" s="67">
        <v>826298</v>
      </c>
      <c r="T16" s="88">
        <f t="shared" si="9"/>
        <v>6.4531042958660594</v>
      </c>
      <c r="U16" s="68">
        <f t="shared" si="10"/>
        <v>944.07191553489349</v>
      </c>
      <c r="V16" s="67">
        <v>278680</v>
      </c>
      <c r="W16" s="67">
        <v>144547</v>
      </c>
      <c r="X16" s="88">
        <f t="shared" si="11"/>
        <v>7.2481158519157391</v>
      </c>
      <c r="Y16" s="67">
        <v>134133</v>
      </c>
      <c r="Z16" s="88">
        <f t="shared" si="12"/>
        <v>6.7397489068816956</v>
      </c>
      <c r="AA16" s="68">
        <f t="shared" si="13"/>
        <v>927.95422942018854</v>
      </c>
      <c r="AB16" s="67">
        <f t="shared" si="0"/>
        <v>2615286</v>
      </c>
      <c r="AC16" s="67">
        <f t="shared" si="1"/>
        <v>1347785</v>
      </c>
      <c r="AD16" s="88">
        <f t="shared" si="14"/>
        <v>6.3722681929265139</v>
      </c>
      <c r="AE16" s="67">
        <f t="shared" si="15"/>
        <v>1267501</v>
      </c>
      <c r="AF16" s="88">
        <f t="shared" si="16"/>
        <v>6.1219339519436051</v>
      </c>
      <c r="AG16" s="68">
        <f t="shared" si="17"/>
        <v>940.43263576905815</v>
      </c>
      <c r="AH16" s="81">
        <v>3065214.3633716963</v>
      </c>
      <c r="AI16" s="82">
        <v>1577171.9169358141</v>
      </c>
      <c r="AJ16" s="82">
        <v>1488042.4464358822</v>
      </c>
      <c r="AK16" s="83">
        <f t="shared" si="18"/>
        <v>943.48779004821756</v>
      </c>
    </row>
    <row r="17" spans="3:37" x14ac:dyDescent="0.3">
      <c r="C17" s="64" t="s">
        <v>71</v>
      </c>
      <c r="D17" s="65">
        <v>150962</v>
      </c>
      <c r="E17" s="65">
        <v>78401</v>
      </c>
      <c r="F17" s="87">
        <f t="shared" si="2"/>
        <v>4.1744248392148142</v>
      </c>
      <c r="G17" s="65">
        <v>72561</v>
      </c>
      <c r="H17" s="87">
        <f t="shared" si="3"/>
        <v>4.0881693749852106</v>
      </c>
      <c r="I17" s="66">
        <f t="shared" si="4"/>
        <v>925.51115419446182</v>
      </c>
      <c r="J17" s="67">
        <v>343945</v>
      </c>
      <c r="K17" s="67">
        <v>176429</v>
      </c>
      <c r="L17" s="88">
        <f t="shared" si="5"/>
        <v>4.1136438142039147</v>
      </c>
      <c r="M17" s="67">
        <v>167516</v>
      </c>
      <c r="N17" s="88">
        <f t="shared" si="6"/>
        <v>4.0516442178642791</v>
      </c>
      <c r="O17" s="68">
        <f t="shared" si="7"/>
        <v>949.48109437790845</v>
      </c>
      <c r="P17" s="67">
        <v>1141855</v>
      </c>
      <c r="Q17" s="67">
        <v>572997</v>
      </c>
      <c r="R17" s="88">
        <f t="shared" si="8"/>
        <v>4.4112260362547708</v>
      </c>
      <c r="S17" s="67">
        <v>568858</v>
      </c>
      <c r="T17" s="88">
        <f t="shared" si="9"/>
        <v>4.4425860930775274</v>
      </c>
      <c r="U17" s="68">
        <f t="shared" si="10"/>
        <v>992.77657649167452</v>
      </c>
      <c r="V17" s="67">
        <v>185483</v>
      </c>
      <c r="W17" s="67">
        <v>95642</v>
      </c>
      <c r="X17" s="88">
        <f t="shared" si="11"/>
        <v>4.7958400818344558</v>
      </c>
      <c r="Y17" s="67">
        <v>89841</v>
      </c>
      <c r="Z17" s="88">
        <f t="shared" si="12"/>
        <v>4.5142193311352052</v>
      </c>
      <c r="AA17" s="68">
        <f t="shared" si="13"/>
        <v>939.34673051588209</v>
      </c>
      <c r="AB17" s="67">
        <f t="shared" si="0"/>
        <v>1822245</v>
      </c>
      <c r="AC17" s="67">
        <f t="shared" si="1"/>
        <v>923469</v>
      </c>
      <c r="AD17" s="88">
        <f t="shared" si="14"/>
        <v>4.3661208099612736</v>
      </c>
      <c r="AE17" s="67">
        <f t="shared" si="15"/>
        <v>898776</v>
      </c>
      <c r="AF17" s="88">
        <f t="shared" si="16"/>
        <v>4.3410200935479075</v>
      </c>
      <c r="AG17" s="68">
        <f t="shared" si="17"/>
        <v>973.26060755694027</v>
      </c>
      <c r="AH17" s="81">
        <v>2134110.6804121365</v>
      </c>
      <c r="AI17" s="82">
        <v>1079655.0305918208</v>
      </c>
      <c r="AJ17" s="82">
        <v>1054455.6498203157</v>
      </c>
      <c r="AK17" s="83">
        <f t="shared" si="18"/>
        <v>976.65978478543104</v>
      </c>
    </row>
    <row r="18" spans="3:37" x14ac:dyDescent="0.3">
      <c r="C18" s="64" t="s">
        <v>72</v>
      </c>
      <c r="D18" s="65">
        <v>97908</v>
      </c>
      <c r="E18" s="65">
        <v>52164</v>
      </c>
      <c r="F18" s="87">
        <f t="shared" si="2"/>
        <v>2.7774479574597457</v>
      </c>
      <c r="G18" s="65">
        <v>45744</v>
      </c>
      <c r="H18" s="87">
        <f t="shared" si="3"/>
        <v>2.5772690548548596</v>
      </c>
      <c r="I18" s="66">
        <f t="shared" si="4"/>
        <v>876.92661605705075</v>
      </c>
      <c r="J18" s="67">
        <v>220966</v>
      </c>
      <c r="K18" s="67">
        <v>113827</v>
      </c>
      <c r="L18" s="88">
        <f t="shared" si="5"/>
        <v>2.6540066227172914</v>
      </c>
      <c r="M18" s="67">
        <v>107139</v>
      </c>
      <c r="N18" s="88">
        <f t="shared" si="6"/>
        <v>2.5913292453124535</v>
      </c>
      <c r="O18" s="68">
        <f t="shared" si="7"/>
        <v>941.24416878245052</v>
      </c>
      <c r="P18" s="67">
        <v>749261</v>
      </c>
      <c r="Q18" s="67">
        <v>380537</v>
      </c>
      <c r="R18" s="88">
        <f t="shared" si="8"/>
        <v>2.9295698269943502</v>
      </c>
      <c r="S18" s="67">
        <v>368724</v>
      </c>
      <c r="T18" s="88">
        <f t="shared" si="9"/>
        <v>2.8796081176390564</v>
      </c>
      <c r="U18" s="68">
        <f t="shared" si="10"/>
        <v>968.95702651778936</v>
      </c>
      <c r="V18" s="67">
        <v>122193</v>
      </c>
      <c r="W18" s="67">
        <v>64694</v>
      </c>
      <c r="X18" s="88">
        <f t="shared" si="11"/>
        <v>3.2439940429330032</v>
      </c>
      <c r="Y18" s="67">
        <v>57499</v>
      </c>
      <c r="Z18" s="88">
        <f t="shared" si="12"/>
        <v>2.8891385594655352</v>
      </c>
      <c r="AA18" s="68">
        <f t="shared" si="13"/>
        <v>888.78412217516313</v>
      </c>
      <c r="AB18" s="67">
        <f t="shared" si="0"/>
        <v>1190328</v>
      </c>
      <c r="AC18" s="67">
        <f t="shared" si="1"/>
        <v>611222</v>
      </c>
      <c r="AD18" s="88">
        <f t="shared" si="14"/>
        <v>2.8898307292460812</v>
      </c>
      <c r="AE18" s="67">
        <f t="shared" si="15"/>
        <v>579106</v>
      </c>
      <c r="AF18" s="88">
        <f t="shared" si="16"/>
        <v>2.7970381744663344</v>
      </c>
      <c r="AG18" s="68">
        <f t="shared" si="17"/>
        <v>947.45607978770397</v>
      </c>
      <c r="AH18" s="81">
        <v>1393135.8180184686</v>
      </c>
      <c r="AI18" s="82">
        <v>714216.61909202556</v>
      </c>
      <c r="AJ18" s="82">
        <v>678919.19892644312</v>
      </c>
      <c r="AK18" s="83">
        <f t="shared" si="18"/>
        <v>950.57883109685179</v>
      </c>
    </row>
    <row r="19" spans="3:37" x14ac:dyDescent="0.3">
      <c r="C19" s="64" t="s">
        <v>73</v>
      </c>
      <c r="D19" s="65">
        <v>106759</v>
      </c>
      <c r="E19" s="65">
        <v>56478</v>
      </c>
      <c r="F19" s="87">
        <f t="shared" si="2"/>
        <v>3.0071448842383925</v>
      </c>
      <c r="G19" s="65">
        <v>50281</v>
      </c>
      <c r="H19" s="87">
        <f t="shared" si="3"/>
        <v>2.8328888017479277</v>
      </c>
      <c r="I19" s="66">
        <f t="shared" si="4"/>
        <v>890.27585962675732</v>
      </c>
      <c r="J19" s="67">
        <v>249761</v>
      </c>
      <c r="K19" s="67">
        <v>129208</v>
      </c>
      <c r="L19" s="88">
        <f t="shared" si="5"/>
        <v>3.0126322200185873</v>
      </c>
      <c r="M19" s="67">
        <v>120553</v>
      </c>
      <c r="N19" s="88">
        <f t="shared" si="6"/>
        <v>2.9157684364251319</v>
      </c>
      <c r="O19" s="68">
        <f t="shared" si="7"/>
        <v>933.01498359234722</v>
      </c>
      <c r="P19" s="67">
        <v>798552</v>
      </c>
      <c r="Q19" s="67">
        <v>407357</v>
      </c>
      <c r="R19" s="88">
        <f t="shared" si="8"/>
        <v>3.1360440010168196</v>
      </c>
      <c r="S19" s="67">
        <v>391195</v>
      </c>
      <c r="T19" s="88">
        <f t="shared" si="9"/>
        <v>3.0550989292256827</v>
      </c>
      <c r="U19" s="68">
        <f t="shared" si="10"/>
        <v>960.3247274503691</v>
      </c>
      <c r="V19" s="67">
        <v>114459</v>
      </c>
      <c r="W19" s="67">
        <v>60414</v>
      </c>
      <c r="X19" s="88">
        <f t="shared" si="11"/>
        <v>3.0293791713258482</v>
      </c>
      <c r="Y19" s="67">
        <v>54045</v>
      </c>
      <c r="Z19" s="88">
        <f t="shared" si="12"/>
        <v>2.7155862440445029</v>
      </c>
      <c r="AA19" s="68">
        <f t="shared" si="13"/>
        <v>894.57741583076768</v>
      </c>
      <c r="AB19" s="67">
        <f t="shared" si="0"/>
        <v>1269531</v>
      </c>
      <c r="AC19" s="67">
        <f t="shared" si="1"/>
        <v>653457</v>
      </c>
      <c r="AD19" s="88">
        <f t="shared" si="14"/>
        <v>3.0895159513907493</v>
      </c>
      <c r="AE19" s="67">
        <f t="shared" si="15"/>
        <v>616074</v>
      </c>
      <c r="AF19" s="88">
        <f t="shared" si="16"/>
        <v>2.9755908180819617</v>
      </c>
      <c r="AG19" s="68">
        <f t="shared" si="17"/>
        <v>942.79195111537558</v>
      </c>
      <c r="AH19" s="81">
        <v>1487745.8388300049</v>
      </c>
      <c r="AI19" s="82">
        <v>764496.06855297263</v>
      </c>
      <c r="AJ19" s="82">
        <v>723249.77027703228</v>
      </c>
      <c r="AK19" s="83">
        <f t="shared" si="18"/>
        <v>946.04773003736864</v>
      </c>
    </row>
    <row r="20" spans="3:37" x14ac:dyDescent="0.3">
      <c r="C20" s="63" t="s">
        <v>74</v>
      </c>
      <c r="D20" s="67">
        <v>74225</v>
      </c>
      <c r="E20" s="67">
        <v>39762</v>
      </c>
      <c r="F20" s="87">
        <f t="shared" si="2"/>
        <v>2.1171092263728704</v>
      </c>
      <c r="G20" s="67">
        <v>34463</v>
      </c>
      <c r="H20" s="87">
        <f t="shared" si="3"/>
        <v>1.9416846676605242</v>
      </c>
      <c r="I20" s="66">
        <f t="shared" si="4"/>
        <v>866.73205573160305</v>
      </c>
      <c r="J20" s="67">
        <v>178018</v>
      </c>
      <c r="K20" s="67">
        <v>93428</v>
      </c>
      <c r="L20" s="88">
        <f t="shared" si="5"/>
        <v>2.1783806192487818</v>
      </c>
      <c r="M20" s="67">
        <v>84590</v>
      </c>
      <c r="N20" s="88">
        <f t="shared" si="6"/>
        <v>2.0459453687357585</v>
      </c>
      <c r="O20" s="68">
        <f t="shared" si="7"/>
        <v>905.40309115040463</v>
      </c>
      <c r="P20" s="67">
        <v>595271</v>
      </c>
      <c r="Q20" s="67">
        <v>307489</v>
      </c>
      <c r="R20" s="88">
        <f t="shared" si="8"/>
        <v>2.3672086985829655</v>
      </c>
      <c r="S20" s="67">
        <v>287782</v>
      </c>
      <c r="T20" s="88">
        <f t="shared" si="9"/>
        <v>2.2474788278235289</v>
      </c>
      <c r="U20" s="68">
        <f t="shared" si="10"/>
        <v>935.90990246805575</v>
      </c>
      <c r="V20" s="67">
        <v>113702</v>
      </c>
      <c r="W20" s="67">
        <v>61089</v>
      </c>
      <c r="X20" s="88">
        <f t="shared" si="11"/>
        <v>3.0632261428994068</v>
      </c>
      <c r="Y20" s="67">
        <v>52613</v>
      </c>
      <c r="Z20" s="88">
        <f t="shared" si="12"/>
        <v>2.6436328810789789</v>
      </c>
      <c r="AA20" s="68">
        <f t="shared" si="13"/>
        <v>861.25161649396784</v>
      </c>
      <c r="AB20" s="67">
        <f t="shared" si="0"/>
        <v>961216</v>
      </c>
      <c r="AC20" s="67">
        <f t="shared" si="1"/>
        <v>501768</v>
      </c>
      <c r="AD20" s="88">
        <f t="shared" si="14"/>
        <v>2.3723370319660417</v>
      </c>
      <c r="AE20" s="67">
        <f t="shared" si="15"/>
        <v>459448</v>
      </c>
      <c r="AF20" s="88">
        <f t="shared" si="16"/>
        <v>2.2190990858015778</v>
      </c>
      <c r="AG20" s="68">
        <f t="shared" si="17"/>
        <v>915.65823248991558</v>
      </c>
      <c r="AH20" s="81">
        <v>1124449.4694764134</v>
      </c>
      <c r="AI20" s="82">
        <v>586019.68964654498</v>
      </c>
      <c r="AJ20" s="82">
        <v>538429.77982986858</v>
      </c>
      <c r="AK20" s="83">
        <f t="shared" si="18"/>
        <v>918.79127842038884</v>
      </c>
    </row>
    <row r="21" spans="3:37" x14ac:dyDescent="0.3">
      <c r="C21" s="63" t="s">
        <v>75</v>
      </c>
      <c r="D21" s="67">
        <v>164665</v>
      </c>
      <c r="E21" s="67">
        <v>85817</v>
      </c>
      <c r="F21" s="87">
        <f t="shared" si="2"/>
        <v>4.5692863155686494</v>
      </c>
      <c r="G21" s="67">
        <v>78848</v>
      </c>
      <c r="H21" s="87">
        <f t="shared" si="3"/>
        <v>4.4423861148390165</v>
      </c>
      <c r="I21" s="66">
        <f t="shared" si="4"/>
        <v>918.79231387720381</v>
      </c>
      <c r="J21" s="67">
        <v>390183</v>
      </c>
      <c r="K21" s="67">
        <v>202858</v>
      </c>
      <c r="L21" s="88">
        <f t="shared" si="5"/>
        <v>4.7298661606752734</v>
      </c>
      <c r="M21" s="67">
        <v>187325</v>
      </c>
      <c r="N21" s="88">
        <f t="shared" si="6"/>
        <v>4.5307567821069394</v>
      </c>
      <c r="O21" s="68">
        <f t="shared" si="7"/>
        <v>923.42919677804184</v>
      </c>
      <c r="P21" s="67">
        <v>1484875</v>
      </c>
      <c r="Q21" s="67">
        <v>765952</v>
      </c>
      <c r="R21" s="88">
        <f t="shared" si="8"/>
        <v>5.8966930104719824</v>
      </c>
      <c r="S21" s="67">
        <v>718923</v>
      </c>
      <c r="T21" s="88">
        <f t="shared" si="9"/>
        <v>5.6145423318184422</v>
      </c>
      <c r="U21" s="68">
        <f t="shared" si="10"/>
        <v>938.60059115975935</v>
      </c>
      <c r="V21" s="67">
        <v>204845</v>
      </c>
      <c r="W21" s="67">
        <v>108647</v>
      </c>
      <c r="X21" s="88">
        <f t="shared" si="11"/>
        <v>5.4479584008183446</v>
      </c>
      <c r="Y21" s="67">
        <v>96198</v>
      </c>
      <c r="Z21" s="88">
        <f t="shared" si="12"/>
        <v>4.833637996199335</v>
      </c>
      <c r="AA21" s="68">
        <f t="shared" si="13"/>
        <v>885.41791305788479</v>
      </c>
      <c r="AB21" s="67">
        <f t="shared" si="0"/>
        <v>2244568</v>
      </c>
      <c r="AC21" s="67">
        <f t="shared" si="1"/>
        <v>1163274</v>
      </c>
      <c r="AD21" s="88">
        <f t="shared" si="14"/>
        <v>5.499908301293158</v>
      </c>
      <c r="AE21" s="67">
        <f t="shared" si="15"/>
        <v>1081294</v>
      </c>
      <c r="AF21" s="88">
        <f t="shared" si="16"/>
        <v>5.2225682272699654</v>
      </c>
      <c r="AG21" s="68">
        <f t="shared" si="17"/>
        <v>929.52649160902763</v>
      </c>
      <c r="AH21" s="81">
        <v>2629783.2472819909</v>
      </c>
      <c r="AI21" s="82">
        <v>1360755.4109994087</v>
      </c>
      <c r="AJ21" s="82">
        <v>1269027.836282582</v>
      </c>
      <c r="AK21" s="83">
        <f t="shared" si="18"/>
        <v>932.5906963328132</v>
      </c>
    </row>
    <row r="22" spans="3:37" x14ac:dyDescent="0.3">
      <c r="C22" s="63" t="s">
        <v>76</v>
      </c>
      <c r="D22" s="67">
        <v>120901</v>
      </c>
      <c r="E22" s="67">
        <v>62343</v>
      </c>
      <c r="F22" s="87">
        <f t="shared" si="2"/>
        <v>3.3194240858046342</v>
      </c>
      <c r="G22" s="67">
        <v>58558</v>
      </c>
      <c r="H22" s="87">
        <f t="shared" si="3"/>
        <v>3.2992244078828019</v>
      </c>
      <c r="I22" s="66">
        <f t="shared" si="4"/>
        <v>939.28749017532039</v>
      </c>
      <c r="J22" s="67">
        <v>297987</v>
      </c>
      <c r="K22" s="67">
        <v>153410</v>
      </c>
      <c r="L22" s="88">
        <f t="shared" si="5"/>
        <v>3.5769295157656762</v>
      </c>
      <c r="M22" s="67">
        <v>144577</v>
      </c>
      <c r="N22" s="88">
        <f t="shared" si="6"/>
        <v>3.4968275632546377</v>
      </c>
      <c r="O22" s="68">
        <f t="shared" si="7"/>
        <v>942.42226712730587</v>
      </c>
      <c r="P22" s="67">
        <v>1089766</v>
      </c>
      <c r="Q22" s="67">
        <v>552349</v>
      </c>
      <c r="R22" s="88">
        <f t="shared" si="8"/>
        <v>4.2522670972086871</v>
      </c>
      <c r="S22" s="67">
        <v>537417</v>
      </c>
      <c r="T22" s="88">
        <f t="shared" si="9"/>
        <v>4.1970426545525346</v>
      </c>
      <c r="U22" s="68">
        <f t="shared" si="10"/>
        <v>972.96636727865894</v>
      </c>
      <c r="V22" s="67">
        <v>185576</v>
      </c>
      <c r="W22" s="67">
        <v>95090</v>
      </c>
      <c r="X22" s="88">
        <f t="shared" si="11"/>
        <v>4.7681607806365243</v>
      </c>
      <c r="Y22" s="67">
        <v>90486</v>
      </c>
      <c r="Z22" s="88">
        <f t="shared" si="12"/>
        <v>4.546628492526799</v>
      </c>
      <c r="AA22" s="68">
        <f t="shared" si="13"/>
        <v>951.58271111578506</v>
      </c>
      <c r="AB22" s="67">
        <f t="shared" si="0"/>
        <v>1694230</v>
      </c>
      <c r="AC22" s="67">
        <f t="shared" si="1"/>
        <v>863192</v>
      </c>
      <c r="AD22" s="88">
        <f t="shared" si="14"/>
        <v>4.0811338054575641</v>
      </c>
      <c r="AE22" s="67">
        <f t="shared" si="15"/>
        <v>831038</v>
      </c>
      <c r="AF22" s="88">
        <f t="shared" si="16"/>
        <v>4.0138506774789997</v>
      </c>
      <c r="AG22" s="68">
        <f t="shared" si="17"/>
        <v>962.74988646790052</v>
      </c>
      <c r="AH22" s="81">
        <v>1984051.7632943639</v>
      </c>
      <c r="AI22" s="82">
        <v>1008939.763112405</v>
      </c>
      <c r="AJ22" s="82">
        <v>975112.00018195878</v>
      </c>
      <c r="AK22" s="83">
        <f t="shared" si="18"/>
        <v>966.47196971790129</v>
      </c>
    </row>
    <row r="23" spans="3:37" x14ac:dyDescent="0.3">
      <c r="C23" s="63" t="s">
        <v>77</v>
      </c>
      <c r="D23" s="67">
        <v>288990</v>
      </c>
      <c r="E23" s="67">
        <v>151302</v>
      </c>
      <c r="F23" s="87">
        <f t="shared" si="2"/>
        <v>8.056004732374328</v>
      </c>
      <c r="G23" s="67">
        <v>137688</v>
      </c>
      <c r="H23" s="87">
        <f t="shared" si="3"/>
        <v>7.7574987238732058</v>
      </c>
      <c r="I23" s="66">
        <f t="shared" si="4"/>
        <v>910.02101756751392</v>
      </c>
      <c r="J23" s="67">
        <v>728241</v>
      </c>
      <c r="K23" s="67">
        <v>370649</v>
      </c>
      <c r="L23" s="88">
        <f t="shared" si="5"/>
        <v>8.642105130624028</v>
      </c>
      <c r="M23" s="67">
        <v>357592</v>
      </c>
      <c r="N23" s="88">
        <f t="shared" si="6"/>
        <v>8.648938365019001</v>
      </c>
      <c r="O23" s="68">
        <f t="shared" si="7"/>
        <v>964.77260157183753</v>
      </c>
      <c r="P23" s="67">
        <v>2160546</v>
      </c>
      <c r="Q23" s="67">
        <v>1080891</v>
      </c>
      <c r="R23" s="88">
        <f t="shared" si="8"/>
        <v>8.3212556462834115</v>
      </c>
      <c r="S23" s="67">
        <v>1079655</v>
      </c>
      <c r="T23" s="88">
        <f t="shared" si="9"/>
        <v>8.4317356674629131</v>
      </c>
      <c r="U23" s="68">
        <f t="shared" si="10"/>
        <v>998.85649894392679</v>
      </c>
      <c r="V23" s="67">
        <v>340460</v>
      </c>
      <c r="W23" s="67">
        <v>170847</v>
      </c>
      <c r="X23" s="88">
        <f t="shared" si="11"/>
        <v>8.5668941517447479</v>
      </c>
      <c r="Y23" s="67">
        <v>169613</v>
      </c>
      <c r="Z23" s="88">
        <f t="shared" si="12"/>
        <v>8.5225040172286111</v>
      </c>
      <c r="AA23" s="68">
        <f t="shared" si="13"/>
        <v>992.77716319279818</v>
      </c>
      <c r="AB23" s="67">
        <f t="shared" si="0"/>
        <v>3518237</v>
      </c>
      <c r="AC23" s="67">
        <f t="shared" si="1"/>
        <v>1773689</v>
      </c>
      <c r="AD23" s="88">
        <f t="shared" si="14"/>
        <v>8.3859235700379777</v>
      </c>
      <c r="AE23" s="67">
        <f t="shared" si="15"/>
        <v>1744548</v>
      </c>
      <c r="AF23" s="88">
        <f t="shared" si="16"/>
        <v>8.4260348764973845</v>
      </c>
      <c r="AG23" s="68">
        <f t="shared" si="17"/>
        <v>983.57040044788016</v>
      </c>
      <c r="AH23" s="81">
        <v>4121851.0826547784</v>
      </c>
      <c r="AI23" s="82">
        <v>2074375.4696811172</v>
      </c>
      <c r="AJ23" s="82">
        <v>2047475.6129736612</v>
      </c>
      <c r="AK23" s="83">
        <f t="shared" si="18"/>
        <v>987.0323106396977</v>
      </c>
    </row>
    <row r="24" spans="3:37" x14ac:dyDescent="0.3">
      <c r="C24" s="63" t="s">
        <v>78</v>
      </c>
      <c r="D24" s="67">
        <v>58573</v>
      </c>
      <c r="E24" s="67">
        <v>29775</v>
      </c>
      <c r="F24" s="87">
        <f t="shared" si="2"/>
        <v>1.5853560488720946</v>
      </c>
      <c r="G24" s="67">
        <v>28798</v>
      </c>
      <c r="H24" s="87">
        <f t="shared" si="3"/>
        <v>1.6225121161619065</v>
      </c>
      <c r="I24" s="66">
        <f t="shared" si="4"/>
        <v>967.18723761544925</v>
      </c>
      <c r="J24" s="67">
        <v>138619</v>
      </c>
      <c r="K24" s="67">
        <v>69751</v>
      </c>
      <c r="L24" s="88">
        <f t="shared" si="5"/>
        <v>1.6263242986387569</v>
      </c>
      <c r="M24" s="67">
        <v>68868</v>
      </c>
      <c r="N24" s="88">
        <f t="shared" si="6"/>
        <v>1.6656834809563097</v>
      </c>
      <c r="O24" s="68">
        <f t="shared" si="7"/>
        <v>987.34068328769479</v>
      </c>
      <c r="P24" s="67">
        <v>333053</v>
      </c>
      <c r="Q24" s="67">
        <v>161998</v>
      </c>
      <c r="R24" s="88">
        <f t="shared" si="8"/>
        <v>1.2471440433740497</v>
      </c>
      <c r="S24" s="67">
        <v>171055</v>
      </c>
      <c r="T24" s="88">
        <f t="shared" si="9"/>
        <v>1.3358809477081739</v>
      </c>
      <c r="U24" s="68">
        <f t="shared" si="10"/>
        <v>1055.9080976308351</v>
      </c>
      <c r="V24" s="67">
        <v>44257</v>
      </c>
      <c r="W24" s="67">
        <v>19729</v>
      </c>
      <c r="X24" s="88">
        <f t="shared" si="11"/>
        <v>0.98928429951811936</v>
      </c>
      <c r="Y24" s="67">
        <v>24528</v>
      </c>
      <c r="Z24" s="88">
        <f t="shared" si="12"/>
        <v>1.2324525745938304</v>
      </c>
      <c r="AA24" s="68">
        <f t="shared" si="13"/>
        <v>1243.2459830706066</v>
      </c>
      <c r="AB24" s="67">
        <f t="shared" si="0"/>
        <v>574502</v>
      </c>
      <c r="AC24" s="67">
        <f t="shared" si="1"/>
        <v>281253</v>
      </c>
      <c r="AD24" s="88">
        <f t="shared" si="14"/>
        <v>1.3297518120955203</v>
      </c>
      <c r="AE24" s="67">
        <f t="shared" si="15"/>
        <v>293249</v>
      </c>
      <c r="AF24" s="88">
        <f t="shared" si="16"/>
        <v>1.4163704876552445</v>
      </c>
      <c r="AG24" s="68">
        <f t="shared" si="17"/>
        <v>1042.6519894898897</v>
      </c>
      <c r="AH24" s="81">
        <v>674916.11131328763</v>
      </c>
      <c r="AI24" s="82">
        <v>329809.81667652278</v>
      </c>
      <c r="AJ24" s="82">
        <v>345106.2946367648</v>
      </c>
      <c r="AK24" s="83">
        <f t="shared" si="18"/>
        <v>1046.3796927404524</v>
      </c>
    </row>
    <row r="25" spans="3:37" x14ac:dyDescent="0.3">
      <c r="C25" s="63" t="s">
        <v>79</v>
      </c>
      <c r="D25" s="67">
        <v>74618</v>
      </c>
      <c r="E25" s="67">
        <v>37779</v>
      </c>
      <c r="F25" s="87">
        <f t="shared" si="2"/>
        <v>2.0115253121860235</v>
      </c>
      <c r="G25" s="67">
        <v>36839</v>
      </c>
      <c r="H25" s="87">
        <f t="shared" si="3"/>
        <v>2.0755512135317891</v>
      </c>
      <c r="I25" s="66">
        <f t="shared" si="4"/>
        <v>975.11845205008069</v>
      </c>
      <c r="J25" s="67">
        <v>177444</v>
      </c>
      <c r="K25" s="67">
        <v>89177</v>
      </c>
      <c r="L25" s="88">
        <f t="shared" si="5"/>
        <v>2.0792636948532413</v>
      </c>
      <c r="M25" s="67">
        <v>88267</v>
      </c>
      <c r="N25" s="88">
        <f t="shared" si="6"/>
        <v>2.1348795349592056</v>
      </c>
      <c r="O25" s="68">
        <f t="shared" si="7"/>
        <v>989.7955750922323</v>
      </c>
      <c r="P25" s="67">
        <v>416368</v>
      </c>
      <c r="Q25" s="67">
        <v>202284</v>
      </c>
      <c r="R25" s="88">
        <f t="shared" si="8"/>
        <v>1.5572864212513506</v>
      </c>
      <c r="S25" s="67">
        <v>214084</v>
      </c>
      <c r="T25" s="88">
        <f t="shared" si="9"/>
        <v>1.6719226962623526</v>
      </c>
      <c r="U25" s="68">
        <f t="shared" si="10"/>
        <v>1058.3338276878053</v>
      </c>
      <c r="V25" s="67">
        <v>63443</v>
      </c>
      <c r="W25" s="67">
        <v>30102</v>
      </c>
      <c r="X25" s="88">
        <f t="shared" si="11"/>
        <v>1.5094245011959262</v>
      </c>
      <c r="Y25" s="67">
        <v>33341</v>
      </c>
      <c r="Z25" s="88">
        <f t="shared" si="12"/>
        <v>1.675277286755255</v>
      </c>
      <c r="AA25" s="68">
        <f t="shared" si="13"/>
        <v>1107.600823865524</v>
      </c>
      <c r="AB25" s="67">
        <f t="shared" si="0"/>
        <v>731873</v>
      </c>
      <c r="AC25" s="67">
        <f t="shared" si="1"/>
        <v>359342</v>
      </c>
      <c r="AD25" s="88">
        <f t="shared" si="14"/>
        <v>1.6989531690756312</v>
      </c>
      <c r="AE25" s="67">
        <f t="shared" si="15"/>
        <v>372531</v>
      </c>
      <c r="AF25" s="88">
        <f t="shared" si="16"/>
        <v>1.7992965504970042</v>
      </c>
      <c r="AG25" s="68">
        <f t="shared" si="17"/>
        <v>1036.7031963978607</v>
      </c>
      <c r="AH25" s="81">
        <v>856301.69790292496</v>
      </c>
      <c r="AI25" s="82">
        <v>419657.38980121003</v>
      </c>
      <c r="AJ25" s="82">
        <v>436644.30810171494</v>
      </c>
      <c r="AK25" s="83">
        <f t="shared" si="18"/>
        <v>1040.4780630898733</v>
      </c>
    </row>
    <row r="26" spans="3:37" x14ac:dyDescent="0.3">
      <c r="C26" s="63" t="s">
        <v>80</v>
      </c>
      <c r="D26" s="67">
        <v>43939</v>
      </c>
      <c r="E26" s="67">
        <v>22178</v>
      </c>
      <c r="F26" s="87">
        <f t="shared" si="2"/>
        <v>1.1808573115662573</v>
      </c>
      <c r="G26" s="67">
        <v>21761</v>
      </c>
      <c r="H26" s="87">
        <f t="shared" si="3"/>
        <v>1.2260395221820697</v>
      </c>
      <c r="I26" s="66">
        <f t="shared" si="4"/>
        <v>981.19758319054915</v>
      </c>
      <c r="J26" s="67">
        <v>97952</v>
      </c>
      <c r="K26" s="67">
        <v>49500</v>
      </c>
      <c r="L26" s="88">
        <f t="shared" si="5"/>
        <v>1.1541490843517437</v>
      </c>
      <c r="M26" s="67">
        <v>48452</v>
      </c>
      <c r="N26" s="88">
        <f t="shared" si="6"/>
        <v>1.1718896442367299</v>
      </c>
      <c r="O26" s="68">
        <f t="shared" si="7"/>
        <v>978.82828282828279</v>
      </c>
      <c r="P26" s="67">
        <v>256796</v>
      </c>
      <c r="Q26" s="67">
        <v>128176</v>
      </c>
      <c r="R26" s="88">
        <f t="shared" si="8"/>
        <v>0.98676486687188858</v>
      </c>
      <c r="S26" s="67">
        <v>128620</v>
      </c>
      <c r="T26" s="88">
        <f t="shared" si="9"/>
        <v>1.004478135653593</v>
      </c>
      <c r="U26" s="68">
        <f t="shared" si="10"/>
        <v>1003.4639870178505</v>
      </c>
      <c r="V26" s="67">
        <v>41397</v>
      </c>
      <c r="W26" s="67">
        <v>21213</v>
      </c>
      <c r="X26" s="88">
        <f t="shared" si="11"/>
        <v>1.0636974933183572</v>
      </c>
      <c r="Y26" s="67">
        <v>20184</v>
      </c>
      <c r="Z26" s="88">
        <f t="shared" si="12"/>
        <v>1.0141806411285825</v>
      </c>
      <c r="AA26" s="68">
        <f t="shared" si="13"/>
        <v>951.49200961674444</v>
      </c>
      <c r="AB26" s="67">
        <f t="shared" si="0"/>
        <v>440084</v>
      </c>
      <c r="AC26" s="67">
        <f t="shared" si="1"/>
        <v>221067</v>
      </c>
      <c r="AD26" s="88">
        <f t="shared" si="14"/>
        <v>1.0451950515888555</v>
      </c>
      <c r="AE26" s="67">
        <f t="shared" si="15"/>
        <v>219017</v>
      </c>
      <c r="AF26" s="88">
        <f t="shared" si="16"/>
        <v>1.0578355428144297</v>
      </c>
      <c r="AG26" s="68">
        <f t="shared" si="17"/>
        <v>990.72679323463024</v>
      </c>
      <c r="AH26" s="81">
        <v>515273.20031387894</v>
      </c>
      <c r="AI26" s="82">
        <v>258390.94243278899</v>
      </c>
      <c r="AJ26" s="82">
        <v>256882.25788108993</v>
      </c>
      <c r="AK26" s="83">
        <f t="shared" si="18"/>
        <v>994.16123283001116</v>
      </c>
    </row>
    <row r="27" spans="3:37" x14ac:dyDescent="0.3">
      <c r="C27" s="63" t="s">
        <v>81</v>
      </c>
      <c r="D27" s="67">
        <v>53513</v>
      </c>
      <c r="E27" s="67">
        <v>27362</v>
      </c>
      <c r="F27" s="87">
        <f t="shared" si="2"/>
        <v>1.456876984357288</v>
      </c>
      <c r="G27" s="67">
        <v>26151</v>
      </c>
      <c r="H27" s="87">
        <f t="shared" si="3"/>
        <v>1.4733771216664355</v>
      </c>
      <c r="I27" s="66">
        <f t="shared" si="4"/>
        <v>955.74153936115783</v>
      </c>
      <c r="J27" s="67">
        <v>116239</v>
      </c>
      <c r="K27" s="67">
        <v>58659</v>
      </c>
      <c r="L27" s="88">
        <f t="shared" si="5"/>
        <v>1.3677016391714936</v>
      </c>
      <c r="M27" s="67">
        <v>57580</v>
      </c>
      <c r="N27" s="88">
        <f t="shared" si="6"/>
        <v>1.3926650234283602</v>
      </c>
      <c r="O27" s="68">
        <f t="shared" si="7"/>
        <v>981.60555072537886</v>
      </c>
      <c r="P27" s="67">
        <v>374133</v>
      </c>
      <c r="Q27" s="67">
        <v>191299</v>
      </c>
      <c r="R27" s="88">
        <f t="shared" si="8"/>
        <v>1.4727182332708573</v>
      </c>
      <c r="S27" s="67">
        <v>182834</v>
      </c>
      <c r="T27" s="88">
        <f t="shared" si="9"/>
        <v>1.4278709023020448</v>
      </c>
      <c r="U27" s="68">
        <f t="shared" si="10"/>
        <v>955.74989937218697</v>
      </c>
      <c r="V27" s="67">
        <v>64886</v>
      </c>
      <c r="W27" s="67">
        <v>33220</v>
      </c>
      <c r="X27" s="88">
        <f t="shared" si="11"/>
        <v>1.6657724380349701</v>
      </c>
      <c r="Y27" s="67">
        <v>31666</v>
      </c>
      <c r="Z27" s="88">
        <f t="shared" si="12"/>
        <v>1.5911139606608053</v>
      </c>
      <c r="AA27" s="68">
        <f t="shared" si="13"/>
        <v>953.22095123419626</v>
      </c>
      <c r="AB27" s="67">
        <f t="shared" si="0"/>
        <v>608771</v>
      </c>
      <c r="AC27" s="67">
        <f t="shared" si="1"/>
        <v>310540</v>
      </c>
      <c r="AD27" s="88">
        <f t="shared" si="14"/>
        <v>1.4682194598036036</v>
      </c>
      <c r="AE27" s="67">
        <f t="shared" si="15"/>
        <v>298231</v>
      </c>
      <c r="AF27" s="88">
        <f t="shared" si="16"/>
        <v>1.4404331707999387</v>
      </c>
      <c r="AG27" s="68">
        <f t="shared" si="17"/>
        <v>960.36259419076453</v>
      </c>
      <c r="AH27" s="81">
        <v>712668.90722376388</v>
      </c>
      <c r="AI27" s="82">
        <v>362956.2741664013</v>
      </c>
      <c r="AJ27" s="82">
        <v>349712.63305736252</v>
      </c>
      <c r="AK27" s="83">
        <f t="shared" si="18"/>
        <v>963.51174493551503</v>
      </c>
    </row>
    <row r="28" spans="3:37" x14ac:dyDescent="0.3">
      <c r="C28" s="63" t="s">
        <v>82</v>
      </c>
      <c r="D28" s="67">
        <v>153131</v>
      </c>
      <c r="E28" s="67">
        <v>78047</v>
      </c>
      <c r="F28" s="87">
        <f t="shared" si="2"/>
        <v>4.1555762735959814</v>
      </c>
      <c r="G28" s="67">
        <v>75084</v>
      </c>
      <c r="H28" s="87">
        <f t="shared" si="3"/>
        <v>4.2303180682651771</v>
      </c>
      <c r="I28" s="66">
        <f t="shared" si="4"/>
        <v>962.03569643932508</v>
      </c>
      <c r="J28" s="67">
        <v>324284</v>
      </c>
      <c r="K28" s="67">
        <v>163792</v>
      </c>
      <c r="L28" s="88">
        <f t="shared" si="5"/>
        <v>3.8189977136190061</v>
      </c>
      <c r="M28" s="67">
        <v>160492</v>
      </c>
      <c r="N28" s="88">
        <f t="shared" si="6"/>
        <v>3.8817574668298778</v>
      </c>
      <c r="O28" s="68">
        <f t="shared" si="7"/>
        <v>979.85249584839312</v>
      </c>
      <c r="P28" s="67">
        <v>991536</v>
      </c>
      <c r="Q28" s="67">
        <v>499959</v>
      </c>
      <c r="R28" s="88">
        <f t="shared" si="8"/>
        <v>3.848941892994028</v>
      </c>
      <c r="S28" s="67">
        <v>491577</v>
      </c>
      <c r="T28" s="88">
        <f t="shared" si="9"/>
        <v>3.8390479590280377</v>
      </c>
      <c r="U28" s="68">
        <f t="shared" si="10"/>
        <v>983.23462523926969</v>
      </c>
      <c r="V28" s="67">
        <v>175962</v>
      </c>
      <c r="W28" s="67">
        <v>86180</v>
      </c>
      <c r="X28" s="88">
        <f t="shared" si="11"/>
        <v>4.3213807558655546</v>
      </c>
      <c r="Y28" s="67">
        <v>89782</v>
      </c>
      <c r="Z28" s="88">
        <f t="shared" si="12"/>
        <v>4.5112547721862066</v>
      </c>
      <c r="AA28" s="68">
        <f t="shared" si="13"/>
        <v>1041.7962404270131</v>
      </c>
      <c r="AB28" s="67">
        <f t="shared" si="0"/>
        <v>1644913</v>
      </c>
      <c r="AC28" s="67">
        <f t="shared" si="1"/>
        <v>827978</v>
      </c>
      <c r="AD28" s="88">
        <f t="shared" si="14"/>
        <v>3.9146435624694664</v>
      </c>
      <c r="AE28" s="67">
        <f t="shared" si="15"/>
        <v>816935</v>
      </c>
      <c r="AF28" s="88">
        <f t="shared" si="16"/>
        <v>3.94573425427755</v>
      </c>
      <c r="AG28" s="68">
        <f t="shared" si="17"/>
        <v>986.66268910526605</v>
      </c>
      <c r="AH28" s="81">
        <v>1926006.9929036074</v>
      </c>
      <c r="AI28" s="82">
        <v>967802.74132284045</v>
      </c>
      <c r="AJ28" s="82">
        <v>958204.25158076698</v>
      </c>
      <c r="AK28" s="83">
        <f t="shared" si="18"/>
        <v>990.08218376303239</v>
      </c>
    </row>
    <row r="29" spans="3:37" x14ac:dyDescent="0.3">
      <c r="C29" s="63" t="s">
        <v>83</v>
      </c>
      <c r="D29" s="67">
        <v>62093</v>
      </c>
      <c r="E29" s="67">
        <v>31337</v>
      </c>
      <c r="F29" s="87">
        <f t="shared" si="2"/>
        <v>1.6685240135517994</v>
      </c>
      <c r="G29" s="67">
        <v>30756</v>
      </c>
      <c r="H29" s="87">
        <f t="shared" si="3"/>
        <v>1.7328280660002637</v>
      </c>
      <c r="I29" s="66">
        <f t="shared" si="4"/>
        <v>981.45961642786483</v>
      </c>
      <c r="J29" s="67">
        <v>133438</v>
      </c>
      <c r="K29" s="67">
        <v>66783</v>
      </c>
      <c r="L29" s="88">
        <f t="shared" si="5"/>
        <v>1.5571219858638887</v>
      </c>
      <c r="M29" s="67">
        <v>66655</v>
      </c>
      <c r="N29" s="88">
        <f t="shared" si="6"/>
        <v>1.6121585122719231</v>
      </c>
      <c r="O29" s="68">
        <f t="shared" si="7"/>
        <v>998.08334456373632</v>
      </c>
      <c r="P29" s="67">
        <v>349001</v>
      </c>
      <c r="Q29" s="67">
        <v>172794</v>
      </c>
      <c r="R29" s="88">
        <f t="shared" si="8"/>
        <v>1.3302572120074045</v>
      </c>
      <c r="S29" s="67">
        <v>176207</v>
      </c>
      <c r="T29" s="88">
        <f t="shared" si="9"/>
        <v>1.3761163026676462</v>
      </c>
      <c r="U29" s="68">
        <f t="shared" si="10"/>
        <v>1019.7518432352974</v>
      </c>
      <c r="V29" s="67">
        <v>64549</v>
      </c>
      <c r="W29" s="67">
        <v>30335</v>
      </c>
      <c r="X29" s="88">
        <f t="shared" si="11"/>
        <v>1.5211079743465028</v>
      </c>
      <c r="Y29" s="67">
        <v>34214</v>
      </c>
      <c r="Z29" s="88">
        <f t="shared" si="12"/>
        <v>1.7191427098480638</v>
      </c>
      <c r="AA29" s="68">
        <f t="shared" si="13"/>
        <v>1127.8720949398385</v>
      </c>
      <c r="AB29" s="67">
        <f t="shared" si="0"/>
        <v>609081</v>
      </c>
      <c r="AC29" s="67">
        <f t="shared" si="1"/>
        <v>301249</v>
      </c>
      <c r="AD29" s="88">
        <f t="shared" si="14"/>
        <v>1.4242920205009846</v>
      </c>
      <c r="AE29" s="67">
        <f t="shared" si="15"/>
        <v>307832</v>
      </c>
      <c r="AF29" s="88">
        <f t="shared" si="16"/>
        <v>1.4868052745478733</v>
      </c>
      <c r="AG29" s="68">
        <f t="shared" si="17"/>
        <v>1021.8523546966131</v>
      </c>
      <c r="AH29" s="81">
        <v>712940.98337351601</v>
      </c>
      <c r="AI29" s="82">
        <v>352055.38711731794</v>
      </c>
      <c r="AJ29" s="82">
        <v>360885.59625619801</v>
      </c>
      <c r="AK29" s="83">
        <f t="shared" si="18"/>
        <v>1025.0818747901662</v>
      </c>
    </row>
    <row r="30" spans="3:37" x14ac:dyDescent="0.3">
      <c r="C30" s="63" t="s">
        <v>84</v>
      </c>
      <c r="D30" s="67">
        <v>154958</v>
      </c>
      <c r="E30" s="67">
        <v>78789</v>
      </c>
      <c r="F30" s="87">
        <f t="shared" si="2"/>
        <v>4.1950837190456243</v>
      </c>
      <c r="G30" s="67">
        <v>76169</v>
      </c>
      <c r="H30" s="87">
        <f t="shared" si="3"/>
        <v>4.2914482039008348</v>
      </c>
      <c r="I30" s="66">
        <f t="shared" si="4"/>
        <v>966.74662706723029</v>
      </c>
      <c r="J30" s="67">
        <v>344128</v>
      </c>
      <c r="K30" s="67">
        <v>174120</v>
      </c>
      <c r="L30" s="88">
        <f t="shared" si="5"/>
        <v>4.0598068397439508</v>
      </c>
      <c r="M30" s="67">
        <v>170008</v>
      </c>
      <c r="N30" s="88">
        <f t="shared" si="6"/>
        <v>4.1119172508337725</v>
      </c>
      <c r="O30" s="68">
        <f t="shared" si="7"/>
        <v>976.38410291752825</v>
      </c>
      <c r="P30" s="67">
        <v>922769</v>
      </c>
      <c r="Q30" s="67">
        <v>460344</v>
      </c>
      <c r="R30" s="88">
        <f t="shared" si="8"/>
        <v>3.5439652187248214</v>
      </c>
      <c r="S30" s="67">
        <v>462425</v>
      </c>
      <c r="T30" s="88">
        <f t="shared" si="9"/>
        <v>3.6113808263070495</v>
      </c>
      <c r="U30" s="68">
        <f t="shared" si="10"/>
        <v>1004.5205324713693</v>
      </c>
      <c r="V30" s="67">
        <v>149616</v>
      </c>
      <c r="W30" s="67">
        <v>70977</v>
      </c>
      <c r="X30" s="88">
        <f t="shared" si="11"/>
        <v>3.5590466687058426</v>
      </c>
      <c r="Y30" s="67">
        <v>78639</v>
      </c>
      <c r="Z30" s="88">
        <f t="shared" si="12"/>
        <v>3.9513551049202635</v>
      </c>
      <c r="AA30" s="68">
        <f t="shared" si="13"/>
        <v>1107.9504628259861</v>
      </c>
      <c r="AB30" s="67">
        <f t="shared" si="0"/>
        <v>1571471</v>
      </c>
      <c r="AC30" s="67">
        <f t="shared" si="1"/>
        <v>784230</v>
      </c>
      <c r="AD30" s="88">
        <f t="shared" si="14"/>
        <v>3.7078049428794357</v>
      </c>
      <c r="AE30" s="67">
        <f t="shared" si="15"/>
        <v>787241</v>
      </c>
      <c r="AF30" s="88">
        <f t="shared" si="16"/>
        <v>3.8023144804319959</v>
      </c>
      <c r="AG30" s="68">
        <f t="shared" si="17"/>
        <v>1003.8394348596713</v>
      </c>
      <c r="AH30" s="81">
        <v>1841791.6190920258</v>
      </c>
      <c r="AI30" s="82">
        <v>917674.94086339441</v>
      </c>
      <c r="AJ30" s="82">
        <v>924116.67822863127</v>
      </c>
      <c r="AK30" s="83">
        <f t="shared" si="18"/>
        <v>1007.019628714255</v>
      </c>
    </row>
    <row r="31" spans="3:37" x14ac:dyDescent="0.3">
      <c r="C31" s="63" t="s">
        <v>85</v>
      </c>
      <c r="D31" s="67">
        <v>99656</v>
      </c>
      <c r="E31" s="67">
        <v>50607</v>
      </c>
      <c r="F31" s="87">
        <f t="shared" si="2"/>
        <v>2.6945462154582733</v>
      </c>
      <c r="G31" s="67">
        <v>49049</v>
      </c>
      <c r="H31" s="87">
        <f t="shared" si="3"/>
        <v>2.7634765187035679</v>
      </c>
      <c r="I31" s="66">
        <f t="shared" si="4"/>
        <v>969.21374513407227</v>
      </c>
      <c r="J31" s="67">
        <v>234214</v>
      </c>
      <c r="K31" s="67">
        <v>118392</v>
      </c>
      <c r="L31" s="88">
        <f t="shared" si="5"/>
        <v>2.7604448160519524</v>
      </c>
      <c r="M31" s="67">
        <v>115822</v>
      </c>
      <c r="N31" s="88">
        <f t="shared" si="6"/>
        <v>2.8013415829023884</v>
      </c>
      <c r="O31" s="68">
        <f t="shared" si="7"/>
        <v>978.29245219271581</v>
      </c>
      <c r="P31" s="67">
        <v>557683</v>
      </c>
      <c r="Q31" s="67">
        <v>271110</v>
      </c>
      <c r="R31" s="88">
        <f t="shared" si="8"/>
        <v>2.0871444190615849</v>
      </c>
      <c r="S31" s="67">
        <v>286573</v>
      </c>
      <c r="T31" s="88">
        <f t="shared" si="9"/>
        <v>2.2380369520187924</v>
      </c>
      <c r="U31" s="68">
        <f t="shared" si="10"/>
        <v>1057.0358894913502</v>
      </c>
      <c r="V31" s="67">
        <v>72607</v>
      </c>
      <c r="W31" s="67">
        <v>29919</v>
      </c>
      <c r="X31" s="88">
        <f t="shared" si="11"/>
        <v>1.5002482111248727</v>
      </c>
      <c r="Y31" s="67">
        <v>42688</v>
      </c>
      <c r="Z31" s="88">
        <f t="shared" si="12"/>
        <v>2.1449337697432092</v>
      </c>
      <c r="AA31" s="68">
        <f t="shared" si="13"/>
        <v>1426.7856546007554</v>
      </c>
      <c r="AB31" s="67">
        <f t="shared" si="0"/>
        <v>964160</v>
      </c>
      <c r="AC31" s="67">
        <f t="shared" si="1"/>
        <v>470028</v>
      </c>
      <c r="AD31" s="88">
        <f t="shared" si="14"/>
        <v>2.2222717081618089</v>
      </c>
      <c r="AE31" s="67">
        <f t="shared" si="15"/>
        <v>494132</v>
      </c>
      <c r="AF31" s="88">
        <f t="shared" si="16"/>
        <v>2.3866201821866788</v>
      </c>
      <c r="AG31" s="68">
        <f t="shared" si="17"/>
        <v>1051.2820512820513</v>
      </c>
      <c r="AH31" s="81">
        <v>1130572.297912023</v>
      </c>
      <c r="AI31" s="82">
        <v>550253.94168220903</v>
      </c>
      <c r="AJ31" s="82">
        <v>580318.35622981389</v>
      </c>
      <c r="AK31" s="83">
        <f t="shared" si="18"/>
        <v>1054.6373451786524</v>
      </c>
    </row>
    <row r="32" spans="3:37" x14ac:dyDescent="0.3">
      <c r="C32" s="63" t="s">
        <v>86</v>
      </c>
      <c r="D32" s="67">
        <v>143050</v>
      </c>
      <c r="E32" s="67">
        <v>71554</v>
      </c>
      <c r="F32" s="87">
        <f t="shared" si="2"/>
        <v>3.8098595036437901</v>
      </c>
      <c r="G32" s="67">
        <v>71496</v>
      </c>
      <c r="H32" s="87">
        <f t="shared" si="3"/>
        <v>4.0281660621262469</v>
      </c>
      <c r="I32" s="66">
        <f t="shared" si="4"/>
        <v>999.18942337255783</v>
      </c>
      <c r="J32" s="67">
        <v>301789</v>
      </c>
      <c r="K32" s="67">
        <v>150752</v>
      </c>
      <c r="L32" s="88">
        <f t="shared" si="5"/>
        <v>3.5149552073574557</v>
      </c>
      <c r="M32" s="67">
        <v>151037</v>
      </c>
      <c r="N32" s="88">
        <f t="shared" si="6"/>
        <v>3.653073066056777</v>
      </c>
      <c r="O32" s="68">
        <f t="shared" si="7"/>
        <v>1001.890522182127</v>
      </c>
      <c r="P32" s="67">
        <v>680008</v>
      </c>
      <c r="Q32" s="67">
        <v>338433</v>
      </c>
      <c r="R32" s="88">
        <f t="shared" si="8"/>
        <v>2.6054315487302917</v>
      </c>
      <c r="S32" s="67">
        <v>341575</v>
      </c>
      <c r="T32" s="88">
        <f t="shared" si="9"/>
        <v>2.6675837287037476</v>
      </c>
      <c r="U32" s="68">
        <f t="shared" si="10"/>
        <v>1009.283964625199</v>
      </c>
      <c r="V32" s="67">
        <v>89672</v>
      </c>
      <c r="W32" s="67">
        <v>40966</v>
      </c>
      <c r="X32" s="88">
        <f t="shared" si="11"/>
        <v>2.0541852407146477</v>
      </c>
      <c r="Y32" s="67">
        <v>48706</v>
      </c>
      <c r="Z32" s="88">
        <f t="shared" si="12"/>
        <v>2.4473187825410592</v>
      </c>
      <c r="AA32" s="68">
        <f t="shared" si="13"/>
        <v>1188.9371674071181</v>
      </c>
      <c r="AB32" s="67">
        <f t="shared" si="0"/>
        <v>1214519</v>
      </c>
      <c r="AC32" s="67">
        <f t="shared" si="1"/>
        <v>601705</v>
      </c>
      <c r="AD32" s="88">
        <f t="shared" si="14"/>
        <v>2.844834771884869</v>
      </c>
      <c r="AE32" s="67">
        <f t="shared" si="15"/>
        <v>612814</v>
      </c>
      <c r="AF32" s="88">
        <f t="shared" si="16"/>
        <v>2.9598452646793718</v>
      </c>
      <c r="AG32" s="68">
        <f t="shared" si="17"/>
        <v>1018.462535627924</v>
      </c>
      <c r="AH32" s="81">
        <v>1426090.4841240959</v>
      </c>
      <c r="AI32" s="82">
        <v>705145.55565664382</v>
      </c>
      <c r="AJ32" s="82">
        <v>720944.92846745206</v>
      </c>
      <c r="AK32" s="83">
        <f t="shared" si="18"/>
        <v>1022.4058319364937</v>
      </c>
    </row>
    <row r="33" spans="3:37" x14ac:dyDescent="0.3">
      <c r="C33" s="63" t="s">
        <v>87</v>
      </c>
      <c r="D33" s="67">
        <v>153874</v>
      </c>
      <c r="E33" s="67">
        <v>77760</v>
      </c>
      <c r="F33" s="87">
        <f t="shared" si="2"/>
        <v>4.1402950918654602</v>
      </c>
      <c r="G33" s="67">
        <v>76114</v>
      </c>
      <c r="H33" s="87">
        <f t="shared" si="3"/>
        <v>4.2883494412649261</v>
      </c>
      <c r="I33" s="66">
        <f t="shared" si="4"/>
        <v>978.832304526749</v>
      </c>
      <c r="J33" s="67">
        <v>326011</v>
      </c>
      <c r="K33" s="67">
        <v>162651</v>
      </c>
      <c r="L33" s="88">
        <f t="shared" si="5"/>
        <v>3.7923939943211202</v>
      </c>
      <c r="M33" s="67">
        <v>163360</v>
      </c>
      <c r="N33" s="88">
        <f t="shared" si="6"/>
        <v>3.951124665287546</v>
      </c>
      <c r="O33" s="68">
        <f t="shared" si="7"/>
        <v>1004.3590263816393</v>
      </c>
      <c r="P33" s="67">
        <v>785946</v>
      </c>
      <c r="Q33" s="67">
        <v>387402</v>
      </c>
      <c r="R33" s="88">
        <f t="shared" si="8"/>
        <v>2.9824201329102435</v>
      </c>
      <c r="S33" s="67">
        <v>398544</v>
      </c>
      <c r="T33" s="88">
        <f t="shared" si="9"/>
        <v>3.11249210150774</v>
      </c>
      <c r="U33" s="68">
        <f t="shared" si="10"/>
        <v>1028.7608220917805</v>
      </c>
      <c r="V33" s="67">
        <v>108756</v>
      </c>
      <c r="W33" s="67">
        <v>48412</v>
      </c>
      <c r="X33" s="88">
        <f t="shared" si="11"/>
        <v>2.4275549449171878</v>
      </c>
      <c r="Y33" s="67">
        <v>60344</v>
      </c>
      <c r="Z33" s="88">
        <f t="shared" si="12"/>
        <v>3.0320905969214813</v>
      </c>
      <c r="AA33" s="68">
        <f t="shared" si="13"/>
        <v>1246.4678178963893</v>
      </c>
      <c r="AB33" s="67">
        <f t="shared" si="0"/>
        <v>1374587</v>
      </c>
      <c r="AC33" s="67">
        <f t="shared" si="1"/>
        <v>676225</v>
      </c>
      <c r="AD33" s="88">
        <f t="shared" si="14"/>
        <v>3.1971620538600241</v>
      </c>
      <c r="AE33" s="67">
        <f t="shared" si="15"/>
        <v>698362</v>
      </c>
      <c r="AF33" s="88">
        <f t="shared" si="16"/>
        <v>3.3730356335397289</v>
      </c>
      <c r="AG33" s="68">
        <f t="shared" si="17"/>
        <v>1032.7361455136975</v>
      </c>
      <c r="AH33" s="81">
        <v>1611476.928194514</v>
      </c>
      <c r="AI33" s="82">
        <v>791418.22658417863</v>
      </c>
      <c r="AJ33" s="82">
        <v>820058.70161033527</v>
      </c>
      <c r="AK33" s="83">
        <f t="shared" si="18"/>
        <v>1036.1887988728427</v>
      </c>
    </row>
    <row r="34" spans="3:37" x14ac:dyDescent="0.3">
      <c r="C34" s="63" t="s">
        <v>88</v>
      </c>
      <c r="D34" s="67">
        <v>74752</v>
      </c>
      <c r="E34" s="67">
        <v>37782</v>
      </c>
      <c r="F34" s="87">
        <f t="shared" si="2"/>
        <v>2.0116850457929631</v>
      </c>
      <c r="G34" s="67">
        <v>36970</v>
      </c>
      <c r="H34" s="87">
        <f t="shared" si="3"/>
        <v>2.0829319027191358</v>
      </c>
      <c r="I34" s="66">
        <f t="shared" si="4"/>
        <v>978.50828436821769</v>
      </c>
      <c r="J34" s="67">
        <v>154470</v>
      </c>
      <c r="K34" s="67">
        <v>77227</v>
      </c>
      <c r="L34" s="88">
        <f t="shared" si="5"/>
        <v>1.8006357845905474</v>
      </c>
      <c r="M34" s="67">
        <v>77243</v>
      </c>
      <c r="N34" s="88">
        <f t="shared" si="6"/>
        <v>1.8682463425612508</v>
      </c>
      <c r="O34" s="68">
        <f t="shared" si="7"/>
        <v>1000.207181426185</v>
      </c>
      <c r="P34" s="67">
        <v>335835</v>
      </c>
      <c r="Q34" s="67">
        <v>167594</v>
      </c>
      <c r="R34" s="88">
        <f t="shared" si="8"/>
        <v>1.2902249336734435</v>
      </c>
      <c r="S34" s="67">
        <v>168241</v>
      </c>
      <c r="T34" s="88">
        <f t="shared" si="9"/>
        <v>1.3139045717656361</v>
      </c>
      <c r="U34" s="68">
        <f t="shared" si="10"/>
        <v>1003.8605200663509</v>
      </c>
      <c r="V34" s="67">
        <v>46495</v>
      </c>
      <c r="W34" s="67">
        <v>20199</v>
      </c>
      <c r="X34" s="88">
        <f t="shared" si="11"/>
        <v>1.012851820465634</v>
      </c>
      <c r="Y34" s="67">
        <v>26296</v>
      </c>
      <c r="Z34" s="88">
        <f t="shared" si="12"/>
        <v>1.3212888495400914</v>
      </c>
      <c r="AA34" s="68">
        <f t="shared" si="13"/>
        <v>1301.8466260705977</v>
      </c>
      <c r="AB34" s="67">
        <f t="shared" si="0"/>
        <v>611552</v>
      </c>
      <c r="AC34" s="67">
        <f t="shared" si="1"/>
        <v>302802</v>
      </c>
      <c r="AD34" s="88">
        <f t="shared" si="14"/>
        <v>1.4316345361868061</v>
      </c>
      <c r="AE34" s="67">
        <f t="shared" si="15"/>
        <v>308750</v>
      </c>
      <c r="AF34" s="88">
        <f t="shared" si="16"/>
        <v>1.4912391451072529</v>
      </c>
      <c r="AG34" s="68">
        <f t="shared" si="17"/>
        <v>1019.6431991862669</v>
      </c>
      <c r="AH34" s="81">
        <v>716221.50809716596</v>
      </c>
      <c r="AI34" s="82">
        <v>353992.25708502025</v>
      </c>
      <c r="AJ34" s="82">
        <v>362229.25101214577</v>
      </c>
      <c r="AK34" s="83">
        <f t="shared" si="18"/>
        <v>1023.2688533781891</v>
      </c>
    </row>
    <row r="35" spans="3:37" ht="15" thickBot="1" x14ac:dyDescent="0.35">
      <c r="C35" s="69" t="s">
        <v>89</v>
      </c>
      <c r="D35" s="70">
        <v>3653029</v>
      </c>
      <c r="E35" s="70">
        <v>1878127</v>
      </c>
      <c r="F35" s="87">
        <f t="shared" si="2"/>
        <v>100</v>
      </c>
      <c r="G35" s="70">
        <v>1774902</v>
      </c>
      <c r="H35" s="87">
        <f t="shared" si="3"/>
        <v>100</v>
      </c>
      <c r="I35" s="71">
        <f t="shared" si="4"/>
        <v>945.03832807898505</v>
      </c>
      <c r="J35" s="72">
        <v>8423393</v>
      </c>
      <c r="K35" s="72">
        <v>4288874</v>
      </c>
      <c r="L35" s="88">
        <f t="shared" si="5"/>
        <v>100</v>
      </c>
      <c r="M35" s="72">
        <v>4134519</v>
      </c>
      <c r="N35" s="88">
        <f t="shared" si="6"/>
        <v>100</v>
      </c>
      <c r="O35" s="73">
        <f t="shared" si="7"/>
        <v>964.01036728987606</v>
      </c>
      <c r="P35" s="72">
        <v>25794177</v>
      </c>
      <c r="Q35" s="72">
        <v>12989518</v>
      </c>
      <c r="R35" s="88">
        <f t="shared" si="8"/>
        <v>100</v>
      </c>
      <c r="S35" s="72">
        <v>12804659</v>
      </c>
      <c r="T35" s="88">
        <f t="shared" si="9"/>
        <v>100</v>
      </c>
      <c r="U35" s="73">
        <f t="shared" si="10"/>
        <v>985.7686020374274</v>
      </c>
      <c r="V35" s="72">
        <v>3984448</v>
      </c>
      <c r="W35" s="72">
        <v>1994270</v>
      </c>
      <c r="X35" s="88">
        <f t="shared" si="11"/>
        <v>100</v>
      </c>
      <c r="Y35" s="72">
        <v>1990178</v>
      </c>
      <c r="Z35" s="88">
        <f t="shared" si="12"/>
        <v>100</v>
      </c>
      <c r="AA35" s="73">
        <f t="shared" si="13"/>
        <v>997.9481213677185</v>
      </c>
      <c r="AB35" s="72">
        <f t="shared" si="0"/>
        <v>41855047</v>
      </c>
      <c r="AC35" s="72">
        <f t="shared" si="1"/>
        <v>21150789</v>
      </c>
      <c r="AD35" s="88">
        <f t="shared" si="14"/>
        <v>100</v>
      </c>
      <c r="AE35" s="72">
        <f t="shared" si="15"/>
        <v>20704258</v>
      </c>
      <c r="AF35" s="88">
        <f t="shared" si="16"/>
        <v>100</v>
      </c>
      <c r="AG35" s="73">
        <f t="shared" si="17"/>
        <v>978.88821074239831</v>
      </c>
      <c r="AH35" s="84">
        <v>49026000</v>
      </c>
      <c r="AI35" s="85">
        <v>24542000</v>
      </c>
      <c r="AJ35" s="85">
        <v>24483000</v>
      </c>
      <c r="AK35" s="86">
        <f t="shared" si="18"/>
        <v>997.59595794963741</v>
      </c>
    </row>
  </sheetData>
  <mergeCells count="7">
    <mergeCell ref="C2:AG2"/>
    <mergeCell ref="AH3:AK3"/>
    <mergeCell ref="D3:I3"/>
    <mergeCell ref="J3:O3"/>
    <mergeCell ref="P3:U3"/>
    <mergeCell ref="V3:AA3"/>
    <mergeCell ref="AB3:A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2DFD2-D047-4401-89F1-1A10674D8816}">
  <dimension ref="C1:AA39"/>
  <sheetViews>
    <sheetView zoomScale="133" zoomScaleNormal="160" workbookViewId="0">
      <selection activeCell="D5" sqref="D5"/>
    </sheetView>
  </sheetViews>
  <sheetFormatPr defaultRowHeight="14.4" x14ac:dyDescent="0.3"/>
  <cols>
    <col min="3" max="3" width="24.6640625" bestFit="1" customWidth="1"/>
    <col min="4" max="4" width="12.109375" style="90" bestFit="1" customWidth="1"/>
    <col min="5" max="5" width="12.109375" style="90" customWidth="1"/>
    <col min="6" max="6" width="12.109375" style="90" bestFit="1" customWidth="1"/>
    <col min="7" max="7" width="12.109375" style="90" customWidth="1"/>
    <col min="8" max="8" width="12.109375" style="90" bestFit="1" customWidth="1"/>
    <col min="9" max="9" width="12.109375" style="90" customWidth="1"/>
    <col min="10" max="10" width="12.109375" style="90" bestFit="1" customWidth="1"/>
    <col min="11" max="11" width="12.109375" style="90" customWidth="1"/>
    <col min="12" max="12" width="12.109375" style="90" bestFit="1" customWidth="1"/>
    <col min="13" max="13" width="12.109375" style="90" customWidth="1"/>
    <col min="14" max="14" width="12.109375" style="90" bestFit="1" customWidth="1"/>
    <col min="15" max="15" width="12.109375" style="90" customWidth="1"/>
    <col min="16" max="16" width="12.109375" style="90" bestFit="1" customWidth="1"/>
    <col min="17" max="17" width="12.109375" style="90" customWidth="1"/>
    <col min="18" max="18" width="12.109375" style="90" bestFit="1" customWidth="1"/>
    <col min="19" max="19" width="12.109375" style="90" customWidth="1"/>
    <col min="20" max="22" width="9" style="90" bestFit="1" customWidth="1"/>
    <col min="25" max="25" width="9" bestFit="1" customWidth="1"/>
  </cols>
  <sheetData>
    <row r="1" spans="3:27" x14ac:dyDescent="0.3">
      <c r="T1" s="90" t="s">
        <v>92</v>
      </c>
      <c r="W1" s="183" t="s">
        <v>93</v>
      </c>
      <c r="X1" s="183"/>
      <c r="Y1" s="183"/>
    </row>
    <row r="2" spans="3:27" ht="15" thickBot="1" x14ac:dyDescent="0.35">
      <c r="C2">
        <v>2036</v>
      </c>
      <c r="T2" s="184">
        <v>2036</v>
      </c>
      <c r="U2" s="184"/>
      <c r="V2" s="184"/>
      <c r="W2" s="193">
        <v>2036</v>
      </c>
      <c r="X2" s="194"/>
      <c r="Y2" s="195"/>
    </row>
    <row r="3" spans="3:27" s="93" customFormat="1" ht="15.6" x14ac:dyDescent="0.3">
      <c r="D3" s="187" t="s">
        <v>50</v>
      </c>
      <c r="E3" s="188"/>
      <c r="F3" s="188"/>
      <c r="G3" s="189"/>
      <c r="H3" s="190" t="s">
        <v>51</v>
      </c>
      <c r="I3" s="191"/>
      <c r="J3" s="191"/>
      <c r="K3" s="192"/>
      <c r="L3" s="187" t="s">
        <v>52</v>
      </c>
      <c r="M3" s="188"/>
      <c r="N3" s="188"/>
      <c r="O3" s="189"/>
      <c r="P3" s="187" t="s">
        <v>53</v>
      </c>
      <c r="Q3" s="188"/>
      <c r="R3" s="188"/>
      <c r="S3" s="189"/>
      <c r="T3" s="185" t="s">
        <v>35</v>
      </c>
      <c r="U3" s="186"/>
      <c r="V3" s="186"/>
      <c r="W3" s="196" t="s">
        <v>35</v>
      </c>
      <c r="X3" s="197"/>
      <c r="Y3" s="198"/>
    </row>
    <row r="4" spans="3:27" s="95" customFormat="1" ht="15.6" x14ac:dyDescent="0.3">
      <c r="C4" s="95" t="s">
        <v>55</v>
      </c>
      <c r="D4" s="94" t="s">
        <v>90</v>
      </c>
      <c r="E4" s="94" t="s">
        <v>31</v>
      </c>
      <c r="F4" s="94" t="s">
        <v>91</v>
      </c>
      <c r="G4" s="94" t="s">
        <v>32</v>
      </c>
      <c r="H4" s="94" t="s">
        <v>90</v>
      </c>
      <c r="I4" s="94" t="s">
        <v>31</v>
      </c>
      <c r="J4" s="94" t="s">
        <v>91</v>
      </c>
      <c r="K4" s="94" t="s">
        <v>32</v>
      </c>
      <c r="L4" s="94" t="s">
        <v>90</v>
      </c>
      <c r="M4" s="94" t="s">
        <v>31</v>
      </c>
      <c r="N4" s="94" t="s">
        <v>91</v>
      </c>
      <c r="O4" s="94" t="s">
        <v>32</v>
      </c>
      <c r="P4" s="94" t="s">
        <v>90</v>
      </c>
      <c r="Q4" s="94" t="s">
        <v>31</v>
      </c>
      <c r="R4" s="94" t="s">
        <v>91</v>
      </c>
      <c r="S4" s="94" t="s">
        <v>32</v>
      </c>
      <c r="T4" s="94" t="s">
        <v>56</v>
      </c>
      <c r="U4" s="94" t="s">
        <v>57</v>
      </c>
      <c r="V4" s="94" t="s">
        <v>58</v>
      </c>
      <c r="W4" s="94" t="s">
        <v>56</v>
      </c>
      <c r="X4" s="94" t="s">
        <v>57</v>
      </c>
      <c r="Y4" s="94" t="s">
        <v>58</v>
      </c>
    </row>
    <row r="5" spans="3:27" x14ac:dyDescent="0.3">
      <c r="C5" t="s">
        <v>59</v>
      </c>
      <c r="D5" s="91">
        <v>3.1369018176087136</v>
      </c>
      <c r="E5" s="92">
        <f>(D5*E$35)/100</f>
        <v>47335.848427715486</v>
      </c>
      <c r="F5" s="91">
        <v>3.1965145117871296</v>
      </c>
      <c r="G5" s="92">
        <f>(F5*G$35)/100</f>
        <v>45518.366647848728</v>
      </c>
      <c r="H5" s="91">
        <v>3.0487722418518239</v>
      </c>
      <c r="I5" s="92">
        <f>(H5*I$35)/100</f>
        <v>99146.073305021317</v>
      </c>
      <c r="J5" s="91">
        <v>3.0717720731238627</v>
      </c>
      <c r="K5" s="92">
        <f>(J5*K$35)/100</f>
        <v>94487.708969290019</v>
      </c>
      <c r="L5" s="91">
        <v>3.7062653133087773</v>
      </c>
      <c r="M5" s="92">
        <f>(L5*M$35)/100</f>
        <v>584478.03990879422</v>
      </c>
      <c r="N5" s="91">
        <v>3.666321766163394</v>
      </c>
      <c r="O5" s="92">
        <f>(N5*O$35)/100</f>
        <v>573559.37709860143</v>
      </c>
      <c r="P5" s="91">
        <v>3.8666278889017032</v>
      </c>
      <c r="Q5" s="92">
        <f>(P5*Q$35)/100</f>
        <v>155090.44462384732</v>
      </c>
      <c r="R5" s="91">
        <v>3.9218602557158206</v>
      </c>
      <c r="S5" s="92">
        <f>(R5*S$35)/100</f>
        <v>170208.73509806662</v>
      </c>
      <c r="T5" s="92">
        <v>1730072.0226993584</v>
      </c>
      <c r="U5" s="92">
        <v>873440.26520493103</v>
      </c>
      <c r="V5" s="92">
        <v>856631.75749442761</v>
      </c>
      <c r="W5" s="96">
        <f t="shared" ref="W5:W35" si="0">SUM(X5+Y5)</f>
        <v>1769824.594079185</v>
      </c>
      <c r="X5" s="96">
        <f t="shared" ref="X5:X35" si="1">SUM(E5+I5+M5+Q5)</f>
        <v>886050.40626537823</v>
      </c>
      <c r="Y5" s="96">
        <f t="shared" ref="Y5:Y35" si="2">G5+K5+O5+S5</f>
        <v>883774.18781380681</v>
      </c>
      <c r="Z5" s="96">
        <f>T5-W5</f>
        <v>-39752.571379826637</v>
      </c>
      <c r="AA5" s="97">
        <f>(Z5/T5)*100</f>
        <v>-2.2977408372746457</v>
      </c>
    </row>
    <row r="6" spans="3:27" x14ac:dyDescent="0.3">
      <c r="C6" t="s">
        <v>60</v>
      </c>
      <c r="D6" s="91">
        <v>1.2419287939526986</v>
      </c>
      <c r="E6" s="92">
        <f t="shared" ref="E6:E34" si="3">(D6*E$35)/100</f>
        <v>18740.705500746222</v>
      </c>
      <c r="F6" s="91">
        <v>1.2487450011324568</v>
      </c>
      <c r="G6" s="92">
        <f t="shared" ref="G6:G34" si="4">(F6*G$35)/100</f>
        <v>17782.128816126184</v>
      </c>
      <c r="H6" s="91">
        <v>1.2239809329908036</v>
      </c>
      <c r="I6" s="92">
        <f t="shared" ref="I6:I34" si="5">(H6*I$35)/100</f>
        <v>39803.85994086093</v>
      </c>
      <c r="J6" s="91">
        <v>1.2378707172466736</v>
      </c>
      <c r="K6" s="92">
        <f t="shared" ref="K6:K34" si="6">(J6*K$35)/100</f>
        <v>38076.90326250768</v>
      </c>
      <c r="L6" s="91">
        <v>1.4936427972154163</v>
      </c>
      <c r="M6" s="92">
        <f t="shared" ref="M6:M34" si="7">(L6*M$35)/100</f>
        <v>235547.46912087113</v>
      </c>
      <c r="N6" s="91">
        <v>1.4274804194317083</v>
      </c>
      <c r="O6" s="92">
        <f t="shared" ref="O6:O34" si="8">(N6*O$35)/100</f>
        <v>223315.03681589646</v>
      </c>
      <c r="P6" s="91">
        <v>1.311958761852708</v>
      </c>
      <c r="Q6" s="92">
        <f t="shared" ref="Q6:Q34" si="9">(P6*Q$35)/100</f>
        <v>52622.665937912119</v>
      </c>
      <c r="R6" s="91">
        <v>1.3093803669822499</v>
      </c>
      <c r="S6" s="92">
        <f t="shared" ref="S6:S34" si="10">(R6*S$35)/100</f>
        <v>56827.107927029647</v>
      </c>
      <c r="T6" s="92">
        <v>676832.9100896148</v>
      </c>
      <c r="U6" s="92">
        <v>345908.02722558344</v>
      </c>
      <c r="V6" s="92">
        <v>330924.8828640313</v>
      </c>
      <c r="W6" s="96">
        <f t="shared" si="0"/>
        <v>682715.87732195039</v>
      </c>
      <c r="X6" s="96">
        <f t="shared" si="1"/>
        <v>346714.70050039043</v>
      </c>
      <c r="Y6" s="96">
        <f t="shared" si="2"/>
        <v>336001.17682155996</v>
      </c>
      <c r="Z6" s="96">
        <f t="shared" ref="Z6:Z35" si="11">T6-W6</f>
        <v>-5882.9672323355917</v>
      </c>
      <c r="AA6" s="97">
        <f t="shared" ref="AA6:AA35" si="12">(Z6/T6)*100</f>
        <v>-0.86919048182167569</v>
      </c>
    </row>
    <row r="7" spans="3:27" x14ac:dyDescent="0.3">
      <c r="C7" t="s">
        <v>61</v>
      </c>
      <c r="D7" s="91">
        <v>2.2459610026372019</v>
      </c>
      <c r="E7" s="92">
        <f t="shared" si="3"/>
        <v>33891.551529795375</v>
      </c>
      <c r="F7" s="91">
        <v>2.2566316337465393</v>
      </c>
      <c r="G7" s="92">
        <f t="shared" si="4"/>
        <v>32134.434464550723</v>
      </c>
      <c r="H7" s="91">
        <v>2.2569560215571731</v>
      </c>
      <c r="I7" s="92">
        <f t="shared" si="5"/>
        <v>73396.209821039272</v>
      </c>
      <c r="J7" s="91">
        <v>2.240647581979911</v>
      </c>
      <c r="K7" s="92">
        <f t="shared" si="6"/>
        <v>68922.31962170206</v>
      </c>
      <c r="L7" s="91">
        <v>2.5907889730781388</v>
      </c>
      <c r="M7" s="92">
        <f t="shared" si="7"/>
        <v>408567.42105442251</v>
      </c>
      <c r="N7" s="91">
        <v>2.592611017599141</v>
      </c>
      <c r="O7" s="92">
        <f t="shared" si="8"/>
        <v>405588.06759320962</v>
      </c>
      <c r="P7" s="91">
        <v>2.5205212935058943</v>
      </c>
      <c r="Q7" s="92">
        <f t="shared" si="9"/>
        <v>101098.10908252142</v>
      </c>
      <c r="R7" s="91">
        <v>2.4397817682639444</v>
      </c>
      <c r="S7" s="92">
        <f t="shared" si="10"/>
        <v>105886.52874265518</v>
      </c>
      <c r="T7" s="92">
        <v>1215978.5624118638</v>
      </c>
      <c r="U7" s="92">
        <v>614281.0421689488</v>
      </c>
      <c r="V7" s="92">
        <v>601697.52024291491</v>
      </c>
      <c r="W7" s="96">
        <f t="shared" si="0"/>
        <v>1229484.6419098962</v>
      </c>
      <c r="X7" s="96">
        <f t="shared" si="1"/>
        <v>616953.29148777854</v>
      </c>
      <c r="Y7" s="96">
        <f t="shared" si="2"/>
        <v>612531.35042211763</v>
      </c>
      <c r="Z7" s="96">
        <f t="shared" si="11"/>
        <v>-13506.079498032341</v>
      </c>
      <c r="AA7" s="97">
        <f t="shared" si="12"/>
        <v>-1.110716908630639</v>
      </c>
    </row>
    <row r="8" spans="3:27" x14ac:dyDescent="0.3">
      <c r="C8" t="s">
        <v>62</v>
      </c>
      <c r="D8" s="91">
        <v>0.76443179827562246</v>
      </c>
      <c r="E8" s="92">
        <f t="shared" si="3"/>
        <v>11535.275835979142</v>
      </c>
      <c r="F8" s="91">
        <v>0.75029494586179968</v>
      </c>
      <c r="G8" s="92">
        <f t="shared" si="4"/>
        <v>10684.200029072028</v>
      </c>
      <c r="H8" s="91">
        <v>0.76966588433234462</v>
      </c>
      <c r="I8" s="92">
        <f t="shared" si="5"/>
        <v>25029.534558487845</v>
      </c>
      <c r="J8" s="91">
        <v>0.75621855891821999</v>
      </c>
      <c r="K8" s="92">
        <f t="shared" si="6"/>
        <v>23261.282872324446</v>
      </c>
      <c r="L8" s="91">
        <v>0.73650923767918097</v>
      </c>
      <c r="M8" s="92">
        <f t="shared" si="7"/>
        <v>116147.50678200685</v>
      </c>
      <c r="N8" s="91">
        <v>0.74522874837978903</v>
      </c>
      <c r="O8" s="92">
        <f t="shared" si="8"/>
        <v>116583.58539653421</v>
      </c>
      <c r="P8" s="91">
        <v>0.74433251264873868</v>
      </c>
      <c r="Q8" s="92">
        <f t="shared" si="9"/>
        <v>29855.17708234091</v>
      </c>
      <c r="R8" s="91">
        <v>0.70109306805722904</v>
      </c>
      <c r="S8" s="92">
        <f t="shared" si="10"/>
        <v>30427.439153683739</v>
      </c>
      <c r="T8" s="92">
        <v>365015.80141472956</v>
      </c>
      <c r="U8" s="92">
        <v>184478.78019378614</v>
      </c>
      <c r="V8" s="92">
        <v>180537.02122094345</v>
      </c>
      <c r="W8" s="96">
        <f t="shared" si="0"/>
        <v>363524.00171042921</v>
      </c>
      <c r="X8" s="96">
        <f t="shared" si="1"/>
        <v>182567.49425881475</v>
      </c>
      <c r="Y8" s="96">
        <f t="shared" si="2"/>
        <v>180956.50745161445</v>
      </c>
      <c r="Z8" s="96">
        <f t="shared" si="11"/>
        <v>1491.7997043003561</v>
      </c>
      <c r="AA8" s="97">
        <f t="shared" si="12"/>
        <v>0.40869455473391381</v>
      </c>
    </row>
    <row r="9" spans="3:27" x14ac:dyDescent="0.3">
      <c r="C9" t="s">
        <v>63</v>
      </c>
      <c r="D9" s="91">
        <v>4.9806003534372278</v>
      </c>
      <c r="E9" s="92">
        <f t="shared" si="3"/>
        <v>75157.259333367765</v>
      </c>
      <c r="F9" s="91">
        <v>5.0071496905181245</v>
      </c>
      <c r="G9" s="92">
        <f t="shared" si="4"/>
        <v>71301.811592978091</v>
      </c>
      <c r="H9" s="91">
        <v>5.0035277324537866</v>
      </c>
      <c r="I9" s="92">
        <f t="shared" si="5"/>
        <v>162714.72185939713</v>
      </c>
      <c r="J9" s="91">
        <v>5.0548564415836523</v>
      </c>
      <c r="K9" s="92">
        <f t="shared" si="6"/>
        <v>155487.38414311313</v>
      </c>
      <c r="L9" s="91">
        <v>5.1454180208996201</v>
      </c>
      <c r="M9" s="92">
        <f t="shared" si="7"/>
        <v>811432.42189587012</v>
      </c>
      <c r="N9" s="91">
        <v>5.0626416525422506</v>
      </c>
      <c r="O9" s="92">
        <f t="shared" si="8"/>
        <v>791999.66012370971</v>
      </c>
      <c r="P9" s="91">
        <v>4.0698100056662332</v>
      </c>
      <c r="Q9" s="92">
        <f t="shared" si="9"/>
        <v>163240.0793272726</v>
      </c>
      <c r="R9" s="91">
        <v>4.1607836083003633</v>
      </c>
      <c r="S9" s="92">
        <f t="shared" si="10"/>
        <v>180578.00860023577</v>
      </c>
      <c r="T9" s="92">
        <v>2445076.9935859526</v>
      </c>
      <c r="U9" s="92">
        <v>1237182.6610335258</v>
      </c>
      <c r="V9" s="92">
        <v>1207894.3325524267</v>
      </c>
      <c r="W9" s="96">
        <f t="shared" si="0"/>
        <v>2411911.3468759442</v>
      </c>
      <c r="X9" s="96">
        <f t="shared" si="1"/>
        <v>1212544.4824159076</v>
      </c>
      <c r="Y9" s="96">
        <f t="shared" si="2"/>
        <v>1199366.8644600366</v>
      </c>
      <c r="Z9" s="96">
        <f t="shared" si="11"/>
        <v>33165.646710008383</v>
      </c>
      <c r="AA9" s="97">
        <f t="shared" si="12"/>
        <v>1.3564254539636238</v>
      </c>
    </row>
    <row r="10" spans="3:27" x14ac:dyDescent="0.3">
      <c r="C10" t="s">
        <v>64</v>
      </c>
      <c r="D10" s="91">
        <v>4.8594690348416272</v>
      </c>
      <c r="E10" s="92">
        <f t="shared" si="3"/>
        <v>73329.38773576016</v>
      </c>
      <c r="F10" s="91">
        <v>4.9946419576968193</v>
      </c>
      <c r="G10" s="92">
        <f t="shared" si="4"/>
        <v>71123.701477602706</v>
      </c>
      <c r="H10" s="91">
        <v>4.5095286082081216</v>
      </c>
      <c r="I10" s="92">
        <f t="shared" si="5"/>
        <v>146649.87033892813</v>
      </c>
      <c r="J10" s="91">
        <v>4.5555238710960086</v>
      </c>
      <c r="K10" s="92">
        <f t="shared" si="6"/>
        <v>140127.91427491323</v>
      </c>
      <c r="L10" s="91">
        <v>4.208662707884927</v>
      </c>
      <c r="M10" s="92">
        <f t="shared" si="7"/>
        <v>663706.10903345305</v>
      </c>
      <c r="N10" s="91">
        <v>4.2345368197622442</v>
      </c>
      <c r="O10" s="92">
        <f t="shared" si="8"/>
        <v>662450.94008360547</v>
      </c>
      <c r="P10" s="91">
        <v>3.5855726656871938</v>
      </c>
      <c r="Q10" s="92">
        <f t="shared" si="9"/>
        <v>143817.31962071336</v>
      </c>
      <c r="R10" s="91">
        <v>3.6411818440360606</v>
      </c>
      <c r="S10" s="92">
        <f t="shared" si="10"/>
        <v>158027.29203116504</v>
      </c>
      <c r="T10" s="92">
        <v>2104403.0870445343</v>
      </c>
      <c r="U10" s="92">
        <v>1056865.3078515218</v>
      </c>
      <c r="V10" s="92">
        <v>1047537.7791930127</v>
      </c>
      <c r="W10" s="96">
        <f t="shared" si="0"/>
        <v>2059232.5345961412</v>
      </c>
      <c r="X10" s="96">
        <f t="shared" si="1"/>
        <v>1027502.6867288547</v>
      </c>
      <c r="Y10" s="96">
        <f t="shared" si="2"/>
        <v>1031729.8478672865</v>
      </c>
      <c r="Z10" s="96">
        <f t="shared" si="11"/>
        <v>45170.552448393079</v>
      </c>
      <c r="AA10" s="97">
        <f t="shared" si="12"/>
        <v>2.1464781498601346</v>
      </c>
    </row>
    <row r="11" spans="3:27" x14ac:dyDescent="0.3">
      <c r="C11" t="s">
        <v>65</v>
      </c>
      <c r="D11" s="91">
        <v>6.4060630617631285</v>
      </c>
      <c r="E11" s="92">
        <f t="shared" si="3"/>
        <v>96667.491602005612</v>
      </c>
      <c r="F11" s="91">
        <v>6.6005897790413215</v>
      </c>
      <c r="G11" s="92">
        <f t="shared" si="4"/>
        <v>93992.39845354842</v>
      </c>
      <c r="H11" s="91">
        <v>6.7531477959016746</v>
      </c>
      <c r="I11" s="92">
        <f t="shared" si="5"/>
        <v>219612.36632272246</v>
      </c>
      <c r="J11" s="91">
        <v>6.774596996651848</v>
      </c>
      <c r="K11" s="92">
        <f t="shared" si="6"/>
        <v>208386.60361701087</v>
      </c>
      <c r="L11" s="91">
        <v>5.6984023579627818</v>
      </c>
      <c r="M11" s="92">
        <f t="shared" si="7"/>
        <v>898638.05185073067</v>
      </c>
      <c r="N11" s="91">
        <v>5.885592111433815</v>
      </c>
      <c r="O11" s="92">
        <f t="shared" si="8"/>
        <v>920742.029912706</v>
      </c>
      <c r="P11" s="91">
        <v>5.1740737212112702</v>
      </c>
      <c r="Q11" s="92">
        <f t="shared" si="9"/>
        <v>207532.09695778403</v>
      </c>
      <c r="R11" s="91">
        <v>5.5136274242806422</v>
      </c>
      <c r="S11" s="92">
        <f t="shared" si="10"/>
        <v>239291.43021377988</v>
      </c>
      <c r="T11" s="92">
        <v>2943073.3583905748</v>
      </c>
      <c r="U11" s="92">
        <v>1464608.2154392032</v>
      </c>
      <c r="V11" s="92">
        <v>1478465.1429513716</v>
      </c>
      <c r="W11" s="96">
        <f t="shared" si="0"/>
        <v>2884862.4689302882</v>
      </c>
      <c r="X11" s="96">
        <f t="shared" si="1"/>
        <v>1422450.0067332429</v>
      </c>
      <c r="Y11" s="96">
        <f t="shared" si="2"/>
        <v>1462412.4621970451</v>
      </c>
      <c r="Z11" s="96">
        <f t="shared" si="11"/>
        <v>58210.889460286591</v>
      </c>
      <c r="AA11" s="97">
        <f t="shared" si="12"/>
        <v>1.9778946146323491</v>
      </c>
    </row>
    <row r="12" spans="3:27" x14ac:dyDescent="0.3">
      <c r="C12" t="s">
        <v>66</v>
      </c>
      <c r="D12" s="91">
        <v>5.4041073899688357</v>
      </c>
      <c r="E12" s="92">
        <f t="shared" si="3"/>
        <v>81547.980514629729</v>
      </c>
      <c r="F12" s="91">
        <v>5.4066083648562007</v>
      </c>
      <c r="G12" s="92">
        <f t="shared" si="4"/>
        <v>76990.103115552294</v>
      </c>
      <c r="H12" s="91">
        <v>5.6094676598100106</v>
      </c>
      <c r="I12" s="92">
        <f t="shared" si="5"/>
        <v>182419.88829702153</v>
      </c>
      <c r="J12" s="91">
        <v>5.5810361495496812</v>
      </c>
      <c r="K12" s="92">
        <f t="shared" si="6"/>
        <v>171672.67196014817</v>
      </c>
      <c r="L12" s="91">
        <v>5.6469839758488343</v>
      </c>
      <c r="M12" s="92">
        <f t="shared" si="7"/>
        <v>890529.37299136119</v>
      </c>
      <c r="N12" s="91">
        <v>5.4786308639691219</v>
      </c>
      <c r="O12" s="92">
        <f t="shared" si="8"/>
        <v>857077.0123593295</v>
      </c>
      <c r="P12" s="91">
        <v>5.4374282318843488</v>
      </c>
      <c r="Q12" s="92">
        <f t="shared" si="9"/>
        <v>218095.24638088123</v>
      </c>
      <c r="R12" s="91">
        <v>5.263398550280427</v>
      </c>
      <c r="S12" s="92">
        <f t="shared" si="10"/>
        <v>228431.49708217054</v>
      </c>
      <c r="T12" s="92">
        <v>2710273.1849611062</v>
      </c>
      <c r="U12" s="92">
        <v>1382499.2016558247</v>
      </c>
      <c r="V12" s="92">
        <v>1327773.9833052815</v>
      </c>
      <c r="W12" s="96">
        <f t="shared" si="0"/>
        <v>2706763.7727010939</v>
      </c>
      <c r="X12" s="96">
        <f t="shared" si="1"/>
        <v>1372592.4881838935</v>
      </c>
      <c r="Y12" s="96">
        <f t="shared" si="2"/>
        <v>1334171.2845172007</v>
      </c>
      <c r="Z12" s="96">
        <f t="shared" si="11"/>
        <v>3509.4122600122355</v>
      </c>
      <c r="AA12" s="97">
        <f t="shared" si="12"/>
        <v>0.1294855544262265</v>
      </c>
    </row>
    <row r="13" spans="3:27" x14ac:dyDescent="0.3">
      <c r="C13" t="s">
        <v>67</v>
      </c>
      <c r="D13" s="91">
        <v>3.5000295507172838</v>
      </c>
      <c r="E13" s="92">
        <f t="shared" si="3"/>
        <v>52815.445920323815</v>
      </c>
      <c r="F13" s="91">
        <v>3.5029539659091036</v>
      </c>
      <c r="G13" s="92">
        <f t="shared" si="4"/>
        <v>49882.06447454563</v>
      </c>
      <c r="H13" s="91">
        <v>3.5911756792109069</v>
      </c>
      <c r="I13" s="92">
        <f t="shared" si="5"/>
        <v>116785.03308793869</v>
      </c>
      <c r="J13" s="91">
        <v>3.5888334289913773</v>
      </c>
      <c r="K13" s="92">
        <f t="shared" si="6"/>
        <v>110392.51627577476</v>
      </c>
      <c r="L13" s="91">
        <v>3.5868998372379943</v>
      </c>
      <c r="M13" s="92">
        <f t="shared" si="7"/>
        <v>565654.10433243169</v>
      </c>
      <c r="N13" s="91">
        <v>3.6189483843341712</v>
      </c>
      <c r="O13" s="92">
        <f t="shared" si="8"/>
        <v>566148.28524523776</v>
      </c>
      <c r="P13" s="91">
        <v>3.651611868001825</v>
      </c>
      <c r="Q13" s="92">
        <f t="shared" si="9"/>
        <v>146466.15202555319</v>
      </c>
      <c r="R13" s="91">
        <v>3.5336537736825555</v>
      </c>
      <c r="S13" s="92">
        <f t="shared" si="10"/>
        <v>153360.57377782289</v>
      </c>
      <c r="T13" s="92">
        <v>1759373.7319747077</v>
      </c>
      <c r="U13" s="92">
        <v>886380.60831096757</v>
      </c>
      <c r="V13" s="92">
        <v>872993.12366374012</v>
      </c>
      <c r="W13" s="96">
        <f t="shared" si="0"/>
        <v>1761504.1751396284</v>
      </c>
      <c r="X13" s="96">
        <f t="shared" si="1"/>
        <v>881720.73536624736</v>
      </c>
      <c r="Y13" s="96">
        <f t="shared" si="2"/>
        <v>879783.43977338111</v>
      </c>
      <c r="Z13" s="96">
        <f t="shared" si="11"/>
        <v>-2130.4431649206672</v>
      </c>
      <c r="AA13" s="97">
        <f t="shared" si="12"/>
        <v>-0.12109099540377211</v>
      </c>
    </row>
    <row r="14" spans="3:27" x14ac:dyDescent="0.3">
      <c r="C14" t="s">
        <v>68</v>
      </c>
      <c r="D14" s="91">
        <v>3.1067654104328408</v>
      </c>
      <c r="E14" s="92">
        <f t="shared" si="3"/>
        <v>46881.09004343157</v>
      </c>
      <c r="F14" s="91">
        <v>3.0475485407081631</v>
      </c>
      <c r="G14" s="92">
        <f t="shared" si="4"/>
        <v>43397.09121968424</v>
      </c>
      <c r="H14" s="91">
        <v>3.2108427526665504</v>
      </c>
      <c r="I14" s="92">
        <f t="shared" si="5"/>
        <v>104416.60631671622</v>
      </c>
      <c r="J14" s="91">
        <v>3.1924632587248967</v>
      </c>
      <c r="K14" s="92">
        <f t="shared" si="6"/>
        <v>98200.169838377813</v>
      </c>
      <c r="L14" s="91">
        <v>3.3364979362590668</v>
      </c>
      <c r="M14" s="92">
        <f t="shared" si="7"/>
        <v>526165.72454805486</v>
      </c>
      <c r="N14" s="91">
        <v>3.5291138951845573</v>
      </c>
      <c r="O14" s="92">
        <f t="shared" si="8"/>
        <v>552094.57776267221</v>
      </c>
      <c r="P14" s="91">
        <v>4.3375270148976819</v>
      </c>
      <c r="Q14" s="92">
        <f t="shared" si="9"/>
        <v>173978.20856754601</v>
      </c>
      <c r="R14" s="91">
        <v>4.1607836083003633</v>
      </c>
      <c r="S14" s="92">
        <f t="shared" si="10"/>
        <v>180578.00860023577</v>
      </c>
      <c r="T14" s="92">
        <v>1682352.7652049311</v>
      </c>
      <c r="U14" s="92">
        <v>836892.85584315145</v>
      </c>
      <c r="V14" s="92">
        <v>845459.90936177957</v>
      </c>
      <c r="W14" s="96">
        <f t="shared" si="0"/>
        <v>1725711.4768967186</v>
      </c>
      <c r="X14" s="96">
        <f t="shared" si="1"/>
        <v>851441.62947574863</v>
      </c>
      <c r="Y14" s="96">
        <f t="shared" si="2"/>
        <v>874269.84742097009</v>
      </c>
      <c r="Z14" s="96">
        <f t="shared" si="11"/>
        <v>-43358.711691787466</v>
      </c>
      <c r="AA14" s="97">
        <f t="shared" si="12"/>
        <v>-2.5772663491598831</v>
      </c>
    </row>
    <row r="15" spans="3:27" x14ac:dyDescent="0.3">
      <c r="C15" t="s">
        <v>69</v>
      </c>
      <c r="D15" s="91">
        <v>2.1259478192901757</v>
      </c>
      <c r="E15" s="92">
        <f t="shared" si="3"/>
        <v>32080.552593088752</v>
      </c>
      <c r="F15" s="91">
        <v>2.0969045051501434</v>
      </c>
      <c r="G15" s="92">
        <f t="shared" si="4"/>
        <v>29859.920153338044</v>
      </c>
      <c r="H15" s="91">
        <v>2.2556270013994348</v>
      </c>
      <c r="I15" s="92">
        <f t="shared" si="5"/>
        <v>73352.99008550962</v>
      </c>
      <c r="J15" s="91">
        <v>2.1986354398177879</v>
      </c>
      <c r="K15" s="92">
        <f t="shared" si="6"/>
        <v>67630.026128795158</v>
      </c>
      <c r="L15" s="91">
        <v>2.8452479914959121</v>
      </c>
      <c r="M15" s="92">
        <f t="shared" si="7"/>
        <v>448695.60825890535</v>
      </c>
      <c r="N15" s="91">
        <v>2.8389822798092474</v>
      </c>
      <c r="O15" s="92">
        <f t="shared" si="8"/>
        <v>444130.3878533587</v>
      </c>
      <c r="P15" s="91">
        <v>3.5124130634267177</v>
      </c>
      <c r="Q15" s="92">
        <f t="shared" si="9"/>
        <v>140882.88797404565</v>
      </c>
      <c r="R15" s="91">
        <v>3.3089502547008354</v>
      </c>
      <c r="S15" s="92">
        <f t="shared" si="10"/>
        <v>143608.44105401626</v>
      </c>
      <c r="T15" s="92">
        <v>1327943.4733657825</v>
      </c>
      <c r="U15" s="92">
        <v>673727.45075740339</v>
      </c>
      <c r="V15" s="92">
        <v>654216.02260837913</v>
      </c>
      <c r="W15" s="96">
        <f t="shared" si="0"/>
        <v>1380240.8141010576</v>
      </c>
      <c r="X15" s="96">
        <f t="shared" si="1"/>
        <v>695012.03891154937</v>
      </c>
      <c r="Y15" s="96">
        <f t="shared" si="2"/>
        <v>685228.7751895081</v>
      </c>
      <c r="Z15" s="96">
        <f t="shared" si="11"/>
        <v>-52297.340735275066</v>
      </c>
      <c r="AA15" s="97">
        <f t="shared" si="12"/>
        <v>-3.9382203974935117</v>
      </c>
    </row>
    <row r="16" spans="3:27" x14ac:dyDescent="0.3">
      <c r="C16" t="s">
        <v>70</v>
      </c>
      <c r="D16" s="91">
        <v>5.2967664061056574</v>
      </c>
      <c r="E16" s="92">
        <f t="shared" si="3"/>
        <v>79928.205068134368</v>
      </c>
      <c r="F16" s="91">
        <v>5.1372977212262985</v>
      </c>
      <c r="G16" s="92">
        <f t="shared" si="4"/>
        <v>73155.119550262491</v>
      </c>
      <c r="H16" s="91">
        <v>5.3279485478006583</v>
      </c>
      <c r="I16" s="92">
        <f t="shared" si="5"/>
        <v>173264.8867744774</v>
      </c>
      <c r="J16" s="91">
        <v>5.2215989332737376</v>
      </c>
      <c r="K16" s="92">
        <f t="shared" si="6"/>
        <v>160616.38318750018</v>
      </c>
      <c r="L16" s="91">
        <v>6.7381176114463983</v>
      </c>
      <c r="M16" s="92">
        <f t="shared" si="7"/>
        <v>1062601.1473250971</v>
      </c>
      <c r="N16" s="91">
        <v>6.4531042958660594</v>
      </c>
      <c r="O16" s="92">
        <f t="shared" si="8"/>
        <v>1009523.6360452863</v>
      </c>
      <c r="P16" s="91">
        <v>7.2481158519157391</v>
      </c>
      <c r="Q16" s="92">
        <f t="shared" si="9"/>
        <v>290721.92682034033</v>
      </c>
      <c r="R16" s="91">
        <v>6.7397489068816956</v>
      </c>
      <c r="S16" s="92">
        <f t="shared" si="10"/>
        <v>292505.10255866556</v>
      </c>
      <c r="T16" s="92">
        <v>3065214.3633716963</v>
      </c>
      <c r="U16" s="92">
        <v>1577171.9169358141</v>
      </c>
      <c r="V16" s="92">
        <v>1488042.4464358822</v>
      </c>
      <c r="W16" s="96">
        <f t="shared" si="0"/>
        <v>3142316.4073297642</v>
      </c>
      <c r="X16" s="96">
        <f t="shared" si="1"/>
        <v>1606516.1659880492</v>
      </c>
      <c r="Y16" s="96">
        <f t="shared" si="2"/>
        <v>1535800.2413417147</v>
      </c>
      <c r="Z16" s="96">
        <f t="shared" si="11"/>
        <v>-77102.043958067894</v>
      </c>
      <c r="AA16" s="97">
        <f t="shared" si="12"/>
        <v>-2.5153883160477117</v>
      </c>
    </row>
    <row r="17" spans="3:27" x14ac:dyDescent="0.3">
      <c r="C17" t="s">
        <v>71</v>
      </c>
      <c r="D17" s="91">
        <v>4.1744248392148142</v>
      </c>
      <c r="E17" s="92">
        <f t="shared" si="3"/>
        <v>62992.07082375155</v>
      </c>
      <c r="F17" s="91">
        <v>4.0881693749852106</v>
      </c>
      <c r="G17" s="92">
        <f t="shared" si="4"/>
        <v>58215.531899789392</v>
      </c>
      <c r="H17" s="91">
        <v>4.1136438142039147</v>
      </c>
      <c r="I17" s="92">
        <f t="shared" si="5"/>
        <v>133775.6968379113</v>
      </c>
      <c r="J17" s="91">
        <v>4.0516442178642791</v>
      </c>
      <c r="K17" s="92">
        <f t="shared" si="6"/>
        <v>124628.57614150523</v>
      </c>
      <c r="L17" s="91">
        <v>4.4112260362547708</v>
      </c>
      <c r="M17" s="92">
        <f t="shared" si="7"/>
        <v>695650.34591737727</v>
      </c>
      <c r="N17" s="91">
        <v>4.4425860930775274</v>
      </c>
      <c r="O17" s="92">
        <f t="shared" si="8"/>
        <v>694998.16840104829</v>
      </c>
      <c r="P17" s="91">
        <v>4.7958400818344558</v>
      </c>
      <c r="Q17" s="92">
        <f t="shared" si="9"/>
        <v>192361.14568238001</v>
      </c>
      <c r="R17" s="91">
        <v>4.5142193311352052</v>
      </c>
      <c r="S17" s="92">
        <f t="shared" si="10"/>
        <v>195917.11897126789</v>
      </c>
      <c r="T17" s="92">
        <v>2134110.6804121365</v>
      </c>
      <c r="U17" s="92">
        <v>1079655.0305918208</v>
      </c>
      <c r="V17" s="92">
        <v>1054455.6498203157</v>
      </c>
      <c r="W17" s="96">
        <f t="shared" si="0"/>
        <v>2158538.6546750311</v>
      </c>
      <c r="X17" s="96">
        <f t="shared" si="1"/>
        <v>1084779.2592614202</v>
      </c>
      <c r="Y17" s="96">
        <f t="shared" si="2"/>
        <v>1073759.3954136109</v>
      </c>
      <c r="Z17" s="96">
        <f t="shared" si="11"/>
        <v>-24427.974262894597</v>
      </c>
      <c r="AA17" s="97">
        <f t="shared" si="12"/>
        <v>-1.1446442064652946</v>
      </c>
    </row>
    <row r="18" spans="3:27" x14ac:dyDescent="0.3">
      <c r="C18" t="s">
        <v>72</v>
      </c>
      <c r="D18" s="91">
        <v>2.7774479574597457</v>
      </c>
      <c r="E18" s="92">
        <f t="shared" si="3"/>
        <v>41911.689678067567</v>
      </c>
      <c r="F18" s="91">
        <v>2.5772690548548596</v>
      </c>
      <c r="G18" s="92">
        <f t="shared" si="4"/>
        <v>36700.311341133201</v>
      </c>
      <c r="H18" s="91">
        <v>2.6540066227172914</v>
      </c>
      <c r="I18" s="92">
        <f t="shared" si="5"/>
        <v>86308.295370766311</v>
      </c>
      <c r="J18" s="91">
        <v>2.5913292453124535</v>
      </c>
      <c r="K18" s="92">
        <f t="shared" si="6"/>
        <v>79709.287585811064</v>
      </c>
      <c r="L18" s="91">
        <v>2.9295698269943502</v>
      </c>
      <c r="M18" s="92">
        <f t="shared" si="7"/>
        <v>461993.16171700903</v>
      </c>
      <c r="N18" s="91">
        <v>2.8796081176390564</v>
      </c>
      <c r="O18" s="92">
        <f t="shared" si="8"/>
        <v>450485.89392345399</v>
      </c>
      <c r="P18" s="91">
        <v>3.2439940429330032</v>
      </c>
      <c r="Q18" s="92">
        <f t="shared" si="9"/>
        <v>130116.60106204276</v>
      </c>
      <c r="R18" s="91">
        <v>2.8891385594655352</v>
      </c>
      <c r="S18" s="92">
        <f t="shared" si="10"/>
        <v>125388.61348080423</v>
      </c>
      <c r="T18" s="92">
        <v>1393135.8180184686</v>
      </c>
      <c r="U18" s="92">
        <v>714216.61909202556</v>
      </c>
      <c r="V18" s="92">
        <v>678919.19892644312</v>
      </c>
      <c r="W18" s="96">
        <f t="shared" si="0"/>
        <v>1412613.8541590883</v>
      </c>
      <c r="X18" s="96">
        <f t="shared" si="1"/>
        <v>720329.74782788567</v>
      </c>
      <c r="Y18" s="96">
        <f t="shared" si="2"/>
        <v>692284.10633120255</v>
      </c>
      <c r="Z18" s="96">
        <f t="shared" si="11"/>
        <v>-19478.036140619777</v>
      </c>
      <c r="AA18" s="97">
        <f t="shared" si="12"/>
        <v>-1.3981433747302849</v>
      </c>
    </row>
    <row r="19" spans="3:27" x14ac:dyDescent="0.3">
      <c r="C19" t="s">
        <v>73</v>
      </c>
      <c r="D19" s="91">
        <v>3.0071448842383925</v>
      </c>
      <c r="E19" s="92">
        <f t="shared" si="3"/>
        <v>45377.816303157342</v>
      </c>
      <c r="F19" s="91">
        <v>2.8328888017479277</v>
      </c>
      <c r="G19" s="92">
        <f t="shared" si="4"/>
        <v>40340.336536890492</v>
      </c>
      <c r="H19" s="91">
        <v>3.0126322200185873</v>
      </c>
      <c r="I19" s="92">
        <f t="shared" si="5"/>
        <v>97970.799795004466</v>
      </c>
      <c r="J19" s="91">
        <v>2.9157684364251319</v>
      </c>
      <c r="K19" s="92">
        <f t="shared" si="6"/>
        <v>89689.037104437055</v>
      </c>
      <c r="L19" s="91">
        <v>3.1360440010168196</v>
      </c>
      <c r="M19" s="92">
        <f t="shared" si="7"/>
        <v>494554.13896035246</v>
      </c>
      <c r="N19" s="91">
        <v>3.0550989292256827</v>
      </c>
      <c r="O19" s="92">
        <f t="shared" si="8"/>
        <v>477939.6764880658</v>
      </c>
      <c r="P19" s="91">
        <v>3.0293791713258482</v>
      </c>
      <c r="Q19" s="92">
        <f t="shared" si="9"/>
        <v>121508.39856187977</v>
      </c>
      <c r="R19" s="91">
        <v>2.7155862440445029</v>
      </c>
      <c r="S19" s="92">
        <f t="shared" si="10"/>
        <v>117856.44299153141</v>
      </c>
      <c r="T19" s="92">
        <v>1487745.8388300049</v>
      </c>
      <c r="U19" s="92">
        <v>764496.06855297263</v>
      </c>
      <c r="V19" s="92">
        <v>723249.77027703228</v>
      </c>
      <c r="W19" s="96">
        <f t="shared" si="0"/>
        <v>1485236.646741319</v>
      </c>
      <c r="X19" s="96">
        <f t="shared" si="1"/>
        <v>759411.15362039406</v>
      </c>
      <c r="Y19" s="96">
        <f t="shared" si="2"/>
        <v>725825.4931209248</v>
      </c>
      <c r="Z19" s="96">
        <f t="shared" si="11"/>
        <v>2509.1920886859298</v>
      </c>
      <c r="AA19" s="97">
        <f t="shared" si="12"/>
        <v>0.16865730847274371</v>
      </c>
    </row>
    <row r="20" spans="3:27" x14ac:dyDescent="0.3">
      <c r="C20" t="s">
        <v>74</v>
      </c>
      <c r="D20" s="91">
        <v>2.1171092263728704</v>
      </c>
      <c r="E20" s="92">
        <f t="shared" si="3"/>
        <v>31947.178225966614</v>
      </c>
      <c r="F20" s="91">
        <v>1.9416846676605242</v>
      </c>
      <c r="G20" s="92">
        <f t="shared" si="4"/>
        <v>27649.589667485863</v>
      </c>
      <c r="H20" s="91">
        <v>2.1783806192487818</v>
      </c>
      <c r="I20" s="92">
        <f t="shared" si="5"/>
        <v>70840.93773797038</v>
      </c>
      <c r="J20" s="91">
        <v>2.0459453687357585</v>
      </c>
      <c r="K20" s="92">
        <f t="shared" si="6"/>
        <v>62933.279542311931</v>
      </c>
      <c r="L20" s="91">
        <v>2.3672086985829655</v>
      </c>
      <c r="M20" s="92">
        <f t="shared" si="7"/>
        <v>373308.81176653365</v>
      </c>
      <c r="N20" s="91">
        <v>2.2474788278235289</v>
      </c>
      <c r="O20" s="92">
        <f t="shared" si="8"/>
        <v>351595.58782471286</v>
      </c>
      <c r="P20" s="91">
        <v>3.0632261428994068</v>
      </c>
      <c r="Q20" s="92">
        <f t="shared" si="9"/>
        <v>122866.00059169519</v>
      </c>
      <c r="R20" s="91">
        <v>2.6436328810789789</v>
      </c>
      <c r="S20" s="92">
        <f t="shared" si="10"/>
        <v>114733.66703882768</v>
      </c>
      <c r="T20" s="92">
        <v>1124449.4694764134</v>
      </c>
      <c r="U20" s="92">
        <v>586019.68964654498</v>
      </c>
      <c r="V20" s="92">
        <v>538429.77982986858</v>
      </c>
      <c r="W20" s="96">
        <f t="shared" si="0"/>
        <v>1155875.0523955042</v>
      </c>
      <c r="X20" s="96">
        <f t="shared" si="1"/>
        <v>598962.92832216586</v>
      </c>
      <c r="Y20" s="96">
        <f t="shared" si="2"/>
        <v>556912.12407333835</v>
      </c>
      <c r="Z20" s="96">
        <f t="shared" si="11"/>
        <v>-31425.582919090753</v>
      </c>
      <c r="AA20" s="97">
        <f t="shared" si="12"/>
        <v>-2.7947527898895896</v>
      </c>
    </row>
    <row r="21" spans="3:27" x14ac:dyDescent="0.3">
      <c r="C21" t="s">
        <v>75</v>
      </c>
      <c r="D21" s="91">
        <v>4.5692863155686494</v>
      </c>
      <c r="E21" s="92">
        <f t="shared" si="3"/>
        <v>68950.530501930916</v>
      </c>
      <c r="F21" s="91">
        <v>4.4423861148390165</v>
      </c>
      <c r="G21" s="92">
        <f t="shared" si="4"/>
        <v>63259.578275307591</v>
      </c>
      <c r="H21" s="91">
        <v>4.7298661606752734</v>
      </c>
      <c r="I21" s="92">
        <f t="shared" si="5"/>
        <v>153815.24754515989</v>
      </c>
      <c r="J21" s="91">
        <v>4.5307567821069394</v>
      </c>
      <c r="K21" s="92">
        <f t="shared" si="6"/>
        <v>139366.07861760946</v>
      </c>
      <c r="L21" s="91">
        <v>5.8966930104719824</v>
      </c>
      <c r="M21" s="92">
        <f t="shared" si="7"/>
        <v>929908.48775143165</v>
      </c>
      <c r="N21" s="91">
        <v>5.6145423318184422</v>
      </c>
      <c r="O21" s="92">
        <f t="shared" si="8"/>
        <v>878339.00238967722</v>
      </c>
      <c r="P21" s="91">
        <v>5.4479584008183446</v>
      </c>
      <c r="Q21" s="92">
        <f t="shared" si="9"/>
        <v>218517.6114568238</v>
      </c>
      <c r="R21" s="91">
        <v>4.833637996199335</v>
      </c>
      <c r="S21" s="92">
        <f t="shared" si="10"/>
        <v>209779.88903505114</v>
      </c>
      <c r="T21" s="92">
        <v>2629783.2472819909</v>
      </c>
      <c r="U21" s="92">
        <v>1360755.4109994087</v>
      </c>
      <c r="V21" s="92">
        <v>1269027.836282582</v>
      </c>
      <c r="W21" s="96">
        <f t="shared" si="0"/>
        <v>2661936.4255729914</v>
      </c>
      <c r="X21" s="96">
        <f t="shared" si="1"/>
        <v>1371191.8772553462</v>
      </c>
      <c r="Y21" s="96">
        <f t="shared" si="2"/>
        <v>1290744.5483176454</v>
      </c>
      <c r="Z21" s="96">
        <f t="shared" si="11"/>
        <v>-32153.178291000426</v>
      </c>
      <c r="AA21" s="97">
        <f t="shared" si="12"/>
        <v>-1.2226550733499537</v>
      </c>
    </row>
    <row r="22" spans="3:27" x14ac:dyDescent="0.3">
      <c r="C22" t="s">
        <v>76</v>
      </c>
      <c r="D22" s="91">
        <v>3.3194240858046342</v>
      </c>
      <c r="E22" s="92">
        <f>(D22*E$35)/100</f>
        <v>50090.109454791927</v>
      </c>
      <c r="F22" s="91">
        <v>3.2992244078828019</v>
      </c>
      <c r="G22" s="92">
        <f t="shared" si="4"/>
        <v>46980.955568251098</v>
      </c>
      <c r="H22" s="91">
        <v>3.5769295157656762</v>
      </c>
      <c r="I22" s="92">
        <f t="shared" si="5"/>
        <v>116321.74785269979</v>
      </c>
      <c r="J22" s="91">
        <v>3.4968275632546377</v>
      </c>
      <c r="K22" s="92">
        <f t="shared" si="6"/>
        <v>107562.41584571266</v>
      </c>
      <c r="L22" s="91">
        <v>4.2522670972086871</v>
      </c>
      <c r="M22" s="92">
        <f t="shared" si="7"/>
        <v>670582.52122980997</v>
      </c>
      <c r="N22" s="91">
        <v>4.1970426545525346</v>
      </c>
      <c r="O22" s="92">
        <f t="shared" si="8"/>
        <v>656585.35287819849</v>
      </c>
      <c r="P22" s="91">
        <v>4.7681607806365243</v>
      </c>
      <c r="Q22" s="92">
        <f t="shared" si="9"/>
        <v>191250.92891133099</v>
      </c>
      <c r="R22" s="91">
        <v>4.546628492526799</v>
      </c>
      <c r="S22" s="92">
        <f t="shared" si="10"/>
        <v>197323.67657566309</v>
      </c>
      <c r="T22" s="92">
        <v>1984051.7632943639</v>
      </c>
      <c r="U22" s="92">
        <v>1008939.763112405</v>
      </c>
      <c r="V22" s="92">
        <v>975112.00018195878</v>
      </c>
      <c r="W22" s="96">
        <f t="shared" si="0"/>
        <v>2036697.7083164579</v>
      </c>
      <c r="X22" s="96">
        <f t="shared" si="1"/>
        <v>1028245.3074486327</v>
      </c>
      <c r="Y22" s="96">
        <f t="shared" si="2"/>
        <v>1008452.4008678254</v>
      </c>
      <c r="Z22" s="96">
        <f t="shared" si="11"/>
        <v>-52645.945022094063</v>
      </c>
      <c r="AA22" s="97">
        <f t="shared" si="12"/>
        <v>-2.6534562250875733</v>
      </c>
    </row>
    <row r="23" spans="3:27" x14ac:dyDescent="0.3">
      <c r="C23" t="s">
        <v>77</v>
      </c>
      <c r="D23" s="91">
        <v>8.056004732374328</v>
      </c>
      <c r="E23" s="92">
        <f t="shared" si="3"/>
        <v>121565.1114115286</v>
      </c>
      <c r="F23" s="91">
        <v>7.7574987238732058</v>
      </c>
      <c r="G23" s="92">
        <f t="shared" si="4"/>
        <v>110466.78182795444</v>
      </c>
      <c r="H23" s="91">
        <v>8.642105130624028</v>
      </c>
      <c r="I23" s="92">
        <f t="shared" si="5"/>
        <v>281041.25884789339</v>
      </c>
      <c r="J23" s="91">
        <v>8.648938365019001</v>
      </c>
      <c r="K23" s="92">
        <f t="shared" si="6"/>
        <v>266041.34410798445</v>
      </c>
      <c r="L23" s="91">
        <v>8.3212556462834115</v>
      </c>
      <c r="M23" s="92">
        <f t="shared" si="7"/>
        <v>1312262.0154188939</v>
      </c>
      <c r="N23" s="91">
        <v>8.4317356674629131</v>
      </c>
      <c r="O23" s="92">
        <f t="shared" si="8"/>
        <v>1319060.7278178982</v>
      </c>
      <c r="P23" s="91">
        <v>8.5668941517447479</v>
      </c>
      <c r="Q23" s="92">
        <f t="shared" si="9"/>
        <v>343618.1244264819</v>
      </c>
      <c r="R23" s="91">
        <v>8.5225040172286111</v>
      </c>
      <c r="S23" s="92">
        <f t="shared" si="10"/>
        <v>369876.67434772174</v>
      </c>
      <c r="T23" s="92">
        <v>4121851.0826547784</v>
      </c>
      <c r="U23" s="92">
        <v>2074375.4696811172</v>
      </c>
      <c r="V23" s="92">
        <v>2047475.6129736612</v>
      </c>
      <c r="W23" s="96">
        <f t="shared" si="0"/>
        <v>4123932.0382063566</v>
      </c>
      <c r="X23" s="96">
        <f t="shared" si="1"/>
        <v>2058486.5101047978</v>
      </c>
      <c r="Y23" s="96">
        <f t="shared" si="2"/>
        <v>2065445.5281015588</v>
      </c>
      <c r="Z23" s="96">
        <f t="shared" si="11"/>
        <v>-2080.9555515781976</v>
      </c>
      <c r="AA23" s="97">
        <f t="shared" si="12"/>
        <v>-5.0485946965311217E-2</v>
      </c>
    </row>
    <row r="24" spans="3:27" x14ac:dyDescent="0.3">
      <c r="C24" t="s">
        <v>78</v>
      </c>
      <c r="D24" s="91">
        <v>1.5853560488720946</v>
      </c>
      <c r="E24" s="92">
        <f t="shared" si="3"/>
        <v>23923.022777479906</v>
      </c>
      <c r="F24" s="91">
        <v>1.6225121161619065</v>
      </c>
      <c r="G24" s="92">
        <f t="shared" si="4"/>
        <v>23104.572534145551</v>
      </c>
      <c r="H24" s="91">
        <v>1.6263242986387569</v>
      </c>
      <c r="I24" s="92">
        <f t="shared" si="5"/>
        <v>52888.066191732374</v>
      </c>
      <c r="J24" s="91">
        <v>1.6656834809563097</v>
      </c>
      <c r="K24" s="92">
        <f t="shared" si="6"/>
        <v>51236.423874216089</v>
      </c>
      <c r="L24" s="91">
        <v>1.2471440433740497</v>
      </c>
      <c r="M24" s="92">
        <f t="shared" si="7"/>
        <v>196674.61564008764</v>
      </c>
      <c r="N24" s="91">
        <v>1.3358809477081739</v>
      </c>
      <c r="O24" s="92">
        <f t="shared" si="8"/>
        <v>208985.21545946674</v>
      </c>
      <c r="P24" s="91">
        <v>0.98928429951811936</v>
      </c>
      <c r="Q24" s="92">
        <f t="shared" si="9"/>
        <v>39680.193253671772</v>
      </c>
      <c r="R24" s="91">
        <v>1.2324525745938304</v>
      </c>
      <c r="S24" s="92">
        <f t="shared" si="10"/>
        <v>53488.441737372239</v>
      </c>
      <c r="T24" s="92">
        <v>674916.11131328763</v>
      </c>
      <c r="U24" s="92">
        <v>329809.81667652278</v>
      </c>
      <c r="V24" s="92">
        <v>345106.2946367648</v>
      </c>
      <c r="W24" s="96">
        <f t="shared" si="0"/>
        <v>649980.55146817234</v>
      </c>
      <c r="X24" s="96">
        <f t="shared" si="1"/>
        <v>313165.89786297164</v>
      </c>
      <c r="Y24" s="96">
        <f t="shared" si="2"/>
        <v>336814.65360520064</v>
      </c>
      <c r="Z24" s="96">
        <f t="shared" si="11"/>
        <v>24935.559845115291</v>
      </c>
      <c r="AA24" s="97">
        <f t="shared" si="12"/>
        <v>3.6946161792751329</v>
      </c>
    </row>
    <row r="25" spans="3:27" x14ac:dyDescent="0.3">
      <c r="C25" t="s">
        <v>79</v>
      </c>
      <c r="D25" s="91">
        <v>2.0115253121860235</v>
      </c>
      <c r="E25" s="92">
        <f t="shared" si="3"/>
        <v>30353.916960887094</v>
      </c>
      <c r="F25" s="91">
        <v>2.0755512135317891</v>
      </c>
      <c r="G25" s="92">
        <f t="shared" si="4"/>
        <v>29555.849280692673</v>
      </c>
      <c r="H25" s="91">
        <v>2.0792636948532413</v>
      </c>
      <c r="I25" s="92">
        <f t="shared" si="5"/>
        <v>67617.655356627409</v>
      </c>
      <c r="J25" s="91">
        <v>2.1348795349592056</v>
      </c>
      <c r="K25" s="92">
        <f t="shared" si="6"/>
        <v>65668.894495345172</v>
      </c>
      <c r="L25" s="91">
        <v>1.5572864212513506</v>
      </c>
      <c r="M25" s="92">
        <f t="shared" si="7"/>
        <v>245584.06863133798</v>
      </c>
      <c r="N25" s="91">
        <v>1.6719226962623526</v>
      </c>
      <c r="O25" s="92">
        <f t="shared" si="8"/>
        <v>261555.58660328243</v>
      </c>
      <c r="P25" s="91">
        <v>1.5094245011959262</v>
      </c>
      <c r="Q25" s="92">
        <f t="shared" si="9"/>
        <v>60543.016742968597</v>
      </c>
      <c r="R25" s="91">
        <v>1.675277286755255</v>
      </c>
      <c r="S25" s="92">
        <f t="shared" si="10"/>
        <v>72707.03424517806</v>
      </c>
      <c r="T25" s="92">
        <v>856301.69790292496</v>
      </c>
      <c r="U25" s="92">
        <v>419657.38980121003</v>
      </c>
      <c r="V25" s="92">
        <v>436644.30810171494</v>
      </c>
      <c r="W25" s="96">
        <f t="shared" si="0"/>
        <v>833586.0223163194</v>
      </c>
      <c r="X25" s="96">
        <f t="shared" si="1"/>
        <v>404098.65769182111</v>
      </c>
      <c r="Y25" s="96">
        <f t="shared" si="2"/>
        <v>429487.36462449835</v>
      </c>
      <c r="Z25" s="96">
        <f t="shared" si="11"/>
        <v>22715.675586605561</v>
      </c>
      <c r="AA25" s="97">
        <f t="shared" si="12"/>
        <v>2.6527654496348712</v>
      </c>
    </row>
    <row r="26" spans="3:27" x14ac:dyDescent="0.3">
      <c r="C26" t="s">
        <v>80</v>
      </c>
      <c r="D26" s="91">
        <v>1.1808573115662573</v>
      </c>
      <c r="E26" s="92">
        <f t="shared" si="3"/>
        <v>17819.136831534823</v>
      </c>
      <c r="F26" s="91">
        <v>1.2260395221820697</v>
      </c>
      <c r="G26" s="92">
        <f t="shared" si="4"/>
        <v>17458.802795872671</v>
      </c>
      <c r="H26" s="91">
        <v>1.1541490843517437</v>
      </c>
      <c r="I26" s="92">
        <f t="shared" si="5"/>
        <v>37532.928223118703</v>
      </c>
      <c r="J26" s="91">
        <v>1.1718896442367299</v>
      </c>
      <c r="K26" s="92">
        <f t="shared" si="6"/>
        <v>36047.32545672181</v>
      </c>
      <c r="L26" s="91">
        <v>0.98676486687188858</v>
      </c>
      <c r="M26" s="92">
        <f t="shared" si="7"/>
        <v>155612.81950569683</v>
      </c>
      <c r="N26" s="91">
        <v>1.004478135653593</v>
      </c>
      <c r="O26" s="92">
        <f t="shared" si="8"/>
        <v>157140.55954164808</v>
      </c>
      <c r="P26" s="91">
        <v>1.0636974933183572</v>
      </c>
      <c r="Q26" s="92">
        <f t="shared" si="9"/>
        <v>42664.906456999306</v>
      </c>
      <c r="R26" s="91">
        <v>1.0141806411285825</v>
      </c>
      <c r="S26" s="92">
        <f t="shared" si="10"/>
        <v>44015.43982498048</v>
      </c>
      <c r="T26" s="92">
        <v>515273.20031387894</v>
      </c>
      <c r="U26" s="92">
        <v>258390.94243278899</v>
      </c>
      <c r="V26" s="92">
        <v>256882.25788108993</v>
      </c>
      <c r="W26" s="96">
        <f t="shared" si="0"/>
        <v>508291.91863657272</v>
      </c>
      <c r="X26" s="96">
        <f t="shared" si="1"/>
        <v>253629.79101734966</v>
      </c>
      <c r="Y26" s="96">
        <f t="shared" si="2"/>
        <v>254662.12761922306</v>
      </c>
      <c r="Z26" s="96">
        <f t="shared" si="11"/>
        <v>6981.2816773062223</v>
      </c>
      <c r="AA26" s="97">
        <f t="shared" si="12"/>
        <v>1.3548699356096088</v>
      </c>
    </row>
    <row r="27" spans="3:27" x14ac:dyDescent="0.3">
      <c r="C27" t="s">
        <v>81</v>
      </c>
      <c r="D27" s="91">
        <v>1.456876984357288</v>
      </c>
      <c r="E27" s="92">
        <f t="shared" si="3"/>
        <v>21984.273693951476</v>
      </c>
      <c r="F27" s="91">
        <v>1.4733771216664355</v>
      </c>
      <c r="G27" s="92">
        <f t="shared" si="4"/>
        <v>20980.890212530041</v>
      </c>
      <c r="H27" s="91">
        <v>1.3677016391714936</v>
      </c>
      <c r="I27" s="92">
        <f t="shared" si="5"/>
        <v>44477.65730585697</v>
      </c>
      <c r="J27" s="91">
        <v>1.3926650234283602</v>
      </c>
      <c r="K27" s="92">
        <f t="shared" si="6"/>
        <v>42838.376120656358</v>
      </c>
      <c r="L27" s="91">
        <v>1.4727182332708573</v>
      </c>
      <c r="M27" s="92">
        <f t="shared" si="7"/>
        <v>232247.66538681419</v>
      </c>
      <c r="N27" s="91">
        <v>1.4278709023020448</v>
      </c>
      <c r="O27" s="92">
        <f t="shared" si="8"/>
        <v>223376.12395613189</v>
      </c>
      <c r="P27" s="91">
        <v>1.6657724380349701</v>
      </c>
      <c r="Q27" s="92">
        <f t="shared" si="9"/>
        <v>66814.132489582655</v>
      </c>
      <c r="R27" s="91">
        <v>1.5911139606608053</v>
      </c>
      <c r="S27" s="92">
        <f t="shared" si="10"/>
        <v>69054.345892678961</v>
      </c>
      <c r="T27" s="92">
        <v>712668.90722376388</v>
      </c>
      <c r="U27" s="92">
        <v>362956.2741664013</v>
      </c>
      <c r="V27" s="92">
        <v>349712.63305736252</v>
      </c>
      <c r="W27" s="96">
        <f t="shared" si="0"/>
        <v>721773.46505820251</v>
      </c>
      <c r="X27" s="96">
        <f t="shared" si="1"/>
        <v>365523.72887620528</v>
      </c>
      <c r="Y27" s="96">
        <f t="shared" si="2"/>
        <v>356249.73618199723</v>
      </c>
      <c r="Z27" s="96">
        <f t="shared" si="11"/>
        <v>-9104.5578344386304</v>
      </c>
      <c r="AA27" s="97">
        <f t="shared" si="12"/>
        <v>-1.2775298237586756</v>
      </c>
    </row>
    <row r="28" spans="3:27" x14ac:dyDescent="0.3">
      <c r="C28" t="s">
        <v>82</v>
      </c>
      <c r="D28" s="91">
        <v>4.1555762735959814</v>
      </c>
      <c r="E28" s="92">
        <f t="shared" si="3"/>
        <v>62707.64596856336</v>
      </c>
      <c r="F28" s="91">
        <v>4.2303180682651771</v>
      </c>
      <c r="G28" s="92">
        <f t="shared" si="4"/>
        <v>60239.729292096126</v>
      </c>
      <c r="H28" s="91">
        <v>3.8189977136190061</v>
      </c>
      <c r="I28" s="92">
        <f t="shared" si="5"/>
        <v>124193.80564689009</v>
      </c>
      <c r="J28" s="91">
        <v>3.8817574668298778</v>
      </c>
      <c r="K28" s="92">
        <f t="shared" si="6"/>
        <v>119402.85967968704</v>
      </c>
      <c r="L28" s="91">
        <v>3.848941892994028</v>
      </c>
      <c r="M28" s="92">
        <f t="shared" si="7"/>
        <v>606978.13652515819</v>
      </c>
      <c r="N28" s="91">
        <v>3.8390479590280377</v>
      </c>
      <c r="O28" s="92">
        <f t="shared" si="8"/>
        <v>600580.66271034617</v>
      </c>
      <c r="P28" s="91">
        <v>4.3213807558655546</v>
      </c>
      <c r="Q28" s="92">
        <f t="shared" si="9"/>
        <v>173330.58211776742</v>
      </c>
      <c r="R28" s="91">
        <v>4.5112547721862066</v>
      </c>
      <c r="S28" s="92">
        <f t="shared" si="10"/>
        <v>195788.45711288135</v>
      </c>
      <c r="T28" s="92">
        <v>1926006.9929036074</v>
      </c>
      <c r="U28" s="92">
        <v>967802.74132284045</v>
      </c>
      <c r="V28" s="92">
        <v>958204.25158076698</v>
      </c>
      <c r="W28" s="96">
        <f t="shared" si="0"/>
        <v>1943221.8790533897</v>
      </c>
      <c r="X28" s="96">
        <f t="shared" si="1"/>
        <v>967210.17025837908</v>
      </c>
      <c r="Y28" s="96">
        <f t="shared" si="2"/>
        <v>976011.70879501069</v>
      </c>
      <c r="Z28" s="96">
        <f t="shared" si="11"/>
        <v>-17214.886149782222</v>
      </c>
      <c r="AA28" s="97">
        <f t="shared" si="12"/>
        <v>-0.89381223501319806</v>
      </c>
    </row>
    <row r="29" spans="3:27" x14ac:dyDescent="0.3">
      <c r="C29" t="s">
        <v>83</v>
      </c>
      <c r="D29" s="91">
        <v>1.6685240135517994</v>
      </c>
      <c r="E29" s="92">
        <f t="shared" si="3"/>
        <v>25178.027364496655</v>
      </c>
      <c r="F29" s="91">
        <v>1.7328280660002637</v>
      </c>
      <c r="G29" s="92">
        <f t="shared" si="4"/>
        <v>24675.471659843755</v>
      </c>
      <c r="H29" s="91">
        <v>1.5571219858638887</v>
      </c>
      <c r="I29" s="92">
        <f t="shared" si="5"/>
        <v>50637.606980293662</v>
      </c>
      <c r="J29" s="91">
        <v>1.6121585122719231</v>
      </c>
      <c r="K29" s="92">
        <f t="shared" si="6"/>
        <v>49589.995837484355</v>
      </c>
      <c r="L29" s="91">
        <v>1.3302572120074045</v>
      </c>
      <c r="M29" s="92">
        <f t="shared" si="7"/>
        <v>209781.56233356771</v>
      </c>
      <c r="N29" s="91">
        <v>1.3761163026676462</v>
      </c>
      <c r="O29" s="92">
        <f t="shared" si="8"/>
        <v>215279.63438932656</v>
      </c>
      <c r="P29" s="91">
        <v>1.5211079743465028</v>
      </c>
      <c r="Q29" s="92">
        <f t="shared" si="9"/>
        <v>61011.640851038232</v>
      </c>
      <c r="R29" s="91">
        <v>1.7191427098480638</v>
      </c>
      <c r="S29" s="92">
        <f t="shared" si="10"/>
        <v>74610.793607405969</v>
      </c>
      <c r="T29" s="92">
        <v>712940.98337351601</v>
      </c>
      <c r="U29" s="92">
        <v>352055.38711731794</v>
      </c>
      <c r="V29" s="92">
        <v>360885.59625619801</v>
      </c>
      <c r="W29" s="96">
        <f t="shared" si="0"/>
        <v>710764.73302345688</v>
      </c>
      <c r="X29" s="96">
        <f t="shared" si="1"/>
        <v>346608.83752939623</v>
      </c>
      <c r="Y29" s="96">
        <f t="shared" si="2"/>
        <v>364155.89549406065</v>
      </c>
      <c r="Z29" s="96">
        <f t="shared" si="11"/>
        <v>2176.2503500591265</v>
      </c>
      <c r="AA29" s="97">
        <f t="shared" si="12"/>
        <v>0.30524971923503097</v>
      </c>
    </row>
    <row r="30" spans="3:27" x14ac:dyDescent="0.3">
      <c r="C30" t="s">
        <v>84</v>
      </c>
      <c r="D30" s="91">
        <v>4.1950837190456243</v>
      </c>
      <c r="E30" s="92">
        <f t="shared" si="3"/>
        <v>63303.813320398469</v>
      </c>
      <c r="F30" s="91">
        <v>4.2914482039008348</v>
      </c>
      <c r="G30" s="92">
        <f t="shared" si="4"/>
        <v>61110.222423547886</v>
      </c>
      <c r="H30" s="91">
        <v>4.0598068397439508</v>
      </c>
      <c r="I30" s="92">
        <f t="shared" si="5"/>
        <v>132024.91842847329</v>
      </c>
      <c r="J30" s="91">
        <v>4.1119172508337725</v>
      </c>
      <c r="K30" s="92">
        <f t="shared" si="6"/>
        <v>126482.57463564684</v>
      </c>
      <c r="L30" s="91">
        <v>3.5439652187248214</v>
      </c>
      <c r="M30" s="92">
        <f t="shared" si="7"/>
        <v>558883.31499290431</v>
      </c>
      <c r="N30" s="91">
        <v>3.6113808263070495</v>
      </c>
      <c r="O30" s="92">
        <f t="shared" si="8"/>
        <v>564964.41646747489</v>
      </c>
      <c r="P30" s="91">
        <v>3.5590466687058426</v>
      </c>
      <c r="Q30" s="92">
        <f t="shared" si="9"/>
        <v>142753.36188179135</v>
      </c>
      <c r="R30" s="91">
        <v>3.9513551049202635</v>
      </c>
      <c r="S30" s="92">
        <f t="shared" si="10"/>
        <v>171488.81155353945</v>
      </c>
      <c r="T30" s="92">
        <v>1841791.6190920258</v>
      </c>
      <c r="U30" s="92">
        <v>917674.94086339441</v>
      </c>
      <c r="V30" s="92">
        <v>924116.67822863127</v>
      </c>
      <c r="W30" s="96">
        <f t="shared" si="0"/>
        <v>1821011.4337037764</v>
      </c>
      <c r="X30" s="96">
        <f t="shared" si="1"/>
        <v>896965.40862356743</v>
      </c>
      <c r="Y30" s="96">
        <f t="shared" si="2"/>
        <v>924046.02508020913</v>
      </c>
      <c r="Z30" s="96">
        <f t="shared" si="11"/>
        <v>20780.185388249345</v>
      </c>
      <c r="AA30" s="97">
        <f t="shared" si="12"/>
        <v>1.1282593086450057</v>
      </c>
    </row>
    <row r="31" spans="3:27" x14ac:dyDescent="0.3">
      <c r="C31" t="s">
        <v>85</v>
      </c>
      <c r="D31" s="91">
        <v>2.6945462154582733</v>
      </c>
      <c r="E31" s="92">
        <f t="shared" si="3"/>
        <v>40660.702391265346</v>
      </c>
      <c r="F31" s="91">
        <v>2.7634765187035679</v>
      </c>
      <c r="G31" s="92">
        <f t="shared" si="4"/>
        <v>39351.905626338812</v>
      </c>
      <c r="H31" s="91">
        <v>2.7604448160519524</v>
      </c>
      <c r="I31" s="92">
        <f t="shared" si="5"/>
        <v>89769.665418009492</v>
      </c>
      <c r="J31" s="91">
        <v>2.8013415829023884</v>
      </c>
      <c r="K31" s="92">
        <f t="shared" si="6"/>
        <v>86169.267090077468</v>
      </c>
      <c r="L31" s="91">
        <v>2.0871444190615849</v>
      </c>
      <c r="M31" s="92">
        <f t="shared" si="7"/>
        <v>329142.67488601193</v>
      </c>
      <c r="N31" s="91">
        <v>2.2380369520187924</v>
      </c>
      <c r="O31" s="92">
        <f t="shared" si="8"/>
        <v>350118.50077381992</v>
      </c>
      <c r="P31" s="91">
        <v>1.5002482111248727</v>
      </c>
      <c r="Q31" s="92">
        <f t="shared" si="9"/>
        <v>60174.955748218643</v>
      </c>
      <c r="R31" s="91">
        <v>2.1449337697432092</v>
      </c>
      <c r="S31" s="92">
        <f t="shared" si="10"/>
        <v>93090.12560685529</v>
      </c>
      <c r="T31" s="92">
        <v>1130572.297912023</v>
      </c>
      <c r="U31" s="92">
        <v>550253.94168220903</v>
      </c>
      <c r="V31" s="92">
        <v>580318.35622981389</v>
      </c>
      <c r="W31" s="96">
        <f t="shared" si="0"/>
        <v>1088477.7975405969</v>
      </c>
      <c r="X31" s="96">
        <f t="shared" si="1"/>
        <v>519747.99844350544</v>
      </c>
      <c r="Y31" s="96">
        <f t="shared" si="2"/>
        <v>568729.79909709143</v>
      </c>
      <c r="Z31" s="96">
        <f t="shared" si="11"/>
        <v>42094.500371426111</v>
      </c>
      <c r="AA31" s="97">
        <f t="shared" si="12"/>
        <v>3.7232913321127339</v>
      </c>
    </row>
    <row r="32" spans="3:27" x14ac:dyDescent="0.3">
      <c r="C32" t="s">
        <v>86</v>
      </c>
      <c r="D32" s="91">
        <v>3.8098595036437901</v>
      </c>
      <c r="E32" s="92">
        <f t="shared" si="3"/>
        <v>57490.779909984798</v>
      </c>
      <c r="F32" s="91">
        <v>4.0281660621262469</v>
      </c>
      <c r="G32" s="92">
        <f t="shared" si="4"/>
        <v>57361.084724677756</v>
      </c>
      <c r="H32" s="91">
        <v>3.5149552073574557</v>
      </c>
      <c r="I32" s="92">
        <f t="shared" si="5"/>
        <v>114306.34334326447</v>
      </c>
      <c r="J32" s="91">
        <v>3.653073066056777</v>
      </c>
      <c r="K32" s="92">
        <f t="shared" si="6"/>
        <v>112368.52751190646</v>
      </c>
      <c r="L32" s="91">
        <v>2.6054315487302917</v>
      </c>
      <c r="M32" s="92">
        <f t="shared" si="7"/>
        <v>410876.55523476697</v>
      </c>
      <c r="N32" s="91">
        <v>2.6675837287037476</v>
      </c>
      <c r="O32" s="92">
        <f t="shared" si="8"/>
        <v>417316.79851841426</v>
      </c>
      <c r="P32" s="91">
        <v>2.0541852407146477</v>
      </c>
      <c r="Q32" s="92">
        <f t="shared" si="9"/>
        <v>82393.370005064528</v>
      </c>
      <c r="R32" s="91">
        <v>2.4473187825410592</v>
      </c>
      <c r="S32" s="92">
        <f t="shared" si="10"/>
        <v>106213.63516228198</v>
      </c>
      <c r="T32" s="92">
        <v>1426090.4841240959</v>
      </c>
      <c r="U32" s="92">
        <v>705145.55565664382</v>
      </c>
      <c r="V32" s="92">
        <v>720944.92846745206</v>
      </c>
      <c r="W32" s="96">
        <f t="shared" si="0"/>
        <v>1358327.0944103613</v>
      </c>
      <c r="X32" s="96">
        <f t="shared" si="1"/>
        <v>665067.04849308077</v>
      </c>
      <c r="Y32" s="96">
        <f t="shared" si="2"/>
        <v>693260.04591728048</v>
      </c>
      <c r="Z32" s="96">
        <f t="shared" si="11"/>
        <v>67763.389713734621</v>
      </c>
      <c r="AA32" s="97">
        <f t="shared" si="12"/>
        <v>4.7516893540843492</v>
      </c>
    </row>
    <row r="33" spans="3:27" x14ac:dyDescent="0.3">
      <c r="C33" t="s">
        <v>87</v>
      </c>
      <c r="D33" s="91">
        <v>4.1402950918654602</v>
      </c>
      <c r="E33" s="92">
        <f t="shared" si="3"/>
        <v>62477.052936249791</v>
      </c>
      <c r="F33" s="91">
        <v>4.2883494412649261</v>
      </c>
      <c r="G33" s="92">
        <f t="shared" si="4"/>
        <v>61066.096043612546</v>
      </c>
      <c r="H33" s="91">
        <v>3.7923939943211202</v>
      </c>
      <c r="I33" s="92">
        <f t="shared" si="5"/>
        <v>123328.65269532283</v>
      </c>
      <c r="J33" s="91">
        <v>3.951124665287546</v>
      </c>
      <c r="K33" s="92">
        <f t="shared" si="6"/>
        <v>121536.59470424493</v>
      </c>
      <c r="L33" s="91">
        <v>2.9824201329102435</v>
      </c>
      <c r="M33" s="92">
        <f t="shared" si="7"/>
        <v>470327.65495994536</v>
      </c>
      <c r="N33" s="91">
        <v>3.11249210150774</v>
      </c>
      <c r="O33" s="92">
        <f t="shared" si="8"/>
        <v>486918.26435987087</v>
      </c>
      <c r="P33" s="91">
        <v>2.4275549449171878</v>
      </c>
      <c r="Q33" s="92">
        <f t="shared" si="9"/>
        <v>97369.228840628391</v>
      </c>
      <c r="R33" s="91">
        <v>3.0320905969214813</v>
      </c>
      <c r="S33" s="92">
        <f t="shared" si="10"/>
        <v>131592.73190639229</v>
      </c>
      <c r="T33" s="92">
        <v>1611476.928194514</v>
      </c>
      <c r="U33" s="92">
        <v>791418.22658417863</v>
      </c>
      <c r="V33" s="92">
        <v>820058.70161033527</v>
      </c>
      <c r="W33" s="96">
        <f t="shared" si="0"/>
        <v>1554616.276446267</v>
      </c>
      <c r="X33" s="96">
        <f t="shared" si="1"/>
        <v>753502.5894321464</v>
      </c>
      <c r="Y33" s="96">
        <f t="shared" si="2"/>
        <v>801113.68701412063</v>
      </c>
      <c r="Z33" s="96">
        <f t="shared" si="11"/>
        <v>56860.651748246979</v>
      </c>
      <c r="AA33" s="97">
        <f t="shared" si="12"/>
        <v>3.5284806597853811</v>
      </c>
    </row>
    <row r="34" spans="3:27" x14ac:dyDescent="0.3">
      <c r="C34" t="s">
        <v>88</v>
      </c>
      <c r="D34" s="91">
        <v>2.0116850457929631</v>
      </c>
      <c r="E34" s="92">
        <f t="shared" si="3"/>
        <v>30356.327341015814</v>
      </c>
      <c r="F34" s="91">
        <v>2.0829319027191358</v>
      </c>
      <c r="G34" s="92">
        <f t="shared" si="4"/>
        <v>29660.950294720493</v>
      </c>
      <c r="H34" s="91">
        <v>1.8006357845905474</v>
      </c>
      <c r="I34" s="92">
        <f t="shared" si="5"/>
        <v>58556.675714884608</v>
      </c>
      <c r="J34" s="91">
        <v>1.8682463425612508</v>
      </c>
      <c r="K34" s="92">
        <f t="shared" si="6"/>
        <v>57467.257497184073</v>
      </c>
      <c r="L34" s="91">
        <v>1.2902249336734435</v>
      </c>
      <c r="M34" s="92">
        <f t="shared" si="7"/>
        <v>203468.47204030203</v>
      </c>
      <c r="N34" s="91">
        <v>1.3139045717656361</v>
      </c>
      <c r="O34" s="92">
        <f t="shared" si="8"/>
        <v>205547.2312070161</v>
      </c>
      <c r="P34" s="91">
        <v>1.012851820465634</v>
      </c>
      <c r="Q34" s="92">
        <f t="shared" si="9"/>
        <v>40625.486518876583</v>
      </c>
      <c r="R34" s="91">
        <v>1.3212888495400914</v>
      </c>
      <c r="S34" s="92">
        <f t="shared" si="10"/>
        <v>57343.93607003997</v>
      </c>
      <c r="T34" s="92">
        <v>716221.50809716596</v>
      </c>
      <c r="U34" s="92">
        <v>353992.25708502025</v>
      </c>
      <c r="V34" s="92">
        <v>362229.25101214577</v>
      </c>
      <c r="W34" s="96">
        <f t="shared" si="0"/>
        <v>683026.33668403968</v>
      </c>
      <c r="X34" s="96">
        <f t="shared" si="1"/>
        <v>333006.96161507902</v>
      </c>
      <c r="Y34" s="96">
        <f t="shared" si="2"/>
        <v>350019.37506896065</v>
      </c>
      <c r="Z34" s="96">
        <f t="shared" si="11"/>
        <v>33195.171413126285</v>
      </c>
      <c r="AA34" s="97">
        <f t="shared" si="12"/>
        <v>4.634763273350746</v>
      </c>
    </row>
    <row r="35" spans="3:27" x14ac:dyDescent="0.3">
      <c r="C35" t="s">
        <v>89</v>
      </c>
      <c r="D35" s="91">
        <v>100</v>
      </c>
      <c r="E35" s="92">
        <v>1509000</v>
      </c>
      <c r="F35" s="91">
        <v>100</v>
      </c>
      <c r="G35" s="92">
        <v>1424000</v>
      </c>
      <c r="H35" s="91">
        <v>100</v>
      </c>
      <c r="I35" s="92">
        <v>3252000</v>
      </c>
      <c r="J35" s="91">
        <v>100</v>
      </c>
      <c r="K35" s="92">
        <v>3076000</v>
      </c>
      <c r="L35" s="91">
        <v>100</v>
      </c>
      <c r="M35" s="92">
        <v>15770000</v>
      </c>
      <c r="N35" s="91">
        <v>100</v>
      </c>
      <c r="O35" s="92">
        <v>15644000</v>
      </c>
      <c r="P35" s="91">
        <v>100</v>
      </c>
      <c r="Q35" s="92">
        <v>4011000</v>
      </c>
      <c r="R35" s="91">
        <v>100</v>
      </c>
      <c r="S35" s="92">
        <v>4340000</v>
      </c>
      <c r="T35" s="92">
        <v>49026000</v>
      </c>
      <c r="U35" s="92">
        <v>24542000</v>
      </c>
      <c r="V35" s="92">
        <v>24483000</v>
      </c>
      <c r="W35" s="96">
        <f t="shared" si="0"/>
        <v>49026000</v>
      </c>
      <c r="X35" s="96">
        <f t="shared" si="1"/>
        <v>24542000</v>
      </c>
      <c r="Y35" s="96">
        <f t="shared" si="2"/>
        <v>24484000</v>
      </c>
      <c r="Z35" s="96">
        <f t="shared" si="11"/>
        <v>0</v>
      </c>
      <c r="AA35" s="97">
        <f t="shared" si="12"/>
        <v>0</v>
      </c>
    </row>
    <row r="39" spans="3:27" ht="15.6" x14ac:dyDescent="0.3">
      <c r="C39" s="95"/>
    </row>
  </sheetData>
  <mergeCells count="9">
    <mergeCell ref="W1:Y1"/>
    <mergeCell ref="T2:V2"/>
    <mergeCell ref="T3:V3"/>
    <mergeCell ref="D3:G3"/>
    <mergeCell ref="H3:K3"/>
    <mergeCell ref="L3:O3"/>
    <mergeCell ref="P3:S3"/>
    <mergeCell ref="W2:Y2"/>
    <mergeCell ref="W3:Y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A2443-7EB3-4675-924D-20895BDD33C2}">
  <dimension ref="C1:AO39"/>
  <sheetViews>
    <sheetView zoomScale="122" zoomScaleNormal="130" workbookViewId="0">
      <selection activeCell="F4" sqref="F4"/>
    </sheetView>
  </sheetViews>
  <sheetFormatPr defaultRowHeight="14.4" x14ac:dyDescent="0.3"/>
  <cols>
    <col min="3" max="3" width="24.6640625" bestFit="1" customWidth="1"/>
    <col min="4" max="4" width="11.77734375" customWidth="1"/>
    <col min="5" max="5" width="11.77734375" style="90" customWidth="1"/>
    <col min="6" max="6" width="12.109375" style="90" bestFit="1" customWidth="1"/>
    <col min="7" max="9" width="12.109375" style="90" customWidth="1"/>
    <col min="10" max="10" width="12.109375" style="90" bestFit="1" customWidth="1"/>
    <col min="11" max="13" width="12.109375" style="90" customWidth="1"/>
    <col min="14" max="14" width="12.109375" style="90" bestFit="1" customWidth="1"/>
    <col min="15" max="17" width="12.109375" style="90" customWidth="1"/>
    <col min="18" max="18" width="12.109375" style="90" bestFit="1" customWidth="1"/>
    <col min="19" max="19" width="12.109375" style="90" customWidth="1"/>
    <col min="20" max="20" width="12.109375" style="90" bestFit="1" customWidth="1"/>
    <col min="21" max="22" width="12.109375" style="90" customWidth="1"/>
    <col min="23" max="23" width="12.109375" style="90" bestFit="1" customWidth="1"/>
    <col min="24" max="24" width="12.109375" style="90" customWidth="1"/>
    <col min="25" max="25" width="7.33203125" style="90" customWidth="1"/>
    <col min="26" max="27" width="12.109375" style="90" customWidth="1"/>
    <col min="28" max="28" width="12.109375" style="90" bestFit="1" customWidth="1"/>
    <col min="29" max="29" width="12.109375" style="90" customWidth="1"/>
    <col min="30" max="30" width="43.5546875" style="90" bestFit="1" customWidth="1"/>
    <col min="31" max="31" width="12.109375" style="90" customWidth="1"/>
    <col min="32" max="32" width="12.109375" style="90" bestFit="1" customWidth="1"/>
    <col min="33" max="33" width="12.109375" style="90" customWidth="1"/>
    <col min="34" max="36" width="9" style="90" bestFit="1" customWidth="1"/>
    <col min="39" max="39" width="9" bestFit="1" customWidth="1"/>
  </cols>
  <sheetData>
    <row r="1" spans="3:41" ht="15" thickBot="1" x14ac:dyDescent="0.35">
      <c r="AK1" s="101" t="s">
        <v>93</v>
      </c>
      <c r="AL1" s="101"/>
      <c r="AM1" s="101"/>
    </row>
    <row r="2" spans="3:41" ht="15" thickBot="1" x14ac:dyDescent="0.35">
      <c r="C2" t="s">
        <v>105</v>
      </c>
      <c r="T2" s="199" t="s">
        <v>95</v>
      </c>
      <c r="U2" s="200"/>
      <c r="V2" s="200"/>
      <c r="W2" s="200"/>
      <c r="X2" s="201"/>
      <c r="Y2" s="126"/>
      <c r="Z2" s="199" t="s">
        <v>96</v>
      </c>
      <c r="AA2" s="200"/>
      <c r="AB2" s="200"/>
      <c r="AC2" s="201"/>
      <c r="AD2" s="155"/>
      <c r="AH2" s="98"/>
      <c r="AI2" s="98"/>
      <c r="AJ2" s="98"/>
      <c r="AK2" s="102">
        <v>2036</v>
      </c>
      <c r="AL2" s="103"/>
      <c r="AM2" s="104"/>
    </row>
    <row r="3" spans="3:41" s="93" customFormat="1" ht="16.2" thickBot="1" x14ac:dyDescent="0.35">
      <c r="D3" s="205" t="s">
        <v>50</v>
      </c>
      <c r="E3" s="206"/>
      <c r="F3" s="206"/>
      <c r="G3" s="207"/>
      <c r="H3" s="202" t="s">
        <v>51</v>
      </c>
      <c r="I3" s="203"/>
      <c r="J3" s="203"/>
      <c r="K3" s="204"/>
      <c r="L3" s="203" t="s">
        <v>52</v>
      </c>
      <c r="M3" s="203"/>
      <c r="N3" s="203"/>
      <c r="O3" s="203"/>
      <c r="P3" s="208" t="s">
        <v>53</v>
      </c>
      <c r="Q3" s="209"/>
      <c r="R3" s="209"/>
      <c r="S3" s="210"/>
      <c r="T3" s="202" t="s">
        <v>35</v>
      </c>
      <c r="U3" s="203"/>
      <c r="V3" s="203"/>
      <c r="W3" s="203"/>
      <c r="X3" s="116"/>
      <c r="Y3" s="110"/>
      <c r="Z3" s="202" t="s">
        <v>35</v>
      </c>
      <c r="AA3" s="203"/>
      <c r="AB3" s="203"/>
      <c r="AC3" s="204"/>
      <c r="AD3" s="106"/>
      <c r="AE3" s="105"/>
      <c r="AF3" s="105"/>
      <c r="AG3" s="106"/>
      <c r="AH3" s="99"/>
      <c r="AI3" s="100"/>
      <c r="AJ3" s="100"/>
      <c r="AK3" s="107" t="s">
        <v>35</v>
      </c>
      <c r="AL3" s="108"/>
      <c r="AM3" s="109"/>
    </row>
    <row r="4" spans="3:41" s="95" customFormat="1" ht="62.4" x14ac:dyDescent="0.3">
      <c r="C4" s="107" t="s">
        <v>55</v>
      </c>
      <c r="D4" s="148" t="s">
        <v>56</v>
      </c>
      <c r="E4" s="140" t="s">
        <v>106</v>
      </c>
      <c r="F4" s="111" t="s">
        <v>31</v>
      </c>
      <c r="G4" s="149" t="s">
        <v>32</v>
      </c>
      <c r="H4" s="148" t="s">
        <v>56</v>
      </c>
      <c r="I4" s="140" t="s">
        <v>106</v>
      </c>
      <c r="J4" s="111" t="s">
        <v>31</v>
      </c>
      <c r="K4" s="149" t="s">
        <v>32</v>
      </c>
      <c r="L4" s="159" t="s">
        <v>56</v>
      </c>
      <c r="M4" s="140" t="s">
        <v>106</v>
      </c>
      <c r="N4" s="111" t="s">
        <v>31</v>
      </c>
      <c r="O4" s="141" t="s">
        <v>32</v>
      </c>
      <c r="P4" s="148" t="s">
        <v>56</v>
      </c>
      <c r="Q4" s="140" t="s">
        <v>106</v>
      </c>
      <c r="R4" s="111" t="s">
        <v>31</v>
      </c>
      <c r="S4" s="149" t="s">
        <v>32</v>
      </c>
      <c r="T4" s="142" t="s">
        <v>56</v>
      </c>
      <c r="U4" s="140" t="s">
        <v>107</v>
      </c>
      <c r="V4" s="94" t="s">
        <v>57</v>
      </c>
      <c r="W4" s="94" t="s">
        <v>58</v>
      </c>
      <c r="X4" s="143" t="s">
        <v>42</v>
      </c>
      <c r="Y4" s="110"/>
      <c r="Z4" s="142" t="s">
        <v>56</v>
      </c>
      <c r="AA4" s="114" t="s">
        <v>94</v>
      </c>
      <c r="AB4" s="94" t="s">
        <v>57</v>
      </c>
      <c r="AC4" s="143" t="s">
        <v>58</v>
      </c>
      <c r="AD4" s="158" t="s">
        <v>97</v>
      </c>
      <c r="AE4" s="109"/>
      <c r="AH4" s="94"/>
      <c r="AI4" s="94"/>
      <c r="AJ4" s="94"/>
    </row>
    <row r="5" spans="3:41" x14ac:dyDescent="0.3">
      <c r="C5" t="s">
        <v>59</v>
      </c>
      <c r="D5" s="144">
        <f>F5+G5</f>
        <v>92854.215075564221</v>
      </c>
      <c r="E5" s="112">
        <f>(D5/T5)*100</f>
        <v>5.2465207787371142</v>
      </c>
      <c r="F5" s="92">
        <v>47335.848427715486</v>
      </c>
      <c r="G5" s="151">
        <v>45518.366647848728</v>
      </c>
      <c r="H5" s="150">
        <f>J5+K5</f>
        <v>193633.78227431135</v>
      </c>
      <c r="I5" s="112">
        <f>(H5/T5)*100</f>
        <v>10.940845941575148</v>
      </c>
      <c r="J5" s="92">
        <v>99146.073305021317</v>
      </c>
      <c r="K5" s="151">
        <v>94487.708969290019</v>
      </c>
      <c r="L5" s="92">
        <f>N5+O5</f>
        <v>1158037.4170073955</v>
      </c>
      <c r="M5" s="112">
        <f>(L5/T5)*100</f>
        <v>65.432327072497614</v>
      </c>
      <c r="N5" s="92">
        <v>584478.03990879422</v>
      </c>
      <c r="O5" s="92">
        <v>573559.37709860143</v>
      </c>
      <c r="P5" s="150">
        <f>R5+S5</f>
        <v>325299.17972191394</v>
      </c>
      <c r="Q5" s="112">
        <f>(P5/T5)*100</f>
        <v>18.380306207190127</v>
      </c>
      <c r="R5" s="92">
        <v>155090.44462384732</v>
      </c>
      <c r="S5" s="151">
        <v>170208.73509806662</v>
      </c>
      <c r="T5" s="144">
        <v>1769824.594079185</v>
      </c>
      <c r="U5" s="112">
        <f>(T5/T$35)*100</f>
        <v>3.609971431646851</v>
      </c>
      <c r="V5" s="96">
        <v>886050.40626537823</v>
      </c>
      <c r="W5" s="96">
        <v>883774.18781380681</v>
      </c>
      <c r="X5" s="119">
        <f>(W5/V5)*1000</f>
        <v>997.43105083472005</v>
      </c>
      <c r="Y5" s="96"/>
      <c r="Z5" s="150">
        <v>1730072.0226993584</v>
      </c>
      <c r="AA5" s="112">
        <f>(Z5/Z$35)*100</f>
        <v>3.5288867594732558</v>
      </c>
      <c r="AB5" s="92">
        <v>873440.26520493103</v>
      </c>
      <c r="AC5" s="151">
        <v>856631.75749442761</v>
      </c>
      <c r="AD5" s="156">
        <f>((T5-Z5)/T5)*100</f>
        <v>2.2461305777315936</v>
      </c>
      <c r="AH5" s="92"/>
      <c r="AI5" s="92"/>
      <c r="AJ5" s="92"/>
      <c r="AN5" s="96"/>
      <c r="AO5" s="97"/>
    </row>
    <row r="6" spans="3:41" x14ac:dyDescent="0.3">
      <c r="C6" t="s">
        <v>60</v>
      </c>
      <c r="D6" s="144">
        <f t="shared" ref="D6:D35" si="0">F6+G6</f>
        <v>36522.83431687241</v>
      </c>
      <c r="E6" s="112">
        <f t="shared" ref="E6:E35" si="1">(D6/T6)*100</f>
        <v>5.3496389244876497</v>
      </c>
      <c r="F6" s="92">
        <v>18740.705500746222</v>
      </c>
      <c r="G6" s="151">
        <v>17782.128816126184</v>
      </c>
      <c r="H6" s="150">
        <f t="shared" ref="H6:H35" si="2">J6+K6</f>
        <v>77880.76320336861</v>
      </c>
      <c r="I6" s="112">
        <f t="shared" ref="I6:I35" si="3">(H6/T6)*100</f>
        <v>11.407492602759865</v>
      </c>
      <c r="J6" s="92">
        <v>39803.85994086093</v>
      </c>
      <c r="K6" s="151">
        <v>38076.90326250768</v>
      </c>
      <c r="L6" s="92">
        <f t="shared" ref="L6:L35" si="4">N6+O6</f>
        <v>458862.50593676756</v>
      </c>
      <c r="M6" s="112">
        <f t="shared" ref="M6:M35" si="5">(L6/T6)*100</f>
        <v>67.211342401574242</v>
      </c>
      <c r="N6" s="92">
        <v>235547.46912087113</v>
      </c>
      <c r="O6" s="92">
        <v>223315.03681589646</v>
      </c>
      <c r="P6" s="150">
        <f t="shared" ref="P6:P35" si="6">R6+S6</f>
        <v>109449.77386494176</v>
      </c>
      <c r="Q6" s="112">
        <f t="shared" ref="Q6:Q35" si="7">(P6/T6)*100</f>
        <v>16.031526071178245</v>
      </c>
      <c r="R6" s="92">
        <v>52622.665937912119</v>
      </c>
      <c r="S6" s="151">
        <v>56827.107927029647</v>
      </c>
      <c r="T6" s="144">
        <v>682715.87732195039</v>
      </c>
      <c r="U6" s="112">
        <f t="shared" ref="U6:U35" si="8">(T6/T$35)*100</f>
        <v>1.3925588000692497</v>
      </c>
      <c r="V6" s="96">
        <v>346714.70050039043</v>
      </c>
      <c r="W6" s="96">
        <v>336001.17682155996</v>
      </c>
      <c r="X6" s="119">
        <f t="shared" ref="X6:X35" si="9">(W6/V6)*1000</f>
        <v>969.0998862656578</v>
      </c>
      <c r="Y6" s="96"/>
      <c r="Z6" s="150">
        <v>676832.9100896148</v>
      </c>
      <c r="AA6" s="112">
        <f t="shared" ref="AA6:AA35" si="10">(Z6/Z$35)*100</f>
        <v>1.3805591116746518</v>
      </c>
      <c r="AB6" s="92">
        <v>345908.02722558344</v>
      </c>
      <c r="AC6" s="151">
        <v>330924.8828640313</v>
      </c>
      <c r="AD6" s="156">
        <f t="shared" ref="AD6:AD35" si="11">((T6-Z6)/T6)*100</f>
        <v>0.86170066168848491</v>
      </c>
      <c r="AH6" s="92"/>
      <c r="AI6" s="92"/>
      <c r="AJ6" s="92"/>
      <c r="AN6" s="96"/>
      <c r="AO6" s="97"/>
    </row>
    <row r="7" spans="3:41" x14ac:dyDescent="0.3">
      <c r="C7" t="s">
        <v>61</v>
      </c>
      <c r="D7" s="144">
        <f t="shared" si="0"/>
        <v>66025.985994346091</v>
      </c>
      <c r="E7" s="112">
        <f t="shared" si="1"/>
        <v>5.3702164096804443</v>
      </c>
      <c r="F7" s="92">
        <v>33891.551529795375</v>
      </c>
      <c r="G7" s="151">
        <v>32134.434464550723</v>
      </c>
      <c r="H7" s="150">
        <f t="shared" si="2"/>
        <v>142318.52944274133</v>
      </c>
      <c r="I7" s="112">
        <f t="shared" si="3"/>
        <v>11.575462156376515</v>
      </c>
      <c r="J7" s="92">
        <v>73396.209821039272</v>
      </c>
      <c r="K7" s="151">
        <v>68922.31962170206</v>
      </c>
      <c r="L7" s="92">
        <f t="shared" si="4"/>
        <v>814155.48864763207</v>
      </c>
      <c r="M7" s="112">
        <f t="shared" si="5"/>
        <v>66.219248365958691</v>
      </c>
      <c r="N7" s="92">
        <v>408567.42105442251</v>
      </c>
      <c r="O7" s="92">
        <v>405588.06759320962</v>
      </c>
      <c r="P7" s="150">
        <f t="shared" si="6"/>
        <v>206984.63782517659</v>
      </c>
      <c r="Q7" s="112">
        <f t="shared" si="7"/>
        <v>16.835073067984336</v>
      </c>
      <c r="R7" s="92">
        <v>101098.10908252142</v>
      </c>
      <c r="S7" s="151">
        <v>105886.52874265518</v>
      </c>
      <c r="T7" s="144">
        <v>1229484.6419098962</v>
      </c>
      <c r="U7" s="112">
        <f t="shared" si="8"/>
        <v>2.5078216495530863</v>
      </c>
      <c r="V7" s="96">
        <v>616953.29148777854</v>
      </c>
      <c r="W7" s="96">
        <v>612531.35042211763</v>
      </c>
      <c r="X7" s="119">
        <f t="shared" si="9"/>
        <v>992.83261613695674</v>
      </c>
      <c r="Y7" s="96"/>
      <c r="Z7" s="150">
        <v>1215978.5624118638</v>
      </c>
      <c r="AA7" s="112">
        <f t="shared" si="10"/>
        <v>2.4802728397418998</v>
      </c>
      <c r="AB7" s="92">
        <v>614281.0421689488</v>
      </c>
      <c r="AC7" s="151">
        <v>601697.52024291491</v>
      </c>
      <c r="AD7" s="156">
        <f t="shared" si="11"/>
        <v>1.098515511104867</v>
      </c>
      <c r="AH7" s="92"/>
      <c r="AI7" s="92"/>
      <c r="AJ7" s="92"/>
      <c r="AN7" s="96"/>
      <c r="AO7" s="97"/>
    </row>
    <row r="8" spans="3:41" x14ac:dyDescent="0.3">
      <c r="C8" t="s">
        <v>62</v>
      </c>
      <c r="D8" s="144">
        <f t="shared" si="0"/>
        <v>22219.475865051172</v>
      </c>
      <c r="E8" s="112">
        <f t="shared" si="1"/>
        <v>6.1122445176949958</v>
      </c>
      <c r="F8" s="92">
        <v>11535.275835979142</v>
      </c>
      <c r="G8" s="151">
        <v>10684.200029072028</v>
      </c>
      <c r="H8" s="150">
        <f t="shared" si="2"/>
        <v>48290.817430812291</v>
      </c>
      <c r="I8" s="112">
        <f t="shared" si="3"/>
        <v>13.284079511558389</v>
      </c>
      <c r="J8" s="92">
        <v>25029.534558487845</v>
      </c>
      <c r="K8" s="151">
        <v>23261.282872324446</v>
      </c>
      <c r="L8" s="92">
        <f t="shared" si="4"/>
        <v>232731.09217854106</v>
      </c>
      <c r="M8" s="112">
        <f t="shared" si="5"/>
        <v>64.020832485203201</v>
      </c>
      <c r="N8" s="92">
        <v>116147.50678200685</v>
      </c>
      <c r="O8" s="92">
        <v>116583.58539653421</v>
      </c>
      <c r="P8" s="150">
        <f t="shared" si="6"/>
        <v>60282.616236024653</v>
      </c>
      <c r="Q8" s="112">
        <f t="shared" si="7"/>
        <v>16.582843485543421</v>
      </c>
      <c r="R8" s="92">
        <v>29855.17708234091</v>
      </c>
      <c r="S8" s="151">
        <v>30427.439153683739</v>
      </c>
      <c r="T8" s="144">
        <v>363524.00171042921</v>
      </c>
      <c r="U8" s="112">
        <f t="shared" si="8"/>
        <v>0.74149227289688979</v>
      </c>
      <c r="V8" s="96">
        <v>182567.49425881475</v>
      </c>
      <c r="W8" s="96">
        <v>180956.50745161445</v>
      </c>
      <c r="X8" s="119">
        <f t="shared" si="9"/>
        <v>991.17593844544695</v>
      </c>
      <c r="Y8" s="96"/>
      <c r="Z8" s="150">
        <v>365015.80141472956</v>
      </c>
      <c r="AA8" s="112">
        <f t="shared" si="10"/>
        <v>0.74453514750281391</v>
      </c>
      <c r="AB8" s="92">
        <v>184478.78019378614</v>
      </c>
      <c r="AC8" s="151">
        <v>180537.02122094345</v>
      </c>
      <c r="AD8" s="156">
        <f t="shared" si="11"/>
        <v>-0.41037172161431934</v>
      </c>
      <c r="AH8" s="92"/>
      <c r="AI8" s="92"/>
      <c r="AJ8" s="92"/>
      <c r="AN8" s="96"/>
      <c r="AO8" s="97"/>
    </row>
    <row r="9" spans="3:41" x14ac:dyDescent="0.3">
      <c r="C9" t="s">
        <v>63</v>
      </c>
      <c r="D9" s="144">
        <f t="shared" si="0"/>
        <v>146459.07092634586</v>
      </c>
      <c r="E9" s="112">
        <f t="shared" si="1"/>
        <v>6.0723239731032672</v>
      </c>
      <c r="F9" s="92">
        <v>75157.259333367765</v>
      </c>
      <c r="G9" s="151">
        <v>71301.811592978091</v>
      </c>
      <c r="H9" s="150">
        <f t="shared" si="2"/>
        <v>318202.10600251029</v>
      </c>
      <c r="I9" s="112">
        <f t="shared" si="3"/>
        <v>13.19294369648641</v>
      </c>
      <c r="J9" s="92">
        <v>162714.72185939713</v>
      </c>
      <c r="K9" s="151">
        <v>155487.38414311313</v>
      </c>
      <c r="L9" s="92">
        <f t="shared" si="4"/>
        <v>1603432.0820195798</v>
      </c>
      <c r="M9" s="112">
        <f t="shared" si="5"/>
        <v>66.479727129956231</v>
      </c>
      <c r="N9" s="92">
        <v>811432.42189587012</v>
      </c>
      <c r="O9" s="92">
        <v>791999.66012370971</v>
      </c>
      <c r="P9" s="150">
        <f t="shared" si="6"/>
        <v>343818.0879275084</v>
      </c>
      <c r="Q9" s="112">
        <f t="shared" si="7"/>
        <v>14.255005200454102</v>
      </c>
      <c r="R9" s="92">
        <v>163240.0793272726</v>
      </c>
      <c r="S9" s="151">
        <v>180578.00860023577</v>
      </c>
      <c r="T9" s="144">
        <v>2411911.3468759442</v>
      </c>
      <c r="U9" s="112">
        <f t="shared" si="8"/>
        <v>4.9196576242727215</v>
      </c>
      <c r="V9" s="96">
        <v>1212544.4824159076</v>
      </c>
      <c r="W9" s="96">
        <v>1199366.8644600366</v>
      </c>
      <c r="X9" s="119">
        <f t="shared" si="9"/>
        <v>989.13226017934164</v>
      </c>
      <c r="Y9" s="96"/>
      <c r="Z9" s="150">
        <v>2445076.9935859526</v>
      </c>
      <c r="AA9" s="112">
        <f t="shared" si="10"/>
        <v>4.9873067221187792</v>
      </c>
      <c r="AB9" s="92">
        <v>1237182.6610335258</v>
      </c>
      <c r="AC9" s="151">
        <v>1207894.3325524267</v>
      </c>
      <c r="AD9" s="156">
        <f t="shared" si="11"/>
        <v>-1.375077353194037</v>
      </c>
      <c r="AH9" s="92"/>
      <c r="AI9" s="92"/>
      <c r="AJ9" s="92"/>
      <c r="AN9" s="96"/>
      <c r="AO9" s="97"/>
    </row>
    <row r="10" spans="3:41" x14ac:dyDescent="0.3">
      <c r="C10" t="s">
        <v>64</v>
      </c>
      <c r="D10" s="144">
        <f t="shared" si="0"/>
        <v>144453.08921336287</v>
      </c>
      <c r="E10" s="112">
        <f t="shared" si="1"/>
        <v>7.0148993271268969</v>
      </c>
      <c r="F10" s="92">
        <v>73329.38773576016</v>
      </c>
      <c r="G10" s="151">
        <v>71123.701477602706</v>
      </c>
      <c r="H10" s="150">
        <f t="shared" si="2"/>
        <v>286777.78461384133</v>
      </c>
      <c r="I10" s="112">
        <f t="shared" si="3"/>
        <v>13.926440059382827</v>
      </c>
      <c r="J10" s="92">
        <v>146649.87033892813</v>
      </c>
      <c r="K10" s="151">
        <v>140127.91427491323</v>
      </c>
      <c r="L10" s="92">
        <f t="shared" si="4"/>
        <v>1326157.0491170585</v>
      </c>
      <c r="M10" s="112">
        <f t="shared" si="5"/>
        <v>64.400548594534797</v>
      </c>
      <c r="N10" s="92">
        <v>663706.10903345305</v>
      </c>
      <c r="O10" s="92">
        <v>662450.94008360547</v>
      </c>
      <c r="P10" s="150">
        <f t="shared" si="6"/>
        <v>301844.6116518784</v>
      </c>
      <c r="Q10" s="112">
        <f t="shared" si="7"/>
        <v>14.658112018955475</v>
      </c>
      <c r="R10" s="92">
        <v>143817.31962071336</v>
      </c>
      <c r="S10" s="151">
        <v>158027.29203116504</v>
      </c>
      <c r="T10" s="144">
        <v>2059232.5345961412</v>
      </c>
      <c r="U10" s="112">
        <f t="shared" si="8"/>
        <v>4.2002866531965513</v>
      </c>
      <c r="V10" s="96">
        <v>1027502.6867288547</v>
      </c>
      <c r="W10" s="96">
        <v>1031729.8478672865</v>
      </c>
      <c r="X10" s="119">
        <f t="shared" si="9"/>
        <v>1004.11401468145</v>
      </c>
      <c r="Y10" s="96"/>
      <c r="Z10" s="150">
        <v>2104403.0870445343</v>
      </c>
      <c r="AA10" s="112">
        <f t="shared" si="10"/>
        <v>4.2924225656682875</v>
      </c>
      <c r="AB10" s="92">
        <v>1056865.3078515218</v>
      </c>
      <c r="AC10" s="151">
        <v>1047537.7791930127</v>
      </c>
      <c r="AD10" s="156">
        <f t="shared" si="11"/>
        <v>-2.1935624893986039</v>
      </c>
      <c r="AH10" s="92"/>
      <c r="AI10" s="92"/>
      <c r="AJ10" s="92"/>
      <c r="AN10" s="96"/>
      <c r="AO10" s="97"/>
    </row>
    <row r="11" spans="3:41" x14ac:dyDescent="0.3">
      <c r="C11" t="s">
        <v>65</v>
      </c>
      <c r="D11" s="144">
        <f t="shared" si="0"/>
        <v>190659.89005555405</v>
      </c>
      <c r="E11" s="112">
        <f t="shared" si="1"/>
        <v>6.6089767574345082</v>
      </c>
      <c r="F11" s="92">
        <v>96667.491602005612</v>
      </c>
      <c r="G11" s="151">
        <v>93992.39845354842</v>
      </c>
      <c r="H11" s="150">
        <f t="shared" si="2"/>
        <v>427998.96993973333</v>
      </c>
      <c r="I11" s="112">
        <f t="shared" si="3"/>
        <v>14.836026831408573</v>
      </c>
      <c r="J11" s="92">
        <v>219612.36632272246</v>
      </c>
      <c r="K11" s="151">
        <v>208386.60361701087</v>
      </c>
      <c r="L11" s="92">
        <f t="shared" si="4"/>
        <v>1819380.0817634366</v>
      </c>
      <c r="M11" s="112">
        <f t="shared" si="5"/>
        <v>63.066440821980173</v>
      </c>
      <c r="N11" s="92">
        <v>898638.05185073067</v>
      </c>
      <c r="O11" s="92">
        <v>920742.029912706</v>
      </c>
      <c r="P11" s="150">
        <f t="shared" si="6"/>
        <v>446823.52717156394</v>
      </c>
      <c r="Q11" s="112">
        <f t="shared" si="7"/>
        <v>15.488555589176729</v>
      </c>
      <c r="R11" s="92">
        <v>207532.09695778403</v>
      </c>
      <c r="S11" s="151">
        <v>239291.43021377988</v>
      </c>
      <c r="T11" s="144">
        <v>2884862.4689302882</v>
      </c>
      <c r="U11" s="112">
        <f t="shared" si="8"/>
        <v>5.8843521171017183</v>
      </c>
      <c r="V11" s="96">
        <v>1422450.0067332429</v>
      </c>
      <c r="W11" s="96">
        <v>1462412.4621970451</v>
      </c>
      <c r="X11" s="119">
        <f t="shared" si="9"/>
        <v>1028.0941019189693</v>
      </c>
      <c r="Y11" s="96"/>
      <c r="Z11" s="150">
        <v>2943073.3583905748</v>
      </c>
      <c r="AA11" s="112">
        <f t="shared" si="10"/>
        <v>6.0030868485917166</v>
      </c>
      <c r="AB11" s="92">
        <v>1464608.2154392032</v>
      </c>
      <c r="AC11" s="151">
        <v>1478465.1429513716</v>
      </c>
      <c r="AD11" s="156">
        <f t="shared" si="11"/>
        <v>-2.0178046644237875</v>
      </c>
      <c r="AH11" s="92"/>
      <c r="AI11" s="92"/>
      <c r="AJ11" s="92"/>
      <c r="AN11" s="96"/>
      <c r="AO11" s="97"/>
    </row>
    <row r="12" spans="3:41" x14ac:dyDescent="0.3">
      <c r="C12" t="s">
        <v>66</v>
      </c>
      <c r="D12" s="144">
        <f t="shared" si="0"/>
        <v>158538.08363018202</v>
      </c>
      <c r="E12" s="112">
        <f t="shared" si="1"/>
        <v>5.8571082275117057</v>
      </c>
      <c r="F12" s="92">
        <v>81547.980514629729</v>
      </c>
      <c r="G12" s="151">
        <v>76990.103115552294</v>
      </c>
      <c r="H12" s="150">
        <f t="shared" si="2"/>
        <v>354092.56025716971</v>
      </c>
      <c r="I12" s="112">
        <f t="shared" si="3"/>
        <v>13.081768118383632</v>
      </c>
      <c r="J12" s="92">
        <v>182419.88829702153</v>
      </c>
      <c r="K12" s="151">
        <v>171672.67196014817</v>
      </c>
      <c r="L12" s="92">
        <f t="shared" si="4"/>
        <v>1747606.3853506907</v>
      </c>
      <c r="M12" s="112">
        <f t="shared" si="5"/>
        <v>64.564422022197562</v>
      </c>
      <c r="N12" s="92">
        <v>890529.37299136119</v>
      </c>
      <c r="O12" s="92">
        <v>857077.0123593295</v>
      </c>
      <c r="P12" s="150">
        <f t="shared" si="6"/>
        <v>446526.74346305174</v>
      </c>
      <c r="Q12" s="112">
        <f t="shared" si="7"/>
        <v>16.496701631907108</v>
      </c>
      <c r="R12" s="92">
        <v>218095.24638088123</v>
      </c>
      <c r="S12" s="151">
        <v>228431.49708217054</v>
      </c>
      <c r="T12" s="144">
        <v>2706763.7727010939</v>
      </c>
      <c r="U12" s="112">
        <f t="shared" si="8"/>
        <v>5.521078147719769</v>
      </c>
      <c r="V12" s="96">
        <v>1372592.4881838935</v>
      </c>
      <c r="W12" s="96">
        <v>1334171.2845172007</v>
      </c>
      <c r="X12" s="119">
        <f t="shared" si="9"/>
        <v>972.00829525336485</v>
      </c>
      <c r="Y12" s="96"/>
      <c r="Z12" s="150">
        <v>2710273.1849611062</v>
      </c>
      <c r="AA12" s="112">
        <f t="shared" si="10"/>
        <v>5.5282364152921026</v>
      </c>
      <c r="AB12" s="92">
        <v>1382499.2016558247</v>
      </c>
      <c r="AC12" s="151">
        <v>1327773.9833052815</v>
      </c>
      <c r="AD12" s="156">
        <f t="shared" si="11"/>
        <v>-0.12965343689782632</v>
      </c>
      <c r="AH12" s="92"/>
      <c r="AI12" s="92"/>
      <c r="AJ12" s="92"/>
      <c r="AN12" s="96"/>
      <c r="AO12" s="97"/>
    </row>
    <row r="13" spans="3:41" x14ac:dyDescent="0.3">
      <c r="C13" t="s">
        <v>67</v>
      </c>
      <c r="D13" s="144">
        <f t="shared" si="0"/>
        <v>102697.51039486945</v>
      </c>
      <c r="E13" s="112">
        <f t="shared" si="1"/>
        <v>5.8301031495840174</v>
      </c>
      <c r="F13" s="92">
        <v>52815.445920323815</v>
      </c>
      <c r="G13" s="151">
        <v>49882.06447454563</v>
      </c>
      <c r="H13" s="150">
        <f t="shared" si="2"/>
        <v>227177.54936371345</v>
      </c>
      <c r="I13" s="112">
        <f t="shared" si="3"/>
        <v>12.896793125438144</v>
      </c>
      <c r="J13" s="92">
        <v>116785.03308793869</v>
      </c>
      <c r="K13" s="151">
        <v>110392.51627577476</v>
      </c>
      <c r="L13" s="92">
        <f t="shared" si="4"/>
        <v>1131802.3895776696</v>
      </c>
      <c r="M13" s="112">
        <f t="shared" si="5"/>
        <v>64.252041269669746</v>
      </c>
      <c r="N13" s="92">
        <v>565654.10433243169</v>
      </c>
      <c r="O13" s="92">
        <v>566148.28524523776</v>
      </c>
      <c r="P13" s="150">
        <f t="shared" si="6"/>
        <v>299826.72580337606</v>
      </c>
      <c r="Q13" s="112">
        <f t="shared" si="7"/>
        <v>17.021062455308108</v>
      </c>
      <c r="R13" s="92">
        <v>146466.15202555319</v>
      </c>
      <c r="S13" s="151">
        <v>153360.57377782289</v>
      </c>
      <c r="T13" s="144">
        <v>1761504.1751396284</v>
      </c>
      <c r="U13" s="112">
        <f t="shared" si="8"/>
        <v>3.5929999900861347</v>
      </c>
      <c r="V13" s="96">
        <v>881720.73536624736</v>
      </c>
      <c r="W13" s="96">
        <v>879783.43977338111</v>
      </c>
      <c r="X13" s="119">
        <f t="shared" si="9"/>
        <v>997.80282405169748</v>
      </c>
      <c r="Y13" s="96"/>
      <c r="Z13" s="150">
        <v>1759373.7319747077</v>
      </c>
      <c r="AA13" s="112">
        <f t="shared" si="10"/>
        <v>3.5886544526877735</v>
      </c>
      <c r="AB13" s="92">
        <v>886380.60831096757</v>
      </c>
      <c r="AC13" s="151">
        <v>872993.12366374012</v>
      </c>
      <c r="AD13" s="156">
        <f t="shared" si="11"/>
        <v>0.12094454245342873</v>
      </c>
      <c r="AH13" s="92"/>
      <c r="AI13" s="92"/>
      <c r="AJ13" s="92"/>
      <c r="AN13" s="96"/>
      <c r="AO13" s="97"/>
    </row>
    <row r="14" spans="3:41" x14ac:dyDescent="0.3">
      <c r="C14" t="s">
        <v>68</v>
      </c>
      <c r="D14" s="144">
        <f t="shared" si="0"/>
        <v>90278.18126311581</v>
      </c>
      <c r="E14" s="112">
        <f t="shared" si="1"/>
        <v>5.2313600779580858</v>
      </c>
      <c r="F14" s="92">
        <v>46881.09004343157</v>
      </c>
      <c r="G14" s="151">
        <v>43397.09121968424</v>
      </c>
      <c r="H14" s="150">
        <f t="shared" si="2"/>
        <v>202616.77615509403</v>
      </c>
      <c r="I14" s="112">
        <f t="shared" si="3"/>
        <v>11.741057463409357</v>
      </c>
      <c r="J14" s="92">
        <v>104416.60631671622</v>
      </c>
      <c r="K14" s="151">
        <v>98200.169838377813</v>
      </c>
      <c r="L14" s="92">
        <f t="shared" si="4"/>
        <v>1078260.3023107271</v>
      </c>
      <c r="M14" s="112">
        <f t="shared" si="5"/>
        <v>62.482072857840734</v>
      </c>
      <c r="N14" s="92">
        <v>526165.72454805486</v>
      </c>
      <c r="O14" s="92">
        <v>552094.57776267221</v>
      </c>
      <c r="P14" s="150">
        <f t="shared" si="6"/>
        <v>354556.21716778178</v>
      </c>
      <c r="Q14" s="112">
        <f t="shared" si="7"/>
        <v>20.545509600791828</v>
      </c>
      <c r="R14" s="92">
        <v>173978.20856754601</v>
      </c>
      <c r="S14" s="151">
        <v>180578.00860023577</v>
      </c>
      <c r="T14" s="144">
        <v>1725711.4768967186</v>
      </c>
      <c r="U14" s="112">
        <f t="shared" si="8"/>
        <v>3.5199924058595817</v>
      </c>
      <c r="V14" s="96">
        <v>851441.62947574863</v>
      </c>
      <c r="W14" s="96">
        <v>874269.84742097009</v>
      </c>
      <c r="X14" s="119">
        <f t="shared" si="9"/>
        <v>1026.8112541775499</v>
      </c>
      <c r="Y14" s="96"/>
      <c r="Z14" s="150">
        <v>1682352.7652049311</v>
      </c>
      <c r="AA14" s="112">
        <f t="shared" si="10"/>
        <v>3.4315521666155329</v>
      </c>
      <c r="AB14" s="92">
        <v>836892.85584315145</v>
      </c>
      <c r="AC14" s="151">
        <v>845459.90936177957</v>
      </c>
      <c r="AD14" s="156">
        <f t="shared" si="11"/>
        <v>2.5125122172657619</v>
      </c>
      <c r="AH14" s="92"/>
      <c r="AI14" s="92"/>
      <c r="AJ14" s="92"/>
      <c r="AN14" s="96"/>
      <c r="AO14" s="97"/>
    </row>
    <row r="15" spans="3:41" x14ac:dyDescent="0.3">
      <c r="C15" t="s">
        <v>69</v>
      </c>
      <c r="D15" s="144">
        <f t="shared" si="0"/>
        <v>61940.472746426793</v>
      </c>
      <c r="E15" s="112">
        <f t="shared" si="1"/>
        <v>4.4876569446157299</v>
      </c>
      <c r="F15" s="92">
        <v>32080.552593088752</v>
      </c>
      <c r="G15" s="151">
        <v>29859.920153338044</v>
      </c>
      <c r="H15" s="150">
        <f t="shared" si="2"/>
        <v>140983.01621430478</v>
      </c>
      <c r="I15" s="112">
        <f t="shared" si="3"/>
        <v>10.21437815589638</v>
      </c>
      <c r="J15" s="92">
        <v>73352.99008550962</v>
      </c>
      <c r="K15" s="151">
        <v>67630.026128795158</v>
      </c>
      <c r="L15" s="92">
        <f t="shared" si="4"/>
        <v>892825.99611226399</v>
      </c>
      <c r="M15" s="112">
        <f t="shared" si="5"/>
        <v>64.686248007653376</v>
      </c>
      <c r="N15" s="92">
        <v>448695.60825890535</v>
      </c>
      <c r="O15" s="92">
        <v>444130.3878533587</v>
      </c>
      <c r="P15" s="150">
        <f t="shared" si="6"/>
        <v>284491.32902806194</v>
      </c>
      <c r="Q15" s="112">
        <f t="shared" si="7"/>
        <v>20.611716891834515</v>
      </c>
      <c r="R15" s="92">
        <v>140882.88797404565</v>
      </c>
      <c r="S15" s="151">
        <v>143608.44105401626</v>
      </c>
      <c r="T15" s="144">
        <v>1380240.8141010576</v>
      </c>
      <c r="U15" s="112">
        <f t="shared" si="8"/>
        <v>2.815324142497976</v>
      </c>
      <c r="V15" s="96">
        <v>695012.03891154937</v>
      </c>
      <c r="W15" s="96">
        <v>685228.7751895081</v>
      </c>
      <c r="X15" s="119">
        <f t="shared" si="9"/>
        <v>985.92360538478908</v>
      </c>
      <c r="Y15" s="96"/>
      <c r="Z15" s="150">
        <v>1327943.4733657825</v>
      </c>
      <c r="AA15" s="112">
        <f t="shared" si="10"/>
        <v>2.7086514775135284</v>
      </c>
      <c r="AB15" s="92">
        <v>673727.45075740339</v>
      </c>
      <c r="AC15" s="151">
        <v>654216.02260837913</v>
      </c>
      <c r="AD15" s="156">
        <f t="shared" si="11"/>
        <v>3.7890011801553629</v>
      </c>
      <c r="AH15" s="92"/>
      <c r="AI15" s="92"/>
      <c r="AJ15" s="92"/>
      <c r="AN15" s="96"/>
      <c r="AO15" s="97"/>
    </row>
    <row r="16" spans="3:41" x14ac:dyDescent="0.3">
      <c r="C16" t="s">
        <v>70</v>
      </c>
      <c r="D16" s="144">
        <f t="shared" si="0"/>
        <v>153083.32461839687</v>
      </c>
      <c r="E16" s="112">
        <f t="shared" si="1"/>
        <v>4.8716712378586342</v>
      </c>
      <c r="F16" s="92">
        <v>79928.205068134368</v>
      </c>
      <c r="G16" s="151">
        <v>73155.119550262491</v>
      </c>
      <c r="H16" s="150">
        <f t="shared" si="2"/>
        <v>333881.26996197761</v>
      </c>
      <c r="I16" s="112">
        <f t="shared" si="3"/>
        <v>10.625323063685327</v>
      </c>
      <c r="J16" s="92">
        <v>173264.8867744774</v>
      </c>
      <c r="K16" s="151">
        <v>160616.38318750018</v>
      </c>
      <c r="L16" s="92">
        <f t="shared" si="4"/>
        <v>2072124.7833703835</v>
      </c>
      <c r="M16" s="112">
        <f t="shared" si="5"/>
        <v>65.942588675568999</v>
      </c>
      <c r="N16" s="92">
        <v>1062601.1473250971</v>
      </c>
      <c r="O16" s="92">
        <v>1009523.6360452863</v>
      </c>
      <c r="P16" s="150">
        <f t="shared" si="6"/>
        <v>583227.02937900589</v>
      </c>
      <c r="Q16" s="112">
        <f t="shared" si="7"/>
        <v>18.560417022887034</v>
      </c>
      <c r="R16" s="92">
        <v>290721.92682034033</v>
      </c>
      <c r="S16" s="151">
        <v>292505.10255866556</v>
      </c>
      <c r="T16" s="144">
        <v>3142316.4073297642</v>
      </c>
      <c r="U16" s="112">
        <f t="shared" si="8"/>
        <v>6.4094896734992952</v>
      </c>
      <c r="V16" s="96">
        <v>1606516.1659880492</v>
      </c>
      <c r="W16" s="96">
        <v>1535800.2413417147</v>
      </c>
      <c r="X16" s="119">
        <f t="shared" si="9"/>
        <v>955.98181571808686</v>
      </c>
      <c r="Y16" s="96"/>
      <c r="Z16" s="150">
        <v>3065214.3633716963</v>
      </c>
      <c r="AA16" s="112">
        <f t="shared" si="10"/>
        <v>6.252222011527957</v>
      </c>
      <c r="AB16" s="92">
        <v>1577171.9169358141</v>
      </c>
      <c r="AC16" s="151">
        <v>1488042.4464358822</v>
      </c>
      <c r="AD16" s="156">
        <f t="shared" si="11"/>
        <v>2.4536690123954337</v>
      </c>
      <c r="AH16" s="92"/>
      <c r="AI16" s="92"/>
      <c r="AJ16" s="92"/>
      <c r="AN16" s="96"/>
      <c r="AO16" s="97"/>
    </row>
    <row r="17" spans="3:41" x14ac:dyDescent="0.3">
      <c r="C17" t="s">
        <v>71</v>
      </c>
      <c r="D17" s="144">
        <f t="shared" si="0"/>
        <v>121207.60272354094</v>
      </c>
      <c r="E17" s="112">
        <f t="shared" si="1"/>
        <v>5.615262087664064</v>
      </c>
      <c r="F17" s="92">
        <v>62992.07082375155</v>
      </c>
      <c r="G17" s="151">
        <v>58215.531899789392</v>
      </c>
      <c r="H17" s="150">
        <f t="shared" si="2"/>
        <v>258404.27297941654</v>
      </c>
      <c r="I17" s="112">
        <f t="shared" si="3"/>
        <v>11.97125992716213</v>
      </c>
      <c r="J17" s="92">
        <v>133775.6968379113</v>
      </c>
      <c r="K17" s="151">
        <v>124628.57614150523</v>
      </c>
      <c r="L17" s="92">
        <f t="shared" si="4"/>
        <v>1390648.5143184257</v>
      </c>
      <c r="M17" s="112">
        <f t="shared" si="5"/>
        <v>64.425462629845214</v>
      </c>
      <c r="N17" s="92">
        <v>695650.34591737727</v>
      </c>
      <c r="O17" s="92">
        <v>694998.16840104829</v>
      </c>
      <c r="P17" s="150">
        <f t="shared" si="6"/>
        <v>388278.2646536479</v>
      </c>
      <c r="Q17" s="112">
        <f t="shared" si="7"/>
        <v>17.988015355328596</v>
      </c>
      <c r="R17" s="92">
        <v>192361.14568238001</v>
      </c>
      <c r="S17" s="151">
        <v>195917.11897126789</v>
      </c>
      <c r="T17" s="144">
        <v>2158538.6546750311</v>
      </c>
      <c r="U17" s="112">
        <f t="shared" si="8"/>
        <v>4.4028447245849778</v>
      </c>
      <c r="V17" s="96">
        <v>1084779.2592614202</v>
      </c>
      <c r="W17" s="96">
        <v>1073759.3954136109</v>
      </c>
      <c r="X17" s="119">
        <f t="shared" si="9"/>
        <v>989.84137670984569</v>
      </c>
      <c r="Y17" s="96"/>
      <c r="Z17" s="150">
        <v>2134110.6804121365</v>
      </c>
      <c r="AA17" s="112">
        <f t="shared" si="10"/>
        <v>4.353018154473415</v>
      </c>
      <c r="AB17" s="92">
        <v>1079655.0305918208</v>
      </c>
      <c r="AC17" s="151">
        <v>1054455.6498203157</v>
      </c>
      <c r="AD17" s="156">
        <f t="shared" si="11"/>
        <v>1.1316903781170526</v>
      </c>
      <c r="AH17" s="92"/>
      <c r="AI17" s="92"/>
      <c r="AJ17" s="92"/>
      <c r="AN17" s="96"/>
      <c r="AO17" s="97"/>
    </row>
    <row r="18" spans="3:41" x14ac:dyDescent="0.3">
      <c r="C18" t="s">
        <v>72</v>
      </c>
      <c r="D18" s="144">
        <f t="shared" si="0"/>
        <v>78612.001019200776</v>
      </c>
      <c r="E18" s="112">
        <f t="shared" si="1"/>
        <v>5.5650028341253623</v>
      </c>
      <c r="F18" s="92">
        <v>41911.689678067567</v>
      </c>
      <c r="G18" s="151">
        <v>36700.311341133201</v>
      </c>
      <c r="H18" s="150">
        <f t="shared" si="2"/>
        <v>166017.58295657736</v>
      </c>
      <c r="I18" s="112">
        <f t="shared" si="3"/>
        <v>11.752509892762278</v>
      </c>
      <c r="J18" s="92">
        <v>86308.295370766311</v>
      </c>
      <c r="K18" s="151">
        <v>79709.287585811064</v>
      </c>
      <c r="L18" s="92">
        <f t="shared" si="4"/>
        <v>912479.05564046302</v>
      </c>
      <c r="M18" s="112">
        <f t="shared" si="5"/>
        <v>64.595080456976731</v>
      </c>
      <c r="N18" s="92">
        <v>461993.16171700903</v>
      </c>
      <c r="O18" s="92">
        <v>450485.89392345399</v>
      </c>
      <c r="P18" s="150">
        <f t="shared" si="6"/>
        <v>255505.21454284698</v>
      </c>
      <c r="Q18" s="112">
        <f t="shared" si="7"/>
        <v>18.087406816135619</v>
      </c>
      <c r="R18" s="92">
        <v>130116.60106204276</v>
      </c>
      <c r="S18" s="151">
        <v>125388.61348080423</v>
      </c>
      <c r="T18" s="144">
        <v>1412613.8541590883</v>
      </c>
      <c r="U18" s="112">
        <f t="shared" si="8"/>
        <v>2.8813565335925597</v>
      </c>
      <c r="V18" s="96">
        <v>720329.74782788567</v>
      </c>
      <c r="W18" s="96">
        <v>692284.10633120255</v>
      </c>
      <c r="X18" s="119">
        <f t="shared" si="9"/>
        <v>961.06555146271114</v>
      </c>
      <c r="Y18" s="96"/>
      <c r="Z18" s="150">
        <v>1393135.8180184686</v>
      </c>
      <c r="AA18" s="112">
        <f t="shared" si="10"/>
        <v>2.8416265206593816</v>
      </c>
      <c r="AB18" s="92">
        <v>714216.61909202556</v>
      </c>
      <c r="AC18" s="151">
        <v>678919.19892644312</v>
      </c>
      <c r="AD18" s="156">
        <f t="shared" si="11"/>
        <v>1.3788648669465875</v>
      </c>
      <c r="AH18" s="92"/>
      <c r="AI18" s="92"/>
      <c r="AJ18" s="92"/>
      <c r="AN18" s="96"/>
      <c r="AO18" s="97"/>
    </row>
    <row r="19" spans="3:41" x14ac:dyDescent="0.3">
      <c r="C19" t="s">
        <v>73</v>
      </c>
      <c r="D19" s="144">
        <f t="shared" si="0"/>
        <v>85718.152840047842</v>
      </c>
      <c r="E19" s="112">
        <f t="shared" si="1"/>
        <v>5.7713464738509934</v>
      </c>
      <c r="F19" s="92">
        <v>45377.816303157342</v>
      </c>
      <c r="G19" s="151">
        <v>40340.336536890492</v>
      </c>
      <c r="H19" s="150">
        <f t="shared" si="2"/>
        <v>187659.83689944152</v>
      </c>
      <c r="I19" s="112">
        <f t="shared" si="3"/>
        <v>12.635012562555353</v>
      </c>
      <c r="J19" s="92">
        <v>97970.799795004466</v>
      </c>
      <c r="K19" s="151">
        <v>89689.037104437055</v>
      </c>
      <c r="L19" s="92">
        <f t="shared" si="4"/>
        <v>972493.81544841826</v>
      </c>
      <c r="M19" s="112">
        <f t="shared" si="5"/>
        <v>65.477364673307576</v>
      </c>
      <c r="N19" s="92">
        <v>494554.13896035246</v>
      </c>
      <c r="O19" s="92">
        <v>477939.6764880658</v>
      </c>
      <c r="P19" s="150">
        <f t="shared" si="6"/>
        <v>239364.84155341118</v>
      </c>
      <c r="Q19" s="112">
        <f t="shared" si="7"/>
        <v>16.116276290286077</v>
      </c>
      <c r="R19" s="92">
        <v>121508.39856187977</v>
      </c>
      <c r="S19" s="151">
        <v>117856.44299153141</v>
      </c>
      <c r="T19" s="144">
        <v>1485236.646741319</v>
      </c>
      <c r="U19" s="112">
        <f t="shared" si="8"/>
        <v>3.029487714154365</v>
      </c>
      <c r="V19" s="96">
        <v>759411.15362039406</v>
      </c>
      <c r="W19" s="96">
        <v>725825.4931209248</v>
      </c>
      <c r="X19" s="119">
        <f t="shared" si="9"/>
        <v>955.77407529589993</v>
      </c>
      <c r="Y19" s="96"/>
      <c r="Z19" s="150">
        <v>1487745.8388300049</v>
      </c>
      <c r="AA19" s="112">
        <f t="shared" si="10"/>
        <v>3.0346057986170702</v>
      </c>
      <c r="AB19" s="92">
        <v>764496.06855297263</v>
      </c>
      <c r="AC19" s="151">
        <v>723249.77027703228</v>
      </c>
      <c r="AD19" s="156">
        <f t="shared" si="11"/>
        <v>-0.16894224191082402</v>
      </c>
      <c r="AH19" s="92"/>
      <c r="AI19" s="92"/>
      <c r="AJ19" s="92"/>
      <c r="AN19" s="96"/>
      <c r="AO19" s="97"/>
    </row>
    <row r="20" spans="3:41" x14ac:dyDescent="0.3">
      <c r="C20" t="s">
        <v>74</v>
      </c>
      <c r="D20" s="144">
        <f t="shared" si="0"/>
        <v>59596.767893452474</v>
      </c>
      <c r="E20" s="112">
        <f t="shared" si="1"/>
        <v>5.1559870394244252</v>
      </c>
      <c r="F20" s="92">
        <v>31947.178225966614</v>
      </c>
      <c r="G20" s="151">
        <v>27649.589667485863</v>
      </c>
      <c r="H20" s="150">
        <f t="shared" si="2"/>
        <v>133774.21728028232</v>
      </c>
      <c r="I20" s="112">
        <f t="shared" si="3"/>
        <v>11.573415050618202</v>
      </c>
      <c r="J20" s="92">
        <v>70840.93773797038</v>
      </c>
      <c r="K20" s="151">
        <v>62933.279542311931</v>
      </c>
      <c r="L20" s="92">
        <f t="shared" si="4"/>
        <v>724904.3995912465</v>
      </c>
      <c r="M20" s="112">
        <f t="shared" si="5"/>
        <v>62.714771643259496</v>
      </c>
      <c r="N20" s="92">
        <v>373308.81176653365</v>
      </c>
      <c r="O20" s="92">
        <v>351595.58782471286</v>
      </c>
      <c r="P20" s="150">
        <f t="shared" si="6"/>
        <v>237599.66763052286</v>
      </c>
      <c r="Q20" s="112">
        <f t="shared" si="7"/>
        <v>20.555826266697874</v>
      </c>
      <c r="R20" s="92">
        <v>122866.00059169519</v>
      </c>
      <c r="S20" s="151">
        <v>114733.66703882768</v>
      </c>
      <c r="T20" s="144">
        <v>1155875.0523955042</v>
      </c>
      <c r="U20" s="112">
        <f t="shared" si="8"/>
        <v>2.3576776657192187</v>
      </c>
      <c r="V20" s="96">
        <v>598962.92832216586</v>
      </c>
      <c r="W20" s="96">
        <v>556912.12407333835</v>
      </c>
      <c r="X20" s="119">
        <f t="shared" si="9"/>
        <v>929.79397845769597</v>
      </c>
      <c r="Y20" s="96"/>
      <c r="Z20" s="150">
        <v>1124449.4694764134</v>
      </c>
      <c r="AA20" s="112">
        <f t="shared" si="10"/>
        <v>2.2935778351821758</v>
      </c>
      <c r="AB20" s="92">
        <v>586019.68964654498</v>
      </c>
      <c r="AC20" s="151">
        <v>538429.77982986858</v>
      </c>
      <c r="AD20" s="156">
        <f t="shared" si="11"/>
        <v>2.7187698924691301</v>
      </c>
      <c r="AH20" s="92"/>
      <c r="AI20" s="92"/>
      <c r="AJ20" s="92"/>
      <c r="AN20" s="96"/>
      <c r="AO20" s="97"/>
    </row>
    <row r="21" spans="3:41" x14ac:dyDescent="0.3">
      <c r="C21" t="s">
        <v>75</v>
      </c>
      <c r="D21" s="144">
        <f t="shared" si="0"/>
        <v>132210.10877723852</v>
      </c>
      <c r="E21" s="112">
        <f t="shared" si="1"/>
        <v>4.9666891931417867</v>
      </c>
      <c r="F21" s="92">
        <v>68950.530501930916</v>
      </c>
      <c r="G21" s="151">
        <v>63259.578275307591</v>
      </c>
      <c r="H21" s="150">
        <f t="shared" si="2"/>
        <v>293181.32616276934</v>
      </c>
      <c r="I21" s="112">
        <f t="shared" si="3"/>
        <v>11.013836519392495</v>
      </c>
      <c r="J21" s="92">
        <v>153815.24754515989</v>
      </c>
      <c r="K21" s="151">
        <v>139366.07861760946</v>
      </c>
      <c r="L21" s="92">
        <f t="shared" si="4"/>
        <v>1808247.4901411089</v>
      </c>
      <c r="M21" s="112">
        <f t="shared" si="5"/>
        <v>67.929777464609316</v>
      </c>
      <c r="N21" s="92">
        <v>929908.48775143165</v>
      </c>
      <c r="O21" s="92">
        <v>878339.00238967722</v>
      </c>
      <c r="P21" s="150">
        <f t="shared" si="6"/>
        <v>428297.50049187493</v>
      </c>
      <c r="Q21" s="112">
        <f t="shared" si="7"/>
        <v>16.089696822856407</v>
      </c>
      <c r="R21" s="92">
        <v>218517.6114568238</v>
      </c>
      <c r="S21" s="151">
        <v>209779.88903505114</v>
      </c>
      <c r="T21" s="144">
        <v>2661936.4255729914</v>
      </c>
      <c r="U21" s="112">
        <f t="shared" si="8"/>
        <v>5.4296422828152231</v>
      </c>
      <c r="V21" s="96">
        <v>1371191.8772553462</v>
      </c>
      <c r="W21" s="96">
        <v>1290744.5483176454</v>
      </c>
      <c r="X21" s="119">
        <f t="shared" si="9"/>
        <v>941.33036355296338</v>
      </c>
      <c r="Y21" s="96"/>
      <c r="Z21" s="150">
        <v>2629783.2472819909</v>
      </c>
      <c r="AA21" s="112">
        <f t="shared" si="10"/>
        <v>5.3640583512462587</v>
      </c>
      <c r="AB21" s="92">
        <v>1360755.4109994087</v>
      </c>
      <c r="AC21" s="151">
        <v>1269027.836282582</v>
      </c>
      <c r="AD21" s="156">
        <f t="shared" si="11"/>
        <v>1.2078867843013696</v>
      </c>
      <c r="AH21" s="92"/>
      <c r="AI21" s="92"/>
      <c r="AJ21" s="92"/>
      <c r="AN21" s="96"/>
      <c r="AO21" s="97"/>
    </row>
    <row r="22" spans="3:41" x14ac:dyDescent="0.3">
      <c r="C22" t="s">
        <v>76</v>
      </c>
      <c r="D22" s="144">
        <f t="shared" si="0"/>
        <v>97071.065023043018</v>
      </c>
      <c r="E22" s="112">
        <f t="shared" si="1"/>
        <v>4.7661007633421617</v>
      </c>
      <c r="F22" s="92">
        <v>50090.109454791927</v>
      </c>
      <c r="G22" s="151">
        <v>46980.955568251098</v>
      </c>
      <c r="H22" s="150">
        <f t="shared" si="2"/>
        <v>223884.16369841245</v>
      </c>
      <c r="I22" s="112">
        <f t="shared" si="3"/>
        <v>10.992508254132419</v>
      </c>
      <c r="J22" s="92">
        <v>116321.74785269979</v>
      </c>
      <c r="K22" s="151">
        <v>107562.41584571266</v>
      </c>
      <c r="L22" s="92">
        <f t="shared" si="4"/>
        <v>1327167.8741080086</v>
      </c>
      <c r="M22" s="112">
        <f t="shared" si="5"/>
        <v>65.162732235067452</v>
      </c>
      <c r="N22" s="92">
        <v>670582.52122980997</v>
      </c>
      <c r="O22" s="92">
        <v>656585.35287819849</v>
      </c>
      <c r="P22" s="150">
        <f t="shared" si="6"/>
        <v>388574.60548699409</v>
      </c>
      <c r="Q22" s="112">
        <f t="shared" si="7"/>
        <v>19.078658747457979</v>
      </c>
      <c r="R22" s="92">
        <v>191250.92891133099</v>
      </c>
      <c r="S22" s="151">
        <v>197323.67657566309</v>
      </c>
      <c r="T22" s="144">
        <v>2036697.7083164579</v>
      </c>
      <c r="U22" s="112">
        <f t="shared" si="8"/>
        <v>4.1543216014287481</v>
      </c>
      <c r="V22" s="96">
        <v>1028245.3074486327</v>
      </c>
      <c r="W22" s="96">
        <v>1008452.4008678254</v>
      </c>
      <c r="X22" s="119">
        <f t="shared" si="9"/>
        <v>980.7507931838569</v>
      </c>
      <c r="Y22" s="96"/>
      <c r="Z22" s="150">
        <v>1984051.7632943639</v>
      </c>
      <c r="AA22" s="112">
        <f t="shared" si="10"/>
        <v>4.046937876421417</v>
      </c>
      <c r="AB22" s="92">
        <v>1008939.763112405</v>
      </c>
      <c r="AC22" s="151">
        <v>975112.00018195878</v>
      </c>
      <c r="AD22" s="156">
        <f t="shared" si="11"/>
        <v>2.5848678872237452</v>
      </c>
      <c r="AH22" s="92"/>
      <c r="AI22" s="92"/>
      <c r="AJ22" s="92"/>
      <c r="AN22" s="96"/>
      <c r="AO22" s="97"/>
    </row>
    <row r="23" spans="3:41" x14ac:dyDescent="0.3">
      <c r="C23" t="s">
        <v>77</v>
      </c>
      <c r="D23" s="144">
        <f t="shared" si="0"/>
        <v>232031.89323948306</v>
      </c>
      <c r="E23" s="112">
        <f t="shared" si="1"/>
        <v>5.62647228639592</v>
      </c>
      <c r="F23" s="92">
        <v>121565.1114115286</v>
      </c>
      <c r="G23" s="151">
        <v>110466.78182795444</v>
      </c>
      <c r="H23" s="150">
        <f t="shared" si="2"/>
        <v>547082.60295587778</v>
      </c>
      <c r="I23" s="112">
        <f t="shared" si="3"/>
        <v>13.266043132801562</v>
      </c>
      <c r="J23" s="92">
        <v>281041.25884789339</v>
      </c>
      <c r="K23" s="151">
        <v>266041.34410798445</v>
      </c>
      <c r="L23" s="92">
        <f t="shared" si="4"/>
        <v>2631322.7432367923</v>
      </c>
      <c r="M23" s="112">
        <f t="shared" si="5"/>
        <v>63.806161664614805</v>
      </c>
      <c r="N23" s="92">
        <v>1312262.0154188939</v>
      </c>
      <c r="O23" s="92">
        <v>1319060.7278178982</v>
      </c>
      <c r="P23" s="150">
        <f t="shared" si="6"/>
        <v>713494.79877420363</v>
      </c>
      <c r="Q23" s="112">
        <f t="shared" si="7"/>
        <v>17.301322916187718</v>
      </c>
      <c r="R23" s="92">
        <v>343618.1244264819</v>
      </c>
      <c r="S23" s="151">
        <v>369876.67434772174</v>
      </c>
      <c r="T23" s="144">
        <v>4123932.0382063566</v>
      </c>
      <c r="U23" s="112">
        <f t="shared" si="8"/>
        <v>8.4117244690702009</v>
      </c>
      <c r="V23" s="96">
        <v>2058486.5101047978</v>
      </c>
      <c r="W23" s="96">
        <v>2065445.5281015588</v>
      </c>
      <c r="X23" s="119">
        <f t="shared" si="9"/>
        <v>1003.3806478510305</v>
      </c>
      <c r="Y23" s="96"/>
      <c r="Z23" s="150">
        <v>4121851.0826547784</v>
      </c>
      <c r="AA23" s="112">
        <f t="shared" si="10"/>
        <v>8.4074798732402769</v>
      </c>
      <c r="AB23" s="92">
        <v>2074375.4696811172</v>
      </c>
      <c r="AC23" s="151">
        <v>2047475.6129736612</v>
      </c>
      <c r="AD23" s="156">
        <f t="shared" si="11"/>
        <v>5.0460471518421979E-2</v>
      </c>
      <c r="AH23" s="92"/>
      <c r="AI23" s="92"/>
      <c r="AJ23" s="92"/>
      <c r="AN23" s="96"/>
      <c r="AO23" s="97"/>
    </row>
    <row r="24" spans="3:41" x14ac:dyDescent="0.3">
      <c r="C24" t="s">
        <v>78</v>
      </c>
      <c r="D24" s="144">
        <f t="shared" si="0"/>
        <v>47027.595311625453</v>
      </c>
      <c r="E24" s="112">
        <f t="shared" si="1"/>
        <v>7.2352311473627626</v>
      </c>
      <c r="F24" s="92">
        <v>23923.022777479906</v>
      </c>
      <c r="G24" s="151">
        <v>23104.572534145551</v>
      </c>
      <c r="H24" s="150">
        <f t="shared" si="2"/>
        <v>104124.49006594846</v>
      </c>
      <c r="I24" s="112">
        <f t="shared" si="3"/>
        <v>16.019631638324046</v>
      </c>
      <c r="J24" s="92">
        <v>52888.066191732374</v>
      </c>
      <c r="K24" s="151">
        <v>51236.423874216089</v>
      </c>
      <c r="L24" s="92">
        <f t="shared" si="4"/>
        <v>405659.83109955437</v>
      </c>
      <c r="M24" s="112">
        <f t="shared" si="5"/>
        <v>62.411072174890812</v>
      </c>
      <c r="N24" s="92">
        <v>196674.61564008764</v>
      </c>
      <c r="O24" s="92">
        <v>208985.21545946674</v>
      </c>
      <c r="P24" s="150">
        <f t="shared" si="6"/>
        <v>93168.634991044004</v>
      </c>
      <c r="Q24" s="112">
        <f t="shared" si="7"/>
        <v>14.33406503942237</v>
      </c>
      <c r="R24" s="92">
        <v>39680.193253671772</v>
      </c>
      <c r="S24" s="151">
        <v>53488.441737372239</v>
      </c>
      <c r="T24" s="144">
        <v>649980.55146817234</v>
      </c>
      <c r="U24" s="112">
        <f t="shared" si="8"/>
        <v>1.3257874423125939</v>
      </c>
      <c r="V24" s="96">
        <v>313165.89786297164</v>
      </c>
      <c r="W24" s="96">
        <v>336814.65360520064</v>
      </c>
      <c r="X24" s="119">
        <f t="shared" si="9"/>
        <v>1075.5151052640369</v>
      </c>
      <c r="Y24" s="96"/>
      <c r="Z24" s="150">
        <v>674916.11131328763</v>
      </c>
      <c r="AA24" s="112">
        <f t="shared" si="10"/>
        <v>1.3766493520036056</v>
      </c>
      <c r="AB24" s="92">
        <v>329809.81667652278</v>
      </c>
      <c r="AC24" s="151">
        <v>345106.2946367648</v>
      </c>
      <c r="AD24" s="156">
        <f t="shared" si="11"/>
        <v>-3.836354763044985</v>
      </c>
      <c r="AH24" s="92"/>
      <c r="AI24" s="92"/>
      <c r="AJ24" s="92"/>
      <c r="AN24" s="96"/>
      <c r="AO24" s="97"/>
    </row>
    <row r="25" spans="3:41" x14ac:dyDescent="0.3">
      <c r="C25" t="s">
        <v>79</v>
      </c>
      <c r="D25" s="144">
        <f t="shared" si="0"/>
        <v>59909.766241579768</v>
      </c>
      <c r="E25" s="112">
        <f t="shared" si="1"/>
        <v>7.1869926603502856</v>
      </c>
      <c r="F25" s="92">
        <v>30353.916960887094</v>
      </c>
      <c r="G25" s="151">
        <v>29555.849280692673</v>
      </c>
      <c r="H25" s="150">
        <f t="shared" si="2"/>
        <v>133286.54985197258</v>
      </c>
      <c r="I25" s="112">
        <f t="shared" si="3"/>
        <v>15.989537526265593</v>
      </c>
      <c r="J25" s="92">
        <v>67617.655356627409</v>
      </c>
      <c r="K25" s="151">
        <v>65668.894495345172</v>
      </c>
      <c r="L25" s="92">
        <f t="shared" si="4"/>
        <v>507139.65523462044</v>
      </c>
      <c r="M25" s="112">
        <f t="shared" si="5"/>
        <v>60.838310823088278</v>
      </c>
      <c r="N25" s="92">
        <v>245584.06863133798</v>
      </c>
      <c r="O25" s="92">
        <v>261555.58660328243</v>
      </c>
      <c r="P25" s="150">
        <f t="shared" si="6"/>
        <v>133250.05098814666</v>
      </c>
      <c r="Q25" s="112">
        <f t="shared" si="7"/>
        <v>15.985158990295844</v>
      </c>
      <c r="R25" s="92">
        <v>60543.016742968597</v>
      </c>
      <c r="S25" s="151">
        <v>72707.03424517806</v>
      </c>
      <c r="T25" s="144">
        <v>833586.0223163194</v>
      </c>
      <c r="U25" s="112">
        <f t="shared" si="8"/>
        <v>1.7002937672180463</v>
      </c>
      <c r="V25" s="96">
        <v>404098.65769182111</v>
      </c>
      <c r="W25" s="96">
        <v>429487.36462449835</v>
      </c>
      <c r="X25" s="119">
        <f t="shared" si="9"/>
        <v>1062.8279912576188</v>
      </c>
      <c r="Y25" s="96"/>
      <c r="Z25" s="150">
        <v>856301.69790292496</v>
      </c>
      <c r="AA25" s="112">
        <f t="shared" si="10"/>
        <v>1.7466277034694344</v>
      </c>
      <c r="AB25" s="92">
        <v>419657.38980121003</v>
      </c>
      <c r="AC25" s="151">
        <v>436644.30810171494</v>
      </c>
      <c r="AD25" s="156">
        <f t="shared" si="11"/>
        <v>-2.7250547608133577</v>
      </c>
      <c r="AH25" s="92"/>
      <c r="AI25" s="92"/>
      <c r="AJ25" s="92"/>
      <c r="AN25" s="96"/>
      <c r="AO25" s="97"/>
    </row>
    <row r="26" spans="3:41" x14ac:dyDescent="0.3">
      <c r="C26" t="s">
        <v>80</v>
      </c>
      <c r="D26" s="144">
        <f t="shared" si="0"/>
        <v>35277.939627407497</v>
      </c>
      <c r="E26" s="112">
        <f t="shared" si="1"/>
        <v>6.9404880018623949</v>
      </c>
      <c r="F26" s="92">
        <v>17819.136831534823</v>
      </c>
      <c r="G26" s="151">
        <v>17458.802795872671</v>
      </c>
      <c r="H26" s="150">
        <f t="shared" si="2"/>
        <v>73580.253679840505</v>
      </c>
      <c r="I26" s="112">
        <f t="shared" si="3"/>
        <v>14.475983383172805</v>
      </c>
      <c r="J26" s="92">
        <v>37532.928223118703</v>
      </c>
      <c r="K26" s="151">
        <v>36047.32545672181</v>
      </c>
      <c r="L26" s="92">
        <f t="shared" si="4"/>
        <v>312753.3790473449</v>
      </c>
      <c r="M26" s="112">
        <f t="shared" si="5"/>
        <v>61.530267859907227</v>
      </c>
      <c r="N26" s="92">
        <v>155612.81950569683</v>
      </c>
      <c r="O26" s="92">
        <v>157140.55954164808</v>
      </c>
      <c r="P26" s="150">
        <f t="shared" si="6"/>
        <v>86680.346281979786</v>
      </c>
      <c r="Q26" s="112">
        <f t="shared" si="7"/>
        <v>17.053260755057565</v>
      </c>
      <c r="R26" s="92">
        <v>42664.906456999306</v>
      </c>
      <c r="S26" s="151">
        <v>44015.43982498048</v>
      </c>
      <c r="T26" s="144">
        <v>508291.91863657272</v>
      </c>
      <c r="U26" s="112">
        <f t="shared" si="8"/>
        <v>1.0367803178651587</v>
      </c>
      <c r="V26" s="96">
        <v>253629.79101734966</v>
      </c>
      <c r="W26" s="96">
        <v>254662.12761922306</v>
      </c>
      <c r="X26" s="119">
        <f t="shared" si="9"/>
        <v>1004.0702497830896</v>
      </c>
      <c r="Y26" s="96"/>
      <c r="Z26" s="150">
        <v>515273.20031387894</v>
      </c>
      <c r="AA26" s="112">
        <f t="shared" si="10"/>
        <v>1.0510202755963753</v>
      </c>
      <c r="AB26" s="92">
        <v>258390.94243278899</v>
      </c>
      <c r="AC26" s="151">
        <v>256882.25788108993</v>
      </c>
      <c r="AD26" s="156">
        <f t="shared" si="11"/>
        <v>-1.3734787867634424</v>
      </c>
      <c r="AH26" s="92"/>
      <c r="AI26" s="92"/>
      <c r="AJ26" s="92"/>
      <c r="AN26" s="96"/>
      <c r="AO26" s="97"/>
    </row>
    <row r="27" spans="3:41" x14ac:dyDescent="0.3">
      <c r="C27" t="s">
        <v>81</v>
      </c>
      <c r="D27" s="144">
        <f t="shared" si="0"/>
        <v>42965.163906481517</v>
      </c>
      <c r="E27" s="112">
        <f t="shared" si="1"/>
        <v>5.952721454371682</v>
      </c>
      <c r="F27" s="92">
        <v>21984.273693951476</v>
      </c>
      <c r="G27" s="151">
        <v>20980.890212530041</v>
      </c>
      <c r="H27" s="150">
        <f t="shared" si="2"/>
        <v>87316.033426513328</v>
      </c>
      <c r="I27" s="112">
        <f t="shared" si="3"/>
        <v>12.097429131655916</v>
      </c>
      <c r="J27" s="92">
        <v>44477.65730585697</v>
      </c>
      <c r="K27" s="151">
        <v>42838.376120656358</v>
      </c>
      <c r="L27" s="92">
        <f t="shared" si="4"/>
        <v>455623.78934294608</v>
      </c>
      <c r="M27" s="112">
        <f t="shared" si="5"/>
        <v>63.12559430349873</v>
      </c>
      <c r="N27" s="92">
        <v>232247.66538681419</v>
      </c>
      <c r="O27" s="92">
        <v>223376.12395613189</v>
      </c>
      <c r="P27" s="150">
        <f t="shared" si="6"/>
        <v>135868.47838226162</v>
      </c>
      <c r="Q27" s="112">
        <f t="shared" si="7"/>
        <v>18.824255110473676</v>
      </c>
      <c r="R27" s="92">
        <v>66814.132489582655</v>
      </c>
      <c r="S27" s="151">
        <v>69054.345892678961</v>
      </c>
      <c r="T27" s="144">
        <v>721773.46505820251</v>
      </c>
      <c r="U27" s="112">
        <f t="shared" si="8"/>
        <v>1.4722258904626169</v>
      </c>
      <c r="V27" s="96">
        <v>365523.72887620528</v>
      </c>
      <c r="W27" s="96">
        <v>356249.73618199723</v>
      </c>
      <c r="X27" s="119">
        <f t="shared" si="9"/>
        <v>974.62820615580631</v>
      </c>
      <c r="Y27" s="96"/>
      <c r="Z27" s="150">
        <v>712668.90722376388</v>
      </c>
      <c r="AA27" s="112">
        <f t="shared" si="10"/>
        <v>1.4536550141226368</v>
      </c>
      <c r="AB27" s="92">
        <v>362956.2741664013</v>
      </c>
      <c r="AC27" s="151">
        <v>349712.63305736252</v>
      </c>
      <c r="AD27" s="156">
        <f t="shared" si="11"/>
        <v>1.2614148725603891</v>
      </c>
      <c r="AH27" s="92"/>
      <c r="AI27" s="92"/>
      <c r="AJ27" s="92"/>
      <c r="AN27" s="96"/>
      <c r="AO27" s="97"/>
    </row>
    <row r="28" spans="3:41" x14ac:dyDescent="0.3">
      <c r="C28" t="s">
        <v>82</v>
      </c>
      <c r="D28" s="144">
        <f t="shared" si="0"/>
        <v>122947.37526065949</v>
      </c>
      <c r="E28" s="112">
        <f t="shared" si="1"/>
        <v>6.3269859497748868</v>
      </c>
      <c r="F28" s="92">
        <v>62707.64596856336</v>
      </c>
      <c r="G28" s="151">
        <v>60239.729292096126</v>
      </c>
      <c r="H28" s="150">
        <f t="shared" si="2"/>
        <v>243596.66532657715</v>
      </c>
      <c r="I28" s="112">
        <f t="shared" si="3"/>
        <v>12.53571030423152</v>
      </c>
      <c r="J28" s="92">
        <v>124193.80564689009</v>
      </c>
      <c r="K28" s="151">
        <v>119402.85967968704</v>
      </c>
      <c r="L28" s="92">
        <f t="shared" si="4"/>
        <v>1207558.7992355044</v>
      </c>
      <c r="M28" s="112">
        <f t="shared" si="5"/>
        <v>62.14209567379654</v>
      </c>
      <c r="N28" s="92">
        <v>606978.13652515819</v>
      </c>
      <c r="O28" s="92">
        <v>600580.66271034617</v>
      </c>
      <c r="P28" s="150">
        <f t="shared" si="6"/>
        <v>369119.03923064878</v>
      </c>
      <c r="Q28" s="112">
        <f t="shared" si="7"/>
        <v>18.995208072197055</v>
      </c>
      <c r="R28" s="92">
        <v>173330.58211776742</v>
      </c>
      <c r="S28" s="151">
        <v>195788.45711288135</v>
      </c>
      <c r="T28" s="144">
        <v>1943221.8790533897</v>
      </c>
      <c r="U28" s="112">
        <f t="shared" si="8"/>
        <v>3.9636557725561739</v>
      </c>
      <c r="V28" s="96">
        <v>967210.17025837908</v>
      </c>
      <c r="W28" s="96">
        <v>976011.70879501069</v>
      </c>
      <c r="X28" s="119">
        <f t="shared" si="9"/>
        <v>1009.0999234781417</v>
      </c>
      <c r="Y28" s="96"/>
      <c r="Z28" s="150">
        <v>1926006.9929036074</v>
      </c>
      <c r="AA28" s="112">
        <f t="shared" si="10"/>
        <v>3.9285419836486914</v>
      </c>
      <c r="AB28" s="92">
        <v>967802.74132284045</v>
      </c>
      <c r="AC28" s="151">
        <v>958204.25158076698</v>
      </c>
      <c r="AD28" s="156">
        <f t="shared" si="11"/>
        <v>0.88589400599833645</v>
      </c>
      <c r="AH28" s="92"/>
      <c r="AI28" s="92"/>
      <c r="AJ28" s="92"/>
      <c r="AN28" s="96"/>
      <c r="AO28" s="97"/>
    </row>
    <row r="29" spans="3:41" x14ac:dyDescent="0.3">
      <c r="C29" t="s">
        <v>83</v>
      </c>
      <c r="D29" s="144">
        <f t="shared" si="0"/>
        <v>49853.49902434041</v>
      </c>
      <c r="E29" s="112">
        <f t="shared" si="1"/>
        <v>7.0140648104856274</v>
      </c>
      <c r="F29" s="92">
        <v>25178.027364496655</v>
      </c>
      <c r="G29" s="151">
        <v>24675.471659843755</v>
      </c>
      <c r="H29" s="150">
        <f t="shared" si="2"/>
        <v>100227.60281777801</v>
      </c>
      <c r="I29" s="112">
        <f t="shared" si="3"/>
        <v>14.10137534419146</v>
      </c>
      <c r="J29" s="92">
        <v>50637.606980293662</v>
      </c>
      <c r="K29" s="151">
        <v>49589.995837484355</v>
      </c>
      <c r="L29" s="92">
        <f t="shared" si="4"/>
        <v>425061.19672289427</v>
      </c>
      <c r="M29" s="112">
        <f t="shared" si="5"/>
        <v>59.803360658422854</v>
      </c>
      <c r="N29" s="92">
        <v>209781.56233356771</v>
      </c>
      <c r="O29" s="92">
        <v>215279.63438932656</v>
      </c>
      <c r="P29" s="150">
        <f t="shared" si="6"/>
        <v>135622.43445844419</v>
      </c>
      <c r="Q29" s="112">
        <f t="shared" si="7"/>
        <v>19.081199186900051</v>
      </c>
      <c r="R29" s="92">
        <v>61011.640851038232</v>
      </c>
      <c r="S29" s="151">
        <v>74610.793607405969</v>
      </c>
      <c r="T29" s="144">
        <v>710764.73302345688</v>
      </c>
      <c r="U29" s="112">
        <f t="shared" si="8"/>
        <v>1.4497710052287702</v>
      </c>
      <c r="V29" s="96">
        <v>346608.83752939623</v>
      </c>
      <c r="W29" s="96">
        <v>364155.89549406065</v>
      </c>
      <c r="X29" s="119">
        <f t="shared" si="9"/>
        <v>1050.6249583528759</v>
      </c>
      <c r="Y29" s="96"/>
      <c r="Z29" s="150">
        <v>712940.98337351601</v>
      </c>
      <c r="AA29" s="112">
        <f t="shared" si="10"/>
        <v>1.4542099771009587</v>
      </c>
      <c r="AB29" s="92">
        <v>352055.38711731794</v>
      </c>
      <c r="AC29" s="151">
        <v>360885.59625619801</v>
      </c>
      <c r="AD29" s="156">
        <f t="shared" si="11"/>
        <v>-0.30618434609181783</v>
      </c>
      <c r="AH29" s="92"/>
      <c r="AI29" s="92"/>
      <c r="AJ29" s="92"/>
      <c r="AN29" s="96"/>
      <c r="AO29" s="97"/>
    </row>
    <row r="30" spans="3:41" x14ac:dyDescent="0.3">
      <c r="C30" t="s">
        <v>84</v>
      </c>
      <c r="D30" s="144">
        <f t="shared" si="0"/>
        <v>124414.03574394636</v>
      </c>
      <c r="E30" s="112">
        <f t="shared" si="1"/>
        <v>6.8321391860181349</v>
      </c>
      <c r="F30" s="92">
        <v>63303.813320398469</v>
      </c>
      <c r="G30" s="151">
        <v>61110.222423547886</v>
      </c>
      <c r="H30" s="150">
        <f t="shared" si="2"/>
        <v>258507.49306412012</v>
      </c>
      <c r="I30" s="112">
        <f t="shared" si="3"/>
        <v>14.195819327632595</v>
      </c>
      <c r="J30" s="92">
        <v>132024.91842847329</v>
      </c>
      <c r="K30" s="151">
        <v>126482.57463564684</v>
      </c>
      <c r="L30" s="92">
        <f t="shared" si="4"/>
        <v>1123847.7314603792</v>
      </c>
      <c r="M30" s="112">
        <f t="shared" si="5"/>
        <v>61.715577983745675</v>
      </c>
      <c r="N30" s="92">
        <v>558883.31499290431</v>
      </c>
      <c r="O30" s="92">
        <v>564964.41646747489</v>
      </c>
      <c r="P30" s="150">
        <f t="shared" si="6"/>
        <v>314242.1734353308</v>
      </c>
      <c r="Q30" s="112">
        <f t="shared" si="7"/>
        <v>17.256463502603602</v>
      </c>
      <c r="R30" s="92">
        <v>142753.36188179135</v>
      </c>
      <c r="S30" s="151">
        <v>171488.81155353945</v>
      </c>
      <c r="T30" s="144">
        <v>1821011.4337037764</v>
      </c>
      <c r="U30" s="112">
        <f t="shared" si="8"/>
        <v>3.7143789697380503</v>
      </c>
      <c r="V30" s="96">
        <v>896965.40862356743</v>
      </c>
      <c r="W30" s="96">
        <v>924046.02508020913</v>
      </c>
      <c r="X30" s="119">
        <f t="shared" si="9"/>
        <v>1030.1913721491201</v>
      </c>
      <c r="Y30" s="96"/>
      <c r="Z30" s="150">
        <v>1841791.6190920258</v>
      </c>
      <c r="AA30" s="112">
        <f t="shared" si="10"/>
        <v>3.7567650207890222</v>
      </c>
      <c r="AB30" s="92">
        <v>917674.94086339441</v>
      </c>
      <c r="AC30" s="151">
        <v>924116.67822863127</v>
      </c>
      <c r="AD30" s="156">
        <f t="shared" si="11"/>
        <v>-1.1411342621822138</v>
      </c>
      <c r="AH30" s="92"/>
      <c r="AI30" s="92"/>
      <c r="AJ30" s="92"/>
      <c r="AN30" s="96"/>
      <c r="AO30" s="97"/>
    </row>
    <row r="31" spans="3:41" x14ac:dyDescent="0.3">
      <c r="C31" t="s">
        <v>85</v>
      </c>
      <c r="D31" s="144">
        <f t="shared" si="0"/>
        <v>80012.608017604158</v>
      </c>
      <c r="E31" s="112">
        <f t="shared" si="1"/>
        <v>7.3508718504310995</v>
      </c>
      <c r="F31" s="92">
        <v>40660.702391265346</v>
      </c>
      <c r="G31" s="151">
        <v>39351.905626338812</v>
      </c>
      <c r="H31" s="150">
        <f t="shared" si="2"/>
        <v>175938.93250808696</v>
      </c>
      <c r="I31" s="112">
        <f t="shared" si="3"/>
        <v>16.163759417566347</v>
      </c>
      <c r="J31" s="92">
        <v>89769.665418009492</v>
      </c>
      <c r="K31" s="151">
        <v>86169.267090077468</v>
      </c>
      <c r="L31" s="92">
        <f t="shared" si="4"/>
        <v>679261.17565983185</v>
      </c>
      <c r="M31" s="112">
        <f t="shared" si="5"/>
        <v>62.404688198015123</v>
      </c>
      <c r="N31" s="92">
        <v>329142.67488601193</v>
      </c>
      <c r="O31" s="92">
        <v>350118.50077381992</v>
      </c>
      <c r="P31" s="150">
        <f t="shared" si="6"/>
        <v>153265.08135507393</v>
      </c>
      <c r="Q31" s="112">
        <f t="shared" si="7"/>
        <v>14.080680533987428</v>
      </c>
      <c r="R31" s="92">
        <v>60174.955748218643</v>
      </c>
      <c r="S31" s="151">
        <v>93090.12560685529</v>
      </c>
      <c r="T31" s="144">
        <v>1088477.7975405969</v>
      </c>
      <c r="U31" s="112">
        <f t="shared" si="8"/>
        <v>2.2202051922257513</v>
      </c>
      <c r="V31" s="96">
        <v>519747.99844350544</v>
      </c>
      <c r="W31" s="96">
        <v>568729.79909709143</v>
      </c>
      <c r="X31" s="119">
        <f t="shared" si="9"/>
        <v>1094.2414416222327</v>
      </c>
      <c r="Y31" s="96"/>
      <c r="Z31" s="150">
        <v>1130572.297912023</v>
      </c>
      <c r="AA31" s="112">
        <f t="shared" si="10"/>
        <v>2.3060667766328544</v>
      </c>
      <c r="AB31" s="92">
        <v>550253.94168220903</v>
      </c>
      <c r="AC31" s="151">
        <v>580318.35622981389</v>
      </c>
      <c r="AD31" s="156">
        <f t="shared" si="11"/>
        <v>-3.8672814885648701</v>
      </c>
      <c r="AH31" s="92"/>
      <c r="AI31" s="92"/>
      <c r="AJ31" s="92"/>
      <c r="AN31" s="96"/>
      <c r="AO31" s="97"/>
    </row>
    <row r="32" spans="3:41" x14ac:dyDescent="0.3">
      <c r="C32" t="s">
        <v>86</v>
      </c>
      <c r="D32" s="144">
        <f t="shared" si="0"/>
        <v>114851.86463466255</v>
      </c>
      <c r="E32" s="112">
        <f t="shared" si="1"/>
        <v>8.4553908338638273</v>
      </c>
      <c r="F32" s="92">
        <v>57490.779909984798</v>
      </c>
      <c r="G32" s="151">
        <v>57361.084724677756</v>
      </c>
      <c r="H32" s="150">
        <f t="shared" si="2"/>
        <v>226674.87085517094</v>
      </c>
      <c r="I32" s="112">
        <f t="shared" si="3"/>
        <v>16.687797202011101</v>
      </c>
      <c r="J32" s="92">
        <v>114306.34334326447</v>
      </c>
      <c r="K32" s="151">
        <v>112368.52751190646</v>
      </c>
      <c r="L32" s="92">
        <f t="shared" si="4"/>
        <v>828193.35375318117</v>
      </c>
      <c r="M32" s="112">
        <f t="shared" si="5"/>
        <v>60.971569893678158</v>
      </c>
      <c r="N32" s="92">
        <v>410876.55523476697</v>
      </c>
      <c r="O32" s="92">
        <v>417316.79851841426</v>
      </c>
      <c r="P32" s="150">
        <f t="shared" si="6"/>
        <v>188607.00516734651</v>
      </c>
      <c r="Q32" s="112">
        <f t="shared" si="7"/>
        <v>13.885242070446905</v>
      </c>
      <c r="R32" s="92">
        <v>82393.370005064528</v>
      </c>
      <c r="S32" s="151">
        <v>106213.63516228198</v>
      </c>
      <c r="T32" s="144">
        <v>1358327.0944103613</v>
      </c>
      <c r="U32" s="112">
        <f t="shared" si="8"/>
        <v>2.7706259829689577</v>
      </c>
      <c r="V32" s="96">
        <v>665067.04849308077</v>
      </c>
      <c r="W32" s="96">
        <v>693260.04591728048</v>
      </c>
      <c r="X32" s="119">
        <f t="shared" si="9"/>
        <v>1042.3912107630049</v>
      </c>
      <c r="Y32" s="96"/>
      <c r="Z32" s="150">
        <v>1426090.4841240959</v>
      </c>
      <c r="AA32" s="112">
        <f t="shared" si="10"/>
        <v>2.9088452741894013</v>
      </c>
      <c r="AB32" s="92">
        <v>705145.55565664382</v>
      </c>
      <c r="AC32" s="151">
        <v>720944.92846745206</v>
      </c>
      <c r="AD32" s="156">
        <f t="shared" si="11"/>
        <v>-4.9887387207828722</v>
      </c>
      <c r="AH32" s="92"/>
      <c r="AI32" s="92"/>
      <c r="AJ32" s="92"/>
      <c r="AN32" s="96"/>
      <c r="AO32" s="97"/>
    </row>
    <row r="33" spans="3:41" x14ac:dyDescent="0.3">
      <c r="C33" t="s">
        <v>87</v>
      </c>
      <c r="D33" s="144">
        <f t="shared" si="0"/>
        <v>123543.14897986234</v>
      </c>
      <c r="E33" s="112">
        <f t="shared" si="1"/>
        <v>7.9468580672699796</v>
      </c>
      <c r="F33" s="92">
        <v>62477.052936249791</v>
      </c>
      <c r="G33" s="151">
        <v>61066.096043612546</v>
      </c>
      <c r="H33" s="150">
        <f t="shared" si="2"/>
        <v>244865.24739956774</v>
      </c>
      <c r="I33" s="112">
        <f t="shared" si="3"/>
        <v>15.7508480458799</v>
      </c>
      <c r="J33" s="92">
        <v>123328.65269532283</v>
      </c>
      <c r="K33" s="151">
        <v>121536.59470424493</v>
      </c>
      <c r="L33" s="92">
        <f t="shared" si="4"/>
        <v>957245.91931981617</v>
      </c>
      <c r="M33" s="112">
        <f t="shared" si="5"/>
        <v>61.57441767611018</v>
      </c>
      <c r="N33" s="92">
        <v>470327.65495994536</v>
      </c>
      <c r="O33" s="92">
        <v>486918.26435987087</v>
      </c>
      <c r="P33" s="150">
        <f t="shared" si="6"/>
        <v>228961.96074702067</v>
      </c>
      <c r="Q33" s="112">
        <f t="shared" si="7"/>
        <v>14.727876210739929</v>
      </c>
      <c r="R33" s="92">
        <v>97369.228840628391</v>
      </c>
      <c r="S33" s="151">
        <v>131592.73190639229</v>
      </c>
      <c r="T33" s="144">
        <v>1554616.276446267</v>
      </c>
      <c r="U33" s="112">
        <f t="shared" si="8"/>
        <v>3.1710037050672444</v>
      </c>
      <c r="V33" s="96">
        <v>753502.5894321464</v>
      </c>
      <c r="W33" s="96">
        <v>801113.68701412063</v>
      </c>
      <c r="X33" s="119">
        <f t="shared" si="9"/>
        <v>1063.1863755343627</v>
      </c>
      <c r="Y33" s="96"/>
      <c r="Z33" s="150">
        <v>1611476.928194514</v>
      </c>
      <c r="AA33" s="112">
        <f t="shared" si="10"/>
        <v>3.2869843107626853</v>
      </c>
      <c r="AB33" s="92">
        <v>791418.22658417863</v>
      </c>
      <c r="AC33" s="151">
        <v>820058.70161033527</v>
      </c>
      <c r="AD33" s="156">
        <f t="shared" si="11"/>
        <v>-3.657536114199579</v>
      </c>
      <c r="AH33" s="92"/>
      <c r="AI33" s="92"/>
      <c r="AJ33" s="92"/>
      <c r="AN33" s="96"/>
      <c r="AO33" s="97"/>
    </row>
    <row r="34" spans="3:41" x14ac:dyDescent="0.3">
      <c r="C34" t="s">
        <v>88</v>
      </c>
      <c r="D34" s="144">
        <f t="shared" si="0"/>
        <v>60017.277635736304</v>
      </c>
      <c r="E34" s="112">
        <f t="shared" si="1"/>
        <v>8.7869639005588773</v>
      </c>
      <c r="F34" s="92">
        <v>30356.327341015814</v>
      </c>
      <c r="G34" s="151">
        <v>29660.950294720493</v>
      </c>
      <c r="H34" s="150">
        <f t="shared" si="2"/>
        <v>116023.93321206869</v>
      </c>
      <c r="I34" s="112">
        <f t="shared" si="3"/>
        <v>16.986743699421954</v>
      </c>
      <c r="J34" s="92">
        <v>58556.675714884608</v>
      </c>
      <c r="K34" s="151">
        <v>57467.257497184073</v>
      </c>
      <c r="L34" s="92">
        <f t="shared" si="4"/>
        <v>409015.70324731816</v>
      </c>
      <c r="M34" s="112">
        <f t="shared" si="5"/>
        <v>59.882859749304842</v>
      </c>
      <c r="N34" s="92">
        <v>203468.47204030203</v>
      </c>
      <c r="O34" s="92">
        <v>205547.2312070161</v>
      </c>
      <c r="P34" s="150">
        <f t="shared" si="6"/>
        <v>97969.422588916554</v>
      </c>
      <c r="Q34" s="112">
        <f t="shared" si="7"/>
        <v>14.343432650714332</v>
      </c>
      <c r="R34" s="92">
        <v>40625.486518876583</v>
      </c>
      <c r="S34" s="151">
        <v>57343.93607003997</v>
      </c>
      <c r="T34" s="144">
        <v>683026.33668403968</v>
      </c>
      <c r="U34" s="112">
        <f t="shared" si="8"/>
        <v>1.3931920545915222</v>
      </c>
      <c r="V34" s="96">
        <v>333006.96161507902</v>
      </c>
      <c r="W34" s="96">
        <v>350019.37506896065</v>
      </c>
      <c r="X34" s="119">
        <f t="shared" si="9"/>
        <v>1051.0872606727851</v>
      </c>
      <c r="Y34" s="96"/>
      <c r="Z34" s="150">
        <v>716221.50809716596</v>
      </c>
      <c r="AA34" s="112">
        <f t="shared" si="10"/>
        <v>1.4609013749789215</v>
      </c>
      <c r="AB34" s="92">
        <v>353992.25708502025</v>
      </c>
      <c r="AC34" s="151">
        <v>362229.25101214577</v>
      </c>
      <c r="AD34" s="156">
        <f t="shared" si="11"/>
        <v>-4.8600133889832708</v>
      </c>
      <c r="AH34" s="92"/>
      <c r="AI34" s="92"/>
      <c r="AJ34" s="92"/>
      <c r="AN34" s="96"/>
      <c r="AO34" s="97"/>
    </row>
    <row r="35" spans="3:41" ht="15" thickBot="1" x14ac:dyDescent="0.35">
      <c r="C35" t="s">
        <v>89</v>
      </c>
      <c r="D35" s="145">
        <f t="shared" si="0"/>
        <v>2933000</v>
      </c>
      <c r="E35" s="146">
        <f t="shared" si="1"/>
        <v>5.9825398768000655</v>
      </c>
      <c r="F35" s="153">
        <v>1509000</v>
      </c>
      <c r="G35" s="154">
        <v>1424000</v>
      </c>
      <c r="H35" s="152">
        <f t="shared" si="2"/>
        <v>6328000</v>
      </c>
      <c r="I35" s="146">
        <f t="shared" si="3"/>
        <v>12.907436870232122</v>
      </c>
      <c r="J35" s="153">
        <v>3252000</v>
      </c>
      <c r="K35" s="154">
        <v>3076000</v>
      </c>
      <c r="L35" s="92">
        <f t="shared" si="4"/>
        <v>31414000</v>
      </c>
      <c r="M35" s="112">
        <f t="shared" si="5"/>
        <v>64.076204462938037</v>
      </c>
      <c r="N35" s="92">
        <v>15770000</v>
      </c>
      <c r="O35" s="92">
        <v>15644000</v>
      </c>
      <c r="P35" s="152">
        <f t="shared" si="6"/>
        <v>8351000</v>
      </c>
      <c r="Q35" s="146">
        <f t="shared" si="7"/>
        <v>17.03381879002978</v>
      </c>
      <c r="R35" s="153">
        <v>4011000</v>
      </c>
      <c r="S35" s="154">
        <v>4340000</v>
      </c>
      <c r="T35" s="145">
        <v>49026000</v>
      </c>
      <c r="U35" s="146">
        <f t="shared" si="8"/>
        <v>100</v>
      </c>
      <c r="V35" s="128">
        <v>24542000</v>
      </c>
      <c r="W35" s="128">
        <v>24484000</v>
      </c>
      <c r="X35" s="147">
        <f t="shared" si="9"/>
        <v>997.63670442506725</v>
      </c>
      <c r="Y35" s="96"/>
      <c r="Z35" s="152">
        <v>49026000</v>
      </c>
      <c r="AA35" s="146">
        <f t="shared" si="10"/>
        <v>100</v>
      </c>
      <c r="AB35" s="153">
        <v>24542000</v>
      </c>
      <c r="AC35" s="154">
        <v>24483000</v>
      </c>
      <c r="AD35" s="157">
        <f t="shared" si="11"/>
        <v>0</v>
      </c>
      <c r="AH35" s="92"/>
      <c r="AI35" s="92"/>
      <c r="AJ35" s="92"/>
      <c r="AN35" s="96"/>
      <c r="AO35" s="97"/>
    </row>
    <row r="37" spans="3:41" x14ac:dyDescent="0.3">
      <c r="L37" s="90">
        <f>L35/T35*100</f>
        <v>64.076204462938037</v>
      </c>
    </row>
    <row r="39" spans="3:41" ht="15.6" x14ac:dyDescent="0.3">
      <c r="C39" s="95"/>
      <c r="D39" s="93"/>
      <c r="E39" s="110"/>
    </row>
  </sheetData>
  <mergeCells count="8">
    <mergeCell ref="Z2:AC2"/>
    <mergeCell ref="Z3:AC3"/>
    <mergeCell ref="D3:G3"/>
    <mergeCell ref="H3:K3"/>
    <mergeCell ref="L3:O3"/>
    <mergeCell ref="P3:S3"/>
    <mergeCell ref="T3:W3"/>
    <mergeCell ref="T2:X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362B-0BEE-4F37-A3AF-228473CEBA85}">
  <dimension ref="B1:CH34"/>
  <sheetViews>
    <sheetView tabSelected="1" topLeftCell="A2" zoomScale="104" zoomScaleNormal="190" workbookViewId="0">
      <selection activeCell="I9" sqref="I9"/>
    </sheetView>
  </sheetViews>
  <sheetFormatPr defaultRowHeight="14.4" x14ac:dyDescent="0.3"/>
  <cols>
    <col min="2" max="2" width="15.33203125" bestFit="1" customWidth="1"/>
    <col min="3" max="3" width="12.88671875" bestFit="1" customWidth="1"/>
    <col min="4" max="4" width="9.6640625" bestFit="1" customWidth="1"/>
    <col min="5" max="5" width="12" bestFit="1" customWidth="1"/>
    <col min="6" max="6" width="10.77734375" bestFit="1" customWidth="1"/>
    <col min="7" max="7" width="10.77734375" customWidth="1"/>
    <col min="8" max="8" width="15" customWidth="1"/>
    <col min="9" max="9" width="12.88671875" bestFit="1" customWidth="1"/>
    <col min="10" max="10" width="9.77734375" bestFit="1" customWidth="1"/>
    <col min="11" max="11" width="12" bestFit="1" customWidth="1"/>
    <col min="12" max="13" width="9" bestFit="1" customWidth="1"/>
    <col min="14" max="14" width="13.21875" customWidth="1"/>
    <col min="15" max="15" width="12.88671875" bestFit="1" customWidth="1"/>
    <col min="16" max="16" width="9.77734375" bestFit="1" customWidth="1"/>
    <col min="17" max="17" width="12" bestFit="1" customWidth="1"/>
    <col min="18" max="18" width="9.77734375" bestFit="1" customWidth="1"/>
    <col min="19" max="19" width="9.6640625" customWidth="1"/>
    <col min="20" max="20" width="13.109375" customWidth="1"/>
    <col min="21" max="21" width="12.88671875" bestFit="1" customWidth="1"/>
    <col min="22" max="22" width="9.77734375" bestFit="1" customWidth="1"/>
    <col min="23" max="23" width="12" bestFit="1" customWidth="1"/>
    <col min="24" max="24" width="11" bestFit="1" customWidth="1"/>
    <col min="25" max="25" width="9" bestFit="1" customWidth="1"/>
    <col min="26" max="26" width="13" customWidth="1"/>
    <col min="27" max="29" width="9.6640625" bestFit="1" customWidth="1"/>
    <col min="30" max="30" width="9" bestFit="1" customWidth="1"/>
    <col min="32" max="34" width="10.6640625" bestFit="1" customWidth="1"/>
  </cols>
  <sheetData>
    <row r="1" spans="2:86" ht="15" thickBot="1" x14ac:dyDescent="0.35">
      <c r="C1" t="s">
        <v>105</v>
      </c>
      <c r="AF1" s="199" t="s">
        <v>104</v>
      </c>
      <c r="AG1" s="200"/>
      <c r="AH1" s="200"/>
      <c r="AI1" s="201"/>
    </row>
    <row r="2" spans="2:86" ht="15" thickBot="1" x14ac:dyDescent="0.35">
      <c r="B2" s="122"/>
      <c r="C2" s="211" t="s">
        <v>50</v>
      </c>
      <c r="D2" s="212"/>
      <c r="E2" s="212"/>
      <c r="F2" s="212"/>
      <c r="G2" s="212"/>
      <c r="H2" s="213"/>
      <c r="I2" s="211" t="s">
        <v>51</v>
      </c>
      <c r="J2" s="212"/>
      <c r="K2" s="212"/>
      <c r="L2" s="212"/>
      <c r="M2" s="212"/>
      <c r="N2" s="213"/>
      <c r="O2" s="211" t="s">
        <v>52</v>
      </c>
      <c r="P2" s="212"/>
      <c r="Q2" s="212"/>
      <c r="R2" s="212"/>
      <c r="S2" s="212"/>
      <c r="T2" s="213"/>
      <c r="U2" s="199" t="s">
        <v>53</v>
      </c>
      <c r="V2" s="200"/>
      <c r="W2" s="200"/>
      <c r="X2" s="200"/>
      <c r="Y2" s="200"/>
      <c r="Z2" s="201"/>
      <c r="AA2" s="212" t="s">
        <v>35</v>
      </c>
      <c r="AB2" s="212"/>
      <c r="AC2" s="212"/>
      <c r="AD2" s="213"/>
      <c r="AF2" s="199" t="s">
        <v>35</v>
      </c>
      <c r="AG2" s="200"/>
      <c r="AH2" s="200"/>
      <c r="AI2" s="201"/>
    </row>
    <row r="3" spans="2:86" s="126" customFormat="1" ht="43.8" thickBot="1" x14ac:dyDescent="0.35">
      <c r="B3" s="115" t="s">
        <v>0</v>
      </c>
      <c r="C3" s="115" t="s">
        <v>100</v>
      </c>
      <c r="D3" s="113" t="s">
        <v>31</v>
      </c>
      <c r="E3" s="113" t="s">
        <v>101</v>
      </c>
      <c r="F3" s="113" t="s">
        <v>32</v>
      </c>
      <c r="G3" s="113" t="s">
        <v>99</v>
      </c>
      <c r="H3" s="137" t="s">
        <v>102</v>
      </c>
      <c r="I3" s="115" t="s">
        <v>100</v>
      </c>
      <c r="J3" s="113" t="s">
        <v>31</v>
      </c>
      <c r="K3" s="113" t="s">
        <v>101</v>
      </c>
      <c r="L3" s="113" t="s">
        <v>32</v>
      </c>
      <c r="M3" s="113" t="s">
        <v>99</v>
      </c>
      <c r="N3" s="137" t="s">
        <v>102</v>
      </c>
      <c r="O3" s="115" t="s">
        <v>100</v>
      </c>
      <c r="P3" s="113" t="s">
        <v>31</v>
      </c>
      <c r="Q3" s="113" t="s">
        <v>101</v>
      </c>
      <c r="R3" s="113" t="s">
        <v>32</v>
      </c>
      <c r="S3" s="113" t="s">
        <v>99</v>
      </c>
      <c r="T3" s="137" t="s">
        <v>102</v>
      </c>
      <c r="U3" s="115" t="s">
        <v>100</v>
      </c>
      <c r="V3" s="113" t="s">
        <v>31</v>
      </c>
      <c r="W3" s="113" t="s">
        <v>101</v>
      </c>
      <c r="X3" s="113" t="s">
        <v>32</v>
      </c>
      <c r="Y3" s="113" t="s">
        <v>99</v>
      </c>
      <c r="Z3" s="138" t="s">
        <v>102</v>
      </c>
      <c r="AA3" s="115" t="s">
        <v>31</v>
      </c>
      <c r="AB3" s="113" t="s">
        <v>32</v>
      </c>
      <c r="AC3" s="113" t="s">
        <v>56</v>
      </c>
      <c r="AD3" s="137" t="s">
        <v>103</v>
      </c>
      <c r="AF3" s="117" t="s">
        <v>31</v>
      </c>
      <c r="AG3" s="118" t="s">
        <v>32</v>
      </c>
      <c r="AH3" s="118" t="s">
        <v>34</v>
      </c>
      <c r="AI3" s="139" t="s">
        <v>94</v>
      </c>
      <c r="CG3" s="126" t="s">
        <v>99</v>
      </c>
      <c r="CH3" s="126" t="s">
        <v>94</v>
      </c>
    </row>
    <row r="4" spans="2:86" x14ac:dyDescent="0.3">
      <c r="B4" s="124" t="s">
        <v>1</v>
      </c>
      <c r="C4" s="130">
        <v>3.1369018176087136</v>
      </c>
      <c r="D4" s="96">
        <f>(C4*D$34)/100</f>
        <v>50410.012208972024</v>
      </c>
      <c r="E4" s="97">
        <v>3.1965145117871296</v>
      </c>
      <c r="F4" s="96">
        <f>(E4*F$34)/100</f>
        <v>48523.090288928623</v>
      </c>
      <c r="G4" s="96">
        <f>D4+F4</f>
        <v>98933.102497900647</v>
      </c>
      <c r="H4" s="127">
        <f t="shared" ref="H4:H34" si="0">(G4/AC4)*100</f>
        <v>5.6986481337770467</v>
      </c>
      <c r="I4" s="130">
        <v>3.0487722418518239</v>
      </c>
      <c r="J4" s="96">
        <f>(I4*J$34)/100</f>
        <v>104420.44928342497</v>
      </c>
      <c r="K4" s="97">
        <v>3.0717720731238627</v>
      </c>
      <c r="L4" s="96">
        <f>(K4*L$34)/100</f>
        <v>99371.826565556956</v>
      </c>
      <c r="M4" s="96">
        <f>J4+L4</f>
        <v>203792.27584898192</v>
      </c>
      <c r="N4" s="127">
        <f t="shared" ref="N4:N34" si="1">(M4/AC4)*100</f>
        <v>11.738644024325644</v>
      </c>
      <c r="O4" s="130">
        <v>3.7062653133087773</v>
      </c>
      <c r="P4" s="96">
        <f>(O4*P$34)/100</f>
        <v>580549.39867668692</v>
      </c>
      <c r="Q4" s="97">
        <v>3.666321766163394</v>
      </c>
      <c r="R4" s="96">
        <f>(Q4*R$34)/100</f>
        <v>571506.2369095498</v>
      </c>
      <c r="S4" s="96">
        <f>P4+R4</f>
        <v>1152055.6355862366</v>
      </c>
      <c r="T4" s="127">
        <f t="shared" ref="T4:T34" si="2">(S4/AC4)*100</f>
        <v>66.359585740072674</v>
      </c>
      <c r="U4" s="130">
        <v>3.8666278889017032</v>
      </c>
      <c r="V4" s="96">
        <f>(U4*V$34)/100</f>
        <v>135641.30634267174</v>
      </c>
      <c r="W4" s="97">
        <v>3.9218602557158206</v>
      </c>
      <c r="X4" s="96">
        <f>(W4*X$34)/100</f>
        <v>145657.88989728558</v>
      </c>
      <c r="Y4" s="96">
        <f>V4+X4</f>
        <v>281299.19623995735</v>
      </c>
      <c r="Z4" s="127">
        <f t="shared" ref="Z4:Z34" si="3">(Y4/AC4)*100</f>
        <v>16.203122101824636</v>
      </c>
      <c r="AA4" s="96">
        <f t="shared" ref="AA4:AA34" si="4">SUM(D4+J4+P4+V4)</f>
        <v>871021.16651175567</v>
      </c>
      <c r="AB4" s="96">
        <f t="shared" ref="AB4:AB34" si="5">SUM(F4+L4+R4+X4)</f>
        <v>865059.04366132093</v>
      </c>
      <c r="AC4" s="96">
        <f>AA4+AB4</f>
        <v>1736080.2101730765</v>
      </c>
      <c r="AD4" s="127">
        <f>(AC4/AC$34)*100</f>
        <v>3.5974226779939009</v>
      </c>
      <c r="AF4" s="132">
        <v>854826</v>
      </c>
      <c r="AG4" s="133">
        <v>848206</v>
      </c>
      <c r="AH4" s="134">
        <v>1703032</v>
      </c>
      <c r="AI4" s="127">
        <f>(AH4/AH$34)*100</f>
        <v>3.5289417517975923</v>
      </c>
    </row>
    <row r="5" spans="2:86" x14ac:dyDescent="0.3">
      <c r="B5" s="124" t="s">
        <v>2</v>
      </c>
      <c r="C5" s="130">
        <v>1.2419287939526986</v>
      </c>
      <c r="D5" s="96">
        <f t="shared" ref="D5:D33" si="6">(C5*D$34)/100</f>
        <v>19957.795718819867</v>
      </c>
      <c r="E5" s="97">
        <v>1.2487450011324568</v>
      </c>
      <c r="F5" s="96">
        <f t="shared" ref="F5:F33" si="7">(E5*F$34)/100</f>
        <v>18955.949117190692</v>
      </c>
      <c r="G5" s="96">
        <f t="shared" ref="G5:G34" si="8">D5+F5</f>
        <v>38913.744836010563</v>
      </c>
      <c r="H5" s="127">
        <f t="shared" si="0"/>
        <v>5.790615500514285</v>
      </c>
      <c r="I5" s="130">
        <v>1.2239809329908036</v>
      </c>
      <c r="J5" s="96">
        <f t="shared" ref="J5:J33" si="9">(I5*J$34)/100</f>
        <v>41921.346954935019</v>
      </c>
      <c r="K5" s="97">
        <v>1.2378707172466736</v>
      </c>
      <c r="L5" s="96">
        <f t="shared" ref="L5:L33" si="10">(K5*L$34)/100</f>
        <v>40045.117702929892</v>
      </c>
      <c r="M5" s="96">
        <f t="shared" ref="M5:M34" si="11">J5+L5</f>
        <v>81966.464657864912</v>
      </c>
      <c r="N5" s="127">
        <f t="shared" si="1"/>
        <v>12.197137098225589</v>
      </c>
      <c r="O5" s="130">
        <v>1.4936427972154163</v>
      </c>
      <c r="P5" s="96">
        <f t="shared" ref="P5:P33" si="12">(O5*P$34)/100</f>
        <v>233964.2077558228</v>
      </c>
      <c r="Q5" s="97">
        <v>1.4274804194317083</v>
      </c>
      <c r="R5" s="96">
        <f t="shared" ref="R5:R33" si="13">(Q5*R$34)/100</f>
        <v>222515.6477810147</v>
      </c>
      <c r="S5" s="96">
        <f t="shared" ref="S5:S34" si="14">P5+R5</f>
        <v>456479.85553683748</v>
      </c>
      <c r="T5" s="127">
        <f t="shared" si="2"/>
        <v>67.92713829736681</v>
      </c>
      <c r="U5" s="130">
        <v>1.311958761852708</v>
      </c>
      <c r="V5" s="96">
        <f t="shared" ref="V5:V33" si="15">(U5*V$34)/100</f>
        <v>46023.513365792998</v>
      </c>
      <c r="W5" s="97">
        <v>1.3093803669822499</v>
      </c>
      <c r="X5" s="96">
        <f t="shared" ref="X5:X33" si="16">(W5*X$34)/100</f>
        <v>48630.386829720766</v>
      </c>
      <c r="Y5" s="96">
        <f t="shared" ref="Y5:Y34" si="17">V5+X5</f>
        <v>94653.900195513765</v>
      </c>
      <c r="Z5" s="127">
        <f t="shared" si="3"/>
        <v>14.085109103893323</v>
      </c>
      <c r="AA5" s="96">
        <f t="shared" si="4"/>
        <v>341866.86379537068</v>
      </c>
      <c r="AB5" s="96">
        <f t="shared" si="5"/>
        <v>330147.10143085604</v>
      </c>
      <c r="AC5" s="96">
        <f t="shared" ref="AC5:AC34" si="18">AA5+AB5</f>
        <v>672013.96522622672</v>
      </c>
      <c r="AD5" s="127">
        <f t="shared" ref="AD5:AD34" si="19">(AC5/AC$34)*100</f>
        <v>1.3925153136746031</v>
      </c>
      <c r="AF5" s="132">
        <v>338537</v>
      </c>
      <c r="AG5" s="133">
        <v>327670</v>
      </c>
      <c r="AH5" s="134">
        <v>666207</v>
      </c>
      <c r="AI5" s="127">
        <f t="shared" ref="AI5:AI34" si="20">(AH5/AH$34)*100</f>
        <v>1.3804823970658324</v>
      </c>
    </row>
    <row r="6" spans="2:86" x14ac:dyDescent="0.3">
      <c r="B6" s="124" t="s">
        <v>3</v>
      </c>
      <c r="C6" s="130">
        <v>2.2459610026372019</v>
      </c>
      <c r="D6" s="96">
        <f t="shared" si="6"/>
        <v>36092.593312379831</v>
      </c>
      <c r="E6" s="97">
        <v>2.2566316337465393</v>
      </c>
      <c r="F6" s="96">
        <f t="shared" si="7"/>
        <v>34255.668200272463</v>
      </c>
      <c r="G6" s="96">
        <f t="shared" si="8"/>
        <v>70348.261512652301</v>
      </c>
      <c r="H6" s="127">
        <f t="shared" si="0"/>
        <v>5.8181145392448084</v>
      </c>
      <c r="I6" s="130">
        <v>2.2569560215571731</v>
      </c>
      <c r="J6" s="96">
        <f t="shared" si="9"/>
        <v>77300.743738333185</v>
      </c>
      <c r="K6" s="97">
        <v>2.240647581979911</v>
      </c>
      <c r="L6" s="96">
        <f t="shared" si="10"/>
        <v>72484.949277050124</v>
      </c>
      <c r="M6" s="96">
        <f t="shared" si="11"/>
        <v>149785.69301538332</v>
      </c>
      <c r="N6" s="127">
        <f t="shared" si="1"/>
        <v>12.387943917376342</v>
      </c>
      <c r="O6" s="130">
        <v>2.5907889730781388</v>
      </c>
      <c r="P6" s="96">
        <f t="shared" si="12"/>
        <v>405821.18474295968</v>
      </c>
      <c r="Q6" s="97">
        <v>2.592611017599141</v>
      </c>
      <c r="R6" s="96">
        <f t="shared" si="13"/>
        <v>404136.20542335411</v>
      </c>
      <c r="S6" s="96">
        <f t="shared" si="14"/>
        <v>809957.39016631385</v>
      </c>
      <c r="T6" s="127">
        <f t="shared" si="2"/>
        <v>66.987083498117002</v>
      </c>
      <c r="U6" s="130">
        <v>2.5205212935058943</v>
      </c>
      <c r="V6" s="96">
        <f t="shared" si="15"/>
        <v>88419.886976186768</v>
      </c>
      <c r="W6" s="97">
        <v>2.4397817682639444</v>
      </c>
      <c r="X6" s="96">
        <f t="shared" si="16"/>
        <v>90613.494873322896</v>
      </c>
      <c r="Y6" s="96">
        <f t="shared" si="17"/>
        <v>179033.38184950966</v>
      </c>
      <c r="Z6" s="127">
        <f t="shared" si="3"/>
        <v>14.806858045261842</v>
      </c>
      <c r="AA6" s="96">
        <f t="shared" si="4"/>
        <v>607634.40876985947</v>
      </c>
      <c r="AB6" s="96">
        <f t="shared" si="5"/>
        <v>601490.31777399965</v>
      </c>
      <c r="AC6" s="96">
        <f t="shared" si="18"/>
        <v>1209124.7265438591</v>
      </c>
      <c r="AD6" s="127">
        <f t="shared" si="19"/>
        <v>2.5054906370705137</v>
      </c>
      <c r="AF6" s="132">
        <v>601190</v>
      </c>
      <c r="AG6" s="133">
        <v>595779</v>
      </c>
      <c r="AH6" s="134">
        <v>1196969</v>
      </c>
      <c r="AI6" s="127">
        <f t="shared" si="20"/>
        <v>2.4803021198118484</v>
      </c>
    </row>
    <row r="7" spans="2:86" x14ac:dyDescent="0.3">
      <c r="B7" s="124" t="s">
        <v>4</v>
      </c>
      <c r="C7" s="130">
        <v>0.76443179827562246</v>
      </c>
      <c r="D7" s="96">
        <f t="shared" si="6"/>
        <v>12284.418998289253</v>
      </c>
      <c r="E7" s="97">
        <v>0.75029494586179968</v>
      </c>
      <c r="F7" s="96">
        <f t="shared" si="7"/>
        <v>11389.477278182119</v>
      </c>
      <c r="G7" s="96">
        <f t="shared" si="8"/>
        <v>23673.896276471372</v>
      </c>
      <c r="H7" s="127">
        <f t="shared" si="0"/>
        <v>6.6094698786830453</v>
      </c>
      <c r="I7" s="130">
        <v>0.76966588433234462</v>
      </c>
      <c r="J7" s="96">
        <f t="shared" si="9"/>
        <v>26361.0565383828</v>
      </c>
      <c r="K7" s="97">
        <v>0.75621855891821999</v>
      </c>
      <c r="L7" s="96">
        <f t="shared" si="10"/>
        <v>24463.670381004413</v>
      </c>
      <c r="M7" s="96">
        <f t="shared" si="11"/>
        <v>50824.726919387213</v>
      </c>
      <c r="N7" s="127">
        <f t="shared" si="1"/>
        <v>14.189658421366167</v>
      </c>
      <c r="O7" s="130">
        <v>0.73650923767918097</v>
      </c>
      <c r="P7" s="96">
        <f t="shared" si="12"/>
        <v>115366.80699006692</v>
      </c>
      <c r="Q7" s="97">
        <v>0.74522874837978903</v>
      </c>
      <c r="R7" s="96">
        <f t="shared" si="13"/>
        <v>116166.25729744151</v>
      </c>
      <c r="S7" s="96">
        <f t="shared" si="14"/>
        <v>231533.06428750843</v>
      </c>
      <c r="T7" s="127">
        <f t="shared" si="2"/>
        <v>64.641273935477727</v>
      </c>
      <c r="U7" s="130">
        <v>0.74433251264873868</v>
      </c>
      <c r="V7" s="96">
        <f t="shared" si="15"/>
        <v>26111.184543717754</v>
      </c>
      <c r="W7" s="97">
        <v>0.70109306805722904</v>
      </c>
      <c r="X7" s="96">
        <f t="shared" si="16"/>
        <v>26038.596547645488</v>
      </c>
      <c r="Y7" s="96">
        <f t="shared" si="17"/>
        <v>52149.781091363242</v>
      </c>
      <c r="Z7" s="127">
        <f t="shared" si="3"/>
        <v>14.559597764473073</v>
      </c>
      <c r="AA7" s="96">
        <f t="shared" si="4"/>
        <v>180123.46707045671</v>
      </c>
      <c r="AB7" s="96">
        <f t="shared" si="5"/>
        <v>178058.00150427353</v>
      </c>
      <c r="AC7" s="96">
        <f t="shared" si="18"/>
        <v>358181.46857473021</v>
      </c>
      <c r="AD7" s="127">
        <f t="shared" si="19"/>
        <v>0.74220656991386114</v>
      </c>
      <c r="AF7" s="132">
        <v>180548</v>
      </c>
      <c r="AG7" s="133">
        <v>178761</v>
      </c>
      <c r="AH7" s="134">
        <v>359309</v>
      </c>
      <c r="AI7" s="127">
        <f t="shared" si="20"/>
        <v>0.74454298680038955</v>
      </c>
    </row>
    <row r="8" spans="2:86" x14ac:dyDescent="0.3">
      <c r="B8" s="124" t="s">
        <v>5</v>
      </c>
      <c r="C8" s="130">
        <v>4.9806003534372278</v>
      </c>
      <c r="D8" s="96">
        <f t="shared" si="6"/>
        <v>80038.247679736247</v>
      </c>
      <c r="E8" s="97">
        <v>5.0071496905181245</v>
      </c>
      <c r="F8" s="96">
        <f t="shared" si="7"/>
        <v>76008.532302065127</v>
      </c>
      <c r="G8" s="96">
        <f t="shared" si="8"/>
        <v>156046.77998180137</v>
      </c>
      <c r="H8" s="127">
        <f t="shared" si="0"/>
        <v>6.5472740110590326</v>
      </c>
      <c r="I8" s="130">
        <v>5.0035277324537866</v>
      </c>
      <c r="J8" s="96">
        <f t="shared" si="9"/>
        <v>171370.82483654219</v>
      </c>
      <c r="K8" s="97">
        <v>5.0548564415836523</v>
      </c>
      <c r="L8" s="96">
        <f t="shared" si="10"/>
        <v>163524.60588523117</v>
      </c>
      <c r="M8" s="96">
        <f t="shared" si="11"/>
        <v>334895.43072177336</v>
      </c>
      <c r="N8" s="127">
        <f t="shared" si="1"/>
        <v>14.05124892832009</v>
      </c>
      <c r="O8" s="130">
        <v>5.1454180208996201</v>
      </c>
      <c r="P8" s="96">
        <f t="shared" si="12"/>
        <v>805978.27879371645</v>
      </c>
      <c r="Q8" s="97">
        <v>5.0626416525422506</v>
      </c>
      <c r="R8" s="96">
        <f t="shared" si="13"/>
        <v>789164.58079828601</v>
      </c>
      <c r="S8" s="96">
        <f t="shared" si="14"/>
        <v>1595142.8595920024</v>
      </c>
      <c r="T8" s="127">
        <f t="shared" si="2"/>
        <v>66.92760587402762</v>
      </c>
      <c r="U8" s="130">
        <v>4.0698100056662332</v>
      </c>
      <c r="V8" s="96">
        <f t="shared" si="15"/>
        <v>142768.93499877147</v>
      </c>
      <c r="W8" s="97">
        <v>4.1607836083003633</v>
      </c>
      <c r="X8" s="96">
        <f t="shared" si="16"/>
        <v>154531.50321227548</v>
      </c>
      <c r="Y8" s="96">
        <f t="shared" si="17"/>
        <v>297300.43821104697</v>
      </c>
      <c r="Z8" s="127">
        <f t="shared" si="3"/>
        <v>12.473871186593257</v>
      </c>
      <c r="AA8" s="96">
        <f t="shared" si="4"/>
        <v>1200156.2863087663</v>
      </c>
      <c r="AB8" s="96">
        <f t="shared" si="5"/>
        <v>1183229.2221978577</v>
      </c>
      <c r="AC8" s="96">
        <f t="shared" si="18"/>
        <v>2383385.508506624</v>
      </c>
      <c r="AD8" s="127">
        <f t="shared" si="19"/>
        <v>4.9387378696339006</v>
      </c>
      <c r="AF8" s="132">
        <v>1210816</v>
      </c>
      <c r="AG8" s="133">
        <v>1196014</v>
      </c>
      <c r="AH8" s="134">
        <v>2406830</v>
      </c>
      <c r="AI8" s="127">
        <f t="shared" si="20"/>
        <v>4.9873184276508011</v>
      </c>
    </row>
    <row r="9" spans="2:86" x14ac:dyDescent="0.3">
      <c r="B9" s="124" t="s">
        <v>6</v>
      </c>
      <c r="C9" s="130">
        <v>4.8594690348416272</v>
      </c>
      <c r="D9" s="96">
        <f t="shared" si="6"/>
        <v>78091.667389904949</v>
      </c>
      <c r="E9" s="97">
        <v>4.9946419576968193</v>
      </c>
      <c r="F9" s="96">
        <f t="shared" si="7"/>
        <v>75818.664917837712</v>
      </c>
      <c r="G9" s="96">
        <f t="shared" si="8"/>
        <v>153910.33230774268</v>
      </c>
      <c r="H9" s="127">
        <f t="shared" si="0"/>
        <v>7.5591763134426673</v>
      </c>
      <c r="I9" s="130">
        <v>4.5095286082081216</v>
      </c>
      <c r="J9" s="96">
        <f t="shared" si="9"/>
        <v>154451.35483112815</v>
      </c>
      <c r="K9" s="97">
        <v>4.5555238710960086</v>
      </c>
      <c r="L9" s="96">
        <f t="shared" si="10"/>
        <v>147371.1972299559</v>
      </c>
      <c r="M9" s="96">
        <f t="shared" si="11"/>
        <v>301822.55206108408</v>
      </c>
      <c r="N9" s="127">
        <f t="shared" si="1"/>
        <v>14.82376038173356</v>
      </c>
      <c r="O9" s="130">
        <v>4.208662707884927</v>
      </c>
      <c r="P9" s="96">
        <f t="shared" si="12"/>
        <v>659244.92656309495</v>
      </c>
      <c r="Q9" s="97">
        <v>4.2345368197622442</v>
      </c>
      <c r="R9" s="96">
        <f t="shared" si="13"/>
        <v>660079.59946453862</v>
      </c>
      <c r="S9" s="96">
        <f t="shared" si="14"/>
        <v>1319324.5260276336</v>
      </c>
      <c r="T9" s="127">
        <f t="shared" si="2"/>
        <v>64.797512664394105</v>
      </c>
      <c r="U9" s="130">
        <v>3.5855726656871938</v>
      </c>
      <c r="V9" s="96">
        <f t="shared" si="15"/>
        <v>125781.88911230676</v>
      </c>
      <c r="W9" s="97">
        <v>3.6411818440360606</v>
      </c>
      <c r="X9" s="96">
        <f t="shared" si="16"/>
        <v>135233.49368749929</v>
      </c>
      <c r="Y9" s="96">
        <f t="shared" si="17"/>
        <v>261015.38279980604</v>
      </c>
      <c r="Z9" s="127">
        <f t="shared" si="3"/>
        <v>12.819550640429659</v>
      </c>
      <c r="AA9" s="96">
        <f t="shared" si="4"/>
        <v>1017569.8378964348</v>
      </c>
      <c r="AB9" s="96">
        <f t="shared" si="5"/>
        <v>1018502.9552998316</v>
      </c>
      <c r="AC9" s="96">
        <f t="shared" si="18"/>
        <v>2036072.7931962665</v>
      </c>
      <c r="AD9" s="127">
        <f t="shared" si="19"/>
        <v>4.2190530122801277</v>
      </c>
      <c r="AF9" s="132">
        <v>1034342</v>
      </c>
      <c r="AG9" s="133">
        <v>1037234</v>
      </c>
      <c r="AH9" s="134">
        <v>2071576</v>
      </c>
      <c r="AI9" s="127">
        <f t="shared" si="20"/>
        <v>4.2926210655007351</v>
      </c>
    </row>
    <row r="10" spans="2:86" x14ac:dyDescent="0.3">
      <c r="B10" s="124" t="s">
        <v>7</v>
      </c>
      <c r="C10" s="130">
        <v>6.4060630617631285</v>
      </c>
      <c r="D10" s="96">
        <f t="shared" si="6"/>
        <v>102945.43340253347</v>
      </c>
      <c r="E10" s="97">
        <v>6.6005897790413215</v>
      </c>
      <c r="F10" s="96">
        <f t="shared" si="7"/>
        <v>100196.95284584725</v>
      </c>
      <c r="G10" s="96">
        <f t="shared" si="8"/>
        <v>203142.3862483807</v>
      </c>
      <c r="H10" s="127">
        <f t="shared" si="0"/>
        <v>7.1279971492350382</v>
      </c>
      <c r="I10" s="130">
        <v>6.7531477959016746</v>
      </c>
      <c r="J10" s="96">
        <f t="shared" si="9"/>
        <v>231295.31200963235</v>
      </c>
      <c r="K10" s="97">
        <v>6.774596996651848</v>
      </c>
      <c r="L10" s="96">
        <f t="shared" si="10"/>
        <v>219158.21284168729</v>
      </c>
      <c r="M10" s="96">
        <f t="shared" si="11"/>
        <v>450453.52485131961</v>
      </c>
      <c r="N10" s="127">
        <f t="shared" si="1"/>
        <v>15.80581729052459</v>
      </c>
      <c r="O10" s="130">
        <v>5.6984023579627818</v>
      </c>
      <c r="P10" s="96">
        <f t="shared" si="12"/>
        <v>892597.7453512901</v>
      </c>
      <c r="Q10" s="97">
        <v>5.885592111433815</v>
      </c>
      <c r="R10" s="96">
        <f t="shared" si="13"/>
        <v>917446.0983303031</v>
      </c>
      <c r="S10" s="96">
        <f t="shared" si="14"/>
        <v>1810043.8436815932</v>
      </c>
      <c r="T10" s="127">
        <f t="shared" si="2"/>
        <v>63.512039983510192</v>
      </c>
      <c r="U10" s="130">
        <v>5.1740737212112702</v>
      </c>
      <c r="V10" s="96">
        <f t="shared" si="15"/>
        <v>181506.50614009134</v>
      </c>
      <c r="W10" s="97">
        <v>5.5136274242806422</v>
      </c>
      <c r="X10" s="96">
        <f t="shared" si="16"/>
        <v>204776.12253778306</v>
      </c>
      <c r="Y10" s="96">
        <f t="shared" si="17"/>
        <v>386282.6286778744</v>
      </c>
      <c r="Z10" s="127">
        <f t="shared" si="3"/>
        <v>13.554145576730193</v>
      </c>
      <c r="AA10" s="96">
        <f t="shared" si="4"/>
        <v>1408344.9969035471</v>
      </c>
      <c r="AB10" s="96">
        <f t="shared" si="5"/>
        <v>1441577.3865556207</v>
      </c>
      <c r="AC10" s="96">
        <f t="shared" si="18"/>
        <v>2849922.3834591676</v>
      </c>
      <c r="AD10" s="127">
        <f t="shared" si="19"/>
        <v>5.9054733489280089</v>
      </c>
      <c r="AF10" s="132">
        <v>1433395</v>
      </c>
      <c r="AG10" s="133">
        <v>1463923</v>
      </c>
      <c r="AH10" s="134">
        <v>2897318</v>
      </c>
      <c r="AI10" s="127">
        <f t="shared" si="20"/>
        <v>6.0036842868687703</v>
      </c>
    </row>
    <row r="11" spans="2:86" x14ac:dyDescent="0.3">
      <c r="B11" s="124" t="s">
        <v>8</v>
      </c>
      <c r="C11" s="130">
        <v>5.4041073899688357</v>
      </c>
      <c r="D11" s="96">
        <f t="shared" si="6"/>
        <v>86844.00575679919</v>
      </c>
      <c r="E11" s="97">
        <v>5.4066083648562007</v>
      </c>
      <c r="F11" s="96">
        <f t="shared" si="7"/>
        <v>82072.314978517126</v>
      </c>
      <c r="G11" s="96">
        <f t="shared" si="8"/>
        <v>168916.32073531632</v>
      </c>
      <c r="H11" s="127">
        <f t="shared" si="0"/>
        <v>6.3350733111402784</v>
      </c>
      <c r="I11" s="130">
        <v>5.6094676598100106</v>
      </c>
      <c r="J11" s="96">
        <f t="shared" si="9"/>
        <v>192124.26734849287</v>
      </c>
      <c r="K11" s="97">
        <v>5.5810361495496812</v>
      </c>
      <c r="L11" s="96">
        <f t="shared" si="10"/>
        <v>180546.51943793218</v>
      </c>
      <c r="M11" s="96">
        <f t="shared" si="11"/>
        <v>372670.78678642504</v>
      </c>
      <c r="N11" s="127">
        <f t="shared" si="1"/>
        <v>13.976723770296543</v>
      </c>
      <c r="O11" s="130">
        <v>5.6469839758488343</v>
      </c>
      <c r="P11" s="96">
        <f t="shared" si="12"/>
        <v>884543.56997696147</v>
      </c>
      <c r="Q11" s="97">
        <v>5.4786308639691219</v>
      </c>
      <c r="R11" s="96">
        <f t="shared" si="13"/>
        <v>854008.9790755068</v>
      </c>
      <c r="S11" s="96">
        <f t="shared" si="14"/>
        <v>1738552.5490524683</v>
      </c>
      <c r="T11" s="127">
        <f t="shared" si="2"/>
        <v>65.203041396901924</v>
      </c>
      <c r="U11" s="130">
        <v>5.4374282318843488</v>
      </c>
      <c r="V11" s="96">
        <f t="shared" si="15"/>
        <v>190744.98237450293</v>
      </c>
      <c r="W11" s="97">
        <v>5.263398550280427</v>
      </c>
      <c r="X11" s="96">
        <f t="shared" si="16"/>
        <v>195482.62215741508</v>
      </c>
      <c r="Y11" s="96">
        <f t="shared" si="17"/>
        <v>386227.60453191801</v>
      </c>
      <c r="Z11" s="127">
        <f t="shared" si="3"/>
        <v>14.485161521661258</v>
      </c>
      <c r="AA11" s="96">
        <f t="shared" si="4"/>
        <v>1354256.8254567566</v>
      </c>
      <c r="AB11" s="96">
        <f t="shared" si="5"/>
        <v>1312110.4356493712</v>
      </c>
      <c r="AC11" s="96">
        <f t="shared" si="18"/>
        <v>2666367.2611061279</v>
      </c>
      <c r="AD11" s="127">
        <f t="shared" si="19"/>
        <v>5.5251191717734054</v>
      </c>
      <c r="AF11" s="132">
        <v>1353036</v>
      </c>
      <c r="AG11" s="133">
        <v>1314715</v>
      </c>
      <c r="AH11" s="134">
        <v>2667751</v>
      </c>
      <c r="AI11" s="127">
        <f t="shared" si="20"/>
        <v>5.5279864895667128</v>
      </c>
    </row>
    <row r="12" spans="2:86" x14ac:dyDescent="0.3">
      <c r="B12" s="124" t="s">
        <v>9</v>
      </c>
      <c r="C12" s="130">
        <v>3.5000295507172838</v>
      </c>
      <c r="D12" s="96">
        <f t="shared" si="6"/>
        <v>56245.474880026748</v>
      </c>
      <c r="E12" s="97">
        <v>3.5029539659091036</v>
      </c>
      <c r="F12" s="96">
        <f t="shared" si="7"/>
        <v>53174.841202500189</v>
      </c>
      <c r="G12" s="96">
        <f>D12+F12</f>
        <v>109420.31608252693</v>
      </c>
      <c r="H12" s="127">
        <f t="shared" si="0"/>
        <v>6.3109060318946835</v>
      </c>
      <c r="I12" s="130">
        <v>3.5911756792109069</v>
      </c>
      <c r="J12" s="96">
        <f t="shared" si="9"/>
        <v>122997.76701297356</v>
      </c>
      <c r="K12" s="97">
        <v>3.5888334289913773</v>
      </c>
      <c r="L12" s="96">
        <f t="shared" si="10"/>
        <v>116098.76142787107</v>
      </c>
      <c r="M12" s="96">
        <f t="shared" si="11"/>
        <v>239096.52844084462</v>
      </c>
      <c r="N12" s="127">
        <f t="shared" si="1"/>
        <v>13.790087413057291</v>
      </c>
      <c r="O12" s="130">
        <v>3.5868998372379943</v>
      </c>
      <c r="P12" s="96">
        <f t="shared" si="12"/>
        <v>561851.99050495948</v>
      </c>
      <c r="Q12" s="97">
        <v>3.6189483843341712</v>
      </c>
      <c r="R12" s="96">
        <f t="shared" si="13"/>
        <v>564121.67415001057</v>
      </c>
      <c r="S12" s="96">
        <f t="shared" si="14"/>
        <v>1125973.6646549702</v>
      </c>
      <c r="T12" s="127">
        <f t="shared" si="2"/>
        <v>64.941450056369746</v>
      </c>
      <c r="U12" s="130">
        <v>3.651611868001825</v>
      </c>
      <c r="V12" s="96">
        <f t="shared" si="15"/>
        <v>128098.54432950402</v>
      </c>
      <c r="W12" s="97">
        <v>3.5336537736825555</v>
      </c>
      <c r="X12" s="96">
        <f t="shared" si="16"/>
        <v>131239.90115457011</v>
      </c>
      <c r="Y12" s="96">
        <f t="shared" si="17"/>
        <v>259338.44548407412</v>
      </c>
      <c r="Z12" s="127">
        <f t="shared" si="3"/>
        <v>14.957556498678295</v>
      </c>
      <c r="AA12" s="96">
        <f t="shared" si="4"/>
        <v>869193.77672746382</v>
      </c>
      <c r="AB12" s="96">
        <f t="shared" si="5"/>
        <v>864635.17793495185</v>
      </c>
      <c r="AC12" s="96">
        <f t="shared" si="18"/>
        <v>1733828.9546624157</v>
      </c>
      <c r="AD12" s="127">
        <f t="shared" si="19"/>
        <v>3.5927577336091003</v>
      </c>
      <c r="AF12" s="132">
        <v>867491</v>
      </c>
      <c r="AG12" s="133">
        <v>864407</v>
      </c>
      <c r="AH12" s="134">
        <v>1731898</v>
      </c>
      <c r="AI12" s="127">
        <f t="shared" si="20"/>
        <v>3.5887565013779814</v>
      </c>
    </row>
    <row r="13" spans="2:86" x14ac:dyDescent="0.3">
      <c r="B13" s="124" t="s">
        <v>10</v>
      </c>
      <c r="C13" s="130">
        <v>3.1067654104328408</v>
      </c>
      <c r="D13" s="96">
        <f t="shared" si="6"/>
        <v>49925.720145655752</v>
      </c>
      <c r="E13" s="97">
        <v>3.0475485407081631</v>
      </c>
      <c r="F13" s="96">
        <f t="shared" si="7"/>
        <v>46261.786847949916</v>
      </c>
      <c r="G13" s="96">
        <f t="shared" si="8"/>
        <v>96187.506993605668</v>
      </c>
      <c r="H13" s="127">
        <f t="shared" si="0"/>
        <v>5.6953620464335044</v>
      </c>
      <c r="I13" s="130">
        <v>3.2108427526665504</v>
      </c>
      <c r="J13" s="96">
        <f t="shared" si="9"/>
        <v>109971.36427882937</v>
      </c>
      <c r="K13" s="97">
        <v>3.1924632587248967</v>
      </c>
      <c r="L13" s="96">
        <f t="shared" si="10"/>
        <v>103276.18641975042</v>
      </c>
      <c r="M13" s="96">
        <f t="shared" si="11"/>
        <v>213247.55069857978</v>
      </c>
      <c r="N13" s="127">
        <f t="shared" si="1"/>
        <v>12.626608638732414</v>
      </c>
      <c r="O13" s="130">
        <v>3.3364979362590668</v>
      </c>
      <c r="P13" s="96">
        <f t="shared" si="12"/>
        <v>522629.03673562018</v>
      </c>
      <c r="Q13" s="97">
        <v>3.5291138951845573</v>
      </c>
      <c r="R13" s="96">
        <f t="shared" si="13"/>
        <v>550118.27398136875</v>
      </c>
      <c r="S13" s="96">
        <f t="shared" si="14"/>
        <v>1072747.310716989</v>
      </c>
      <c r="T13" s="127">
        <f t="shared" si="2"/>
        <v>63.518480828048773</v>
      </c>
      <c r="U13" s="130">
        <v>4.3375270148976819</v>
      </c>
      <c r="V13" s="96">
        <f t="shared" si="15"/>
        <v>152160.44768261068</v>
      </c>
      <c r="W13" s="97">
        <v>4.1607836083003633</v>
      </c>
      <c r="X13" s="96">
        <f t="shared" si="16"/>
        <v>154531.50321227548</v>
      </c>
      <c r="Y13" s="96">
        <f t="shared" si="17"/>
        <v>306691.95089488616</v>
      </c>
      <c r="Z13" s="127">
        <f t="shared" si="3"/>
        <v>18.159548486785305</v>
      </c>
      <c r="AA13" s="96">
        <f t="shared" si="4"/>
        <v>834686.56884271605</v>
      </c>
      <c r="AB13" s="96">
        <f t="shared" si="5"/>
        <v>854187.75046134461</v>
      </c>
      <c r="AC13" s="96">
        <f t="shared" si="18"/>
        <v>1688874.3193040607</v>
      </c>
      <c r="AD13" s="127">
        <f t="shared" si="19"/>
        <v>3.4996048805488318</v>
      </c>
      <c r="AF13" s="132">
        <v>819058</v>
      </c>
      <c r="AG13" s="133">
        <v>837145</v>
      </c>
      <c r="AH13" s="134">
        <v>1656203</v>
      </c>
      <c r="AI13" s="127">
        <f t="shared" si="20"/>
        <v>3.4319049296504276</v>
      </c>
    </row>
    <row r="14" spans="2:86" x14ac:dyDescent="0.3">
      <c r="B14" s="124" t="s">
        <v>11</v>
      </c>
      <c r="C14" s="130">
        <v>2.1259478192901757</v>
      </c>
      <c r="D14" s="96">
        <f t="shared" si="6"/>
        <v>34163.981455993126</v>
      </c>
      <c r="E14" s="97">
        <v>2.0969045051501434</v>
      </c>
      <c r="F14" s="96">
        <f t="shared" si="7"/>
        <v>31831.010388179173</v>
      </c>
      <c r="G14" s="96">
        <f t="shared" si="8"/>
        <v>65994.991844172298</v>
      </c>
      <c r="H14" s="127">
        <f t="shared" si="0"/>
        <v>4.8932076406684715</v>
      </c>
      <c r="I14" s="130">
        <v>2.2556270013994348</v>
      </c>
      <c r="J14" s="96">
        <f t="shared" si="9"/>
        <v>77255.224797930641</v>
      </c>
      <c r="K14" s="97">
        <v>2.1986354398177879</v>
      </c>
      <c r="L14" s="96">
        <f t="shared" si="10"/>
        <v>71125.856478105445</v>
      </c>
      <c r="M14" s="96">
        <f t="shared" si="11"/>
        <v>148381.0812760361</v>
      </c>
      <c r="N14" s="127">
        <f t="shared" si="1"/>
        <v>11.001735439939511</v>
      </c>
      <c r="O14" s="130">
        <v>2.8452479914959121</v>
      </c>
      <c r="P14" s="96">
        <f t="shared" si="12"/>
        <v>445679.64538791968</v>
      </c>
      <c r="Q14" s="97">
        <v>2.8389822798092474</v>
      </c>
      <c r="R14" s="96">
        <f t="shared" si="13"/>
        <v>442540.55777666549</v>
      </c>
      <c r="S14" s="96">
        <f t="shared" si="14"/>
        <v>888220.20316458517</v>
      </c>
      <c r="T14" s="127">
        <f t="shared" si="2"/>
        <v>65.857207695144922</v>
      </c>
      <c r="U14" s="130">
        <v>3.5124130634267177</v>
      </c>
      <c r="V14" s="96">
        <f t="shared" si="15"/>
        <v>123215.45026500925</v>
      </c>
      <c r="W14" s="97">
        <v>3.3089502547008354</v>
      </c>
      <c r="X14" s="96">
        <f t="shared" si="16"/>
        <v>122894.41245958902</v>
      </c>
      <c r="Y14" s="96">
        <f t="shared" si="17"/>
        <v>246109.86272459826</v>
      </c>
      <c r="Z14" s="127">
        <f t="shared" si="3"/>
        <v>18.247849224247094</v>
      </c>
      <c r="AA14" s="96">
        <f t="shared" si="4"/>
        <v>680314.30190685275</v>
      </c>
      <c r="AB14" s="96">
        <f t="shared" si="5"/>
        <v>668391.83710253914</v>
      </c>
      <c r="AC14" s="96">
        <f t="shared" si="18"/>
        <v>1348706.1390093919</v>
      </c>
      <c r="AD14" s="127">
        <f t="shared" si="19"/>
        <v>2.7947245881791831</v>
      </c>
      <c r="AF14" s="132">
        <v>659370</v>
      </c>
      <c r="AG14" s="133">
        <v>647782</v>
      </c>
      <c r="AH14" s="134">
        <v>1307152</v>
      </c>
      <c r="AI14" s="127">
        <f t="shared" si="20"/>
        <v>2.7086180816013594</v>
      </c>
    </row>
    <row r="15" spans="2:86" x14ac:dyDescent="0.3">
      <c r="B15" s="124" t="s">
        <v>12</v>
      </c>
      <c r="C15" s="130">
        <v>5.2967664061056574</v>
      </c>
      <c r="D15" s="96">
        <f t="shared" si="6"/>
        <v>85119.036146117913</v>
      </c>
      <c r="E15" s="97">
        <v>5.1372977212262985</v>
      </c>
      <c r="F15" s="96">
        <f t="shared" si="7"/>
        <v>77984.179408215205</v>
      </c>
      <c r="G15" s="96">
        <f t="shared" si="8"/>
        <v>163103.21555433312</v>
      </c>
      <c r="H15" s="127">
        <f t="shared" si="0"/>
        <v>5.2947836431051929</v>
      </c>
      <c r="I15" s="130">
        <v>5.3279485478006583</v>
      </c>
      <c r="J15" s="96">
        <f t="shared" si="9"/>
        <v>182482.23776217256</v>
      </c>
      <c r="K15" s="97">
        <v>5.2215989332737376</v>
      </c>
      <c r="L15" s="96">
        <f t="shared" si="10"/>
        <v>168918.72549140544</v>
      </c>
      <c r="M15" s="96">
        <f t="shared" si="11"/>
        <v>351400.963253578</v>
      </c>
      <c r="N15" s="127">
        <f t="shared" si="1"/>
        <v>11.407451815605999</v>
      </c>
      <c r="O15" s="130">
        <v>6.7381176114463983</v>
      </c>
      <c r="P15" s="96">
        <f t="shared" si="12"/>
        <v>1055458.7426569639</v>
      </c>
      <c r="Q15" s="97">
        <v>6.4531042958660594</v>
      </c>
      <c r="R15" s="96">
        <f t="shared" si="13"/>
        <v>1005909.8976396014</v>
      </c>
      <c r="S15" s="96">
        <f t="shared" si="14"/>
        <v>2061368.6402965654</v>
      </c>
      <c r="T15" s="127">
        <f t="shared" si="2"/>
        <v>66.917754637500664</v>
      </c>
      <c r="U15" s="130">
        <v>7.2481158519157391</v>
      </c>
      <c r="V15" s="96">
        <f t="shared" si="15"/>
        <v>254263.90408520412</v>
      </c>
      <c r="W15" s="97">
        <v>6.7397489068816956</v>
      </c>
      <c r="X15" s="96">
        <f t="shared" si="16"/>
        <v>250314.27440158615</v>
      </c>
      <c r="Y15" s="96">
        <f t="shared" si="17"/>
        <v>504578.17848679028</v>
      </c>
      <c r="Z15" s="127">
        <f t="shared" si="3"/>
        <v>16.380009903788149</v>
      </c>
      <c r="AA15" s="96">
        <f t="shared" si="4"/>
        <v>1577323.9206504584</v>
      </c>
      <c r="AB15" s="96">
        <f t="shared" si="5"/>
        <v>1503127.076940808</v>
      </c>
      <c r="AC15" s="96">
        <f t="shared" si="18"/>
        <v>3080450.9975912664</v>
      </c>
      <c r="AD15" s="127">
        <f t="shared" si="19"/>
        <v>6.3831637572085338</v>
      </c>
      <c r="AF15" s="132">
        <v>1543560</v>
      </c>
      <c r="AG15" s="133">
        <v>1473406</v>
      </c>
      <c r="AH15" s="134">
        <v>3016966</v>
      </c>
      <c r="AI15" s="127">
        <f t="shared" si="20"/>
        <v>6.2516131706003026</v>
      </c>
    </row>
    <row r="16" spans="2:86" x14ac:dyDescent="0.3">
      <c r="B16" s="124" t="s">
        <v>13</v>
      </c>
      <c r="C16" s="130">
        <v>4.1744248392148142</v>
      </c>
      <c r="D16" s="96">
        <f t="shared" si="6"/>
        <v>67083.007166182069</v>
      </c>
      <c r="E16" s="97">
        <v>4.0881693749852106</v>
      </c>
      <c r="F16" s="96">
        <f t="shared" si="7"/>
        <v>62058.411112275498</v>
      </c>
      <c r="G16" s="96">
        <f t="shared" si="8"/>
        <v>129141.41827845757</v>
      </c>
      <c r="H16" s="127">
        <f t="shared" si="0"/>
        <v>6.0901820501968569</v>
      </c>
      <c r="I16" s="130">
        <v>4.1136438142039147</v>
      </c>
      <c r="J16" s="96">
        <f t="shared" si="9"/>
        <v>140892.30063648408</v>
      </c>
      <c r="K16" s="97">
        <v>4.0516442178642791</v>
      </c>
      <c r="L16" s="96">
        <f t="shared" si="10"/>
        <v>131070.69044790942</v>
      </c>
      <c r="M16" s="96">
        <f t="shared" si="11"/>
        <v>271962.99108439352</v>
      </c>
      <c r="N16" s="127">
        <f t="shared" si="1"/>
        <v>12.825506709618612</v>
      </c>
      <c r="O16" s="130">
        <v>4.4112260362547708</v>
      </c>
      <c r="P16" s="96">
        <f t="shared" si="12"/>
        <v>690974.44631894736</v>
      </c>
      <c r="Q16" s="97">
        <v>4.4425860930775274</v>
      </c>
      <c r="R16" s="96">
        <f t="shared" si="13"/>
        <v>692510.32018892502</v>
      </c>
      <c r="S16" s="96">
        <f t="shared" si="14"/>
        <v>1383484.7665078724</v>
      </c>
      <c r="T16" s="127">
        <f t="shared" si="2"/>
        <v>65.24377851836357</v>
      </c>
      <c r="U16" s="130">
        <v>4.7958400818344558</v>
      </c>
      <c r="V16" s="96">
        <f t="shared" si="15"/>
        <v>168238.07007075273</v>
      </c>
      <c r="W16" s="97">
        <v>4.5142193311352052</v>
      </c>
      <c r="X16" s="96">
        <f t="shared" si="16"/>
        <v>167658.10595836153</v>
      </c>
      <c r="Y16" s="96">
        <f t="shared" si="17"/>
        <v>335896.17602911429</v>
      </c>
      <c r="Z16" s="127">
        <f t="shared" si="3"/>
        <v>15.840532721820969</v>
      </c>
      <c r="AA16" s="96">
        <f t="shared" si="4"/>
        <v>1067187.8241923661</v>
      </c>
      <c r="AB16" s="96">
        <f t="shared" si="5"/>
        <v>1053297.5277074715</v>
      </c>
      <c r="AC16" s="96">
        <f t="shared" si="18"/>
        <v>2120485.3518998376</v>
      </c>
      <c r="AD16" s="127">
        <f t="shared" si="19"/>
        <v>4.3939686937148252</v>
      </c>
      <c r="AF16" s="132">
        <v>1056646</v>
      </c>
      <c r="AG16" s="133">
        <v>1044084</v>
      </c>
      <c r="AH16" s="134">
        <v>2100730</v>
      </c>
      <c r="AI16" s="127">
        <f t="shared" si="20"/>
        <v>4.3530325949563808</v>
      </c>
    </row>
    <row r="17" spans="2:35" x14ac:dyDescent="0.3">
      <c r="B17" s="124" t="s">
        <v>14</v>
      </c>
      <c r="C17" s="130">
        <v>2.7774479574597457</v>
      </c>
      <c r="D17" s="96">
        <f t="shared" si="6"/>
        <v>44633.588676378109</v>
      </c>
      <c r="E17" s="97">
        <v>2.5772690548548596</v>
      </c>
      <c r="F17" s="96">
        <f t="shared" si="7"/>
        <v>39122.944252696769</v>
      </c>
      <c r="G17" s="96">
        <f t="shared" si="8"/>
        <v>83756.532929074878</v>
      </c>
      <c r="H17" s="127">
        <f t="shared" si="0"/>
        <v>6.0371647262012589</v>
      </c>
      <c r="I17" s="130">
        <v>2.6540066227172914</v>
      </c>
      <c r="J17" s="96">
        <f t="shared" si="9"/>
        <v>90899.726828067229</v>
      </c>
      <c r="K17" s="97">
        <v>2.5913292453124535</v>
      </c>
      <c r="L17" s="96">
        <f t="shared" si="10"/>
        <v>83829.501085857875</v>
      </c>
      <c r="M17" s="96">
        <f t="shared" si="11"/>
        <v>174729.2279139251</v>
      </c>
      <c r="N17" s="127">
        <f t="shared" si="1"/>
        <v>12.594469882028106</v>
      </c>
      <c r="O17" s="130">
        <v>2.9295698269943502</v>
      </c>
      <c r="P17" s="96">
        <f t="shared" si="12"/>
        <v>458887.81770039501</v>
      </c>
      <c r="Q17" s="97">
        <v>2.8796081176390564</v>
      </c>
      <c r="R17" s="96">
        <f t="shared" si="13"/>
        <v>448873.31337757612</v>
      </c>
      <c r="S17" s="96">
        <f t="shared" si="14"/>
        <v>907761.13107797108</v>
      </c>
      <c r="T17" s="127">
        <f t="shared" si="2"/>
        <v>65.431355486039649</v>
      </c>
      <c r="U17" s="130">
        <v>3.2439940429330032</v>
      </c>
      <c r="V17" s="96">
        <f t="shared" si="15"/>
        <v>113799.31102608975</v>
      </c>
      <c r="W17" s="97">
        <v>2.8891385594655352</v>
      </c>
      <c r="X17" s="96">
        <f t="shared" si="16"/>
        <v>107302.60609854998</v>
      </c>
      <c r="Y17" s="96">
        <f t="shared" si="17"/>
        <v>221101.91712463973</v>
      </c>
      <c r="Z17" s="127">
        <f t="shared" si="3"/>
        <v>15.937009905730976</v>
      </c>
      <c r="AA17" s="96">
        <f t="shared" si="4"/>
        <v>708220.44423093006</v>
      </c>
      <c r="AB17" s="96">
        <f t="shared" si="5"/>
        <v>679128.36481468077</v>
      </c>
      <c r="AC17" s="96">
        <f t="shared" si="18"/>
        <v>1387348.8090456109</v>
      </c>
      <c r="AD17" s="127">
        <f t="shared" si="19"/>
        <v>2.8747980874978989</v>
      </c>
      <c r="AF17" s="132">
        <v>698996</v>
      </c>
      <c r="AG17" s="133">
        <v>672242</v>
      </c>
      <c r="AH17" s="134">
        <v>1371238</v>
      </c>
      <c r="AI17" s="127">
        <f t="shared" si="20"/>
        <v>2.8414140367599825</v>
      </c>
    </row>
    <row r="18" spans="2:35" x14ac:dyDescent="0.3">
      <c r="B18" s="124" t="s">
        <v>98</v>
      </c>
      <c r="C18" s="130">
        <v>3.0071448842383925</v>
      </c>
      <c r="D18" s="96">
        <f t="shared" si="6"/>
        <v>48324.818289710973</v>
      </c>
      <c r="E18" s="97">
        <v>2.8328888017479277</v>
      </c>
      <c r="F18" s="96">
        <f t="shared" si="7"/>
        <v>43003.252010533542</v>
      </c>
      <c r="G18" s="96">
        <f t="shared" si="8"/>
        <v>91328.070300244523</v>
      </c>
      <c r="H18" s="127">
        <f t="shared" si="0"/>
        <v>6.2407197151968647</v>
      </c>
      <c r="I18" s="130">
        <v>3.0126322200185873</v>
      </c>
      <c r="J18" s="96">
        <f t="shared" si="9"/>
        <v>103182.65353563661</v>
      </c>
      <c r="K18" s="97">
        <v>2.9157684364251319</v>
      </c>
      <c r="L18" s="96">
        <f t="shared" si="10"/>
        <v>94325.108918353028</v>
      </c>
      <c r="M18" s="96">
        <f t="shared" si="11"/>
        <v>197507.76245398965</v>
      </c>
      <c r="N18" s="127">
        <f t="shared" si="1"/>
        <v>13.496295093051277</v>
      </c>
      <c r="O18" s="130">
        <v>3.1360440010168196</v>
      </c>
      <c r="P18" s="96">
        <f t="shared" si="12"/>
        <v>491229.93231927464</v>
      </c>
      <c r="Q18" s="97">
        <v>3.0550989292256827</v>
      </c>
      <c r="R18" s="96">
        <f t="shared" si="13"/>
        <v>476228.82108769944</v>
      </c>
      <c r="S18" s="96">
        <f t="shared" si="14"/>
        <v>967458.75340697402</v>
      </c>
      <c r="T18" s="127">
        <f t="shared" si="2"/>
        <v>66.109345091577168</v>
      </c>
      <c r="U18" s="130">
        <v>3.0293791713258482</v>
      </c>
      <c r="V18" s="96">
        <f t="shared" si="15"/>
        <v>106270.62133011075</v>
      </c>
      <c r="W18" s="97">
        <v>2.7155862440445029</v>
      </c>
      <c r="X18" s="96">
        <f t="shared" si="16"/>
        <v>100856.87310381285</v>
      </c>
      <c r="Y18" s="96">
        <f t="shared" si="17"/>
        <v>207127.4944339236</v>
      </c>
      <c r="Z18" s="127">
        <f t="shared" si="3"/>
        <v>14.153640100174711</v>
      </c>
      <c r="AA18" s="96">
        <f t="shared" si="4"/>
        <v>749008.02547473286</v>
      </c>
      <c r="AB18" s="96">
        <f t="shared" si="5"/>
        <v>714414.05512039876</v>
      </c>
      <c r="AC18" s="96">
        <f t="shared" si="18"/>
        <v>1463422.0805951315</v>
      </c>
      <c r="AD18" s="127">
        <f t="shared" si="19"/>
        <v>3.0324334955037018</v>
      </c>
      <c r="AF18" s="132">
        <v>748204</v>
      </c>
      <c r="AG18" s="133">
        <v>716136</v>
      </c>
      <c r="AH18" s="134">
        <v>1464340</v>
      </c>
      <c r="AI18" s="127">
        <f t="shared" si="20"/>
        <v>3.0343355643506911</v>
      </c>
    </row>
    <row r="19" spans="2:35" x14ac:dyDescent="0.3">
      <c r="B19" s="124" t="s">
        <v>16</v>
      </c>
      <c r="C19" s="130">
        <v>2.1171092263728704</v>
      </c>
      <c r="D19" s="96">
        <f t="shared" si="6"/>
        <v>34021.945267812029</v>
      </c>
      <c r="E19" s="97">
        <v>1.9416846676605242</v>
      </c>
      <c r="F19" s="96">
        <f t="shared" si="7"/>
        <v>29474.773255086755</v>
      </c>
      <c r="G19" s="96">
        <f t="shared" si="8"/>
        <v>63496.71852289878</v>
      </c>
      <c r="H19" s="127">
        <f t="shared" si="0"/>
        <v>5.6138546297898753</v>
      </c>
      <c r="I19" s="130">
        <v>2.1783806192487818</v>
      </c>
      <c r="J19" s="96">
        <f t="shared" si="9"/>
        <v>74609.53620927078</v>
      </c>
      <c r="K19" s="97">
        <v>2.0459453687357585</v>
      </c>
      <c r="L19" s="96">
        <f t="shared" si="10"/>
        <v>66186.332678601786</v>
      </c>
      <c r="M19" s="96">
        <f t="shared" si="11"/>
        <v>140795.86888787255</v>
      </c>
      <c r="N19" s="127">
        <f t="shared" si="1"/>
        <v>12.448006114306953</v>
      </c>
      <c r="O19" s="130">
        <v>2.3672086985829655</v>
      </c>
      <c r="P19" s="96">
        <f t="shared" si="12"/>
        <v>370799.57054603571</v>
      </c>
      <c r="Q19" s="97">
        <v>2.2474788278235289</v>
      </c>
      <c r="R19" s="96">
        <f t="shared" si="13"/>
        <v>350336.99968113168</v>
      </c>
      <c r="S19" s="96">
        <f t="shared" si="14"/>
        <v>721136.57022716734</v>
      </c>
      <c r="T19" s="127">
        <f t="shared" si="2"/>
        <v>63.756930557295163</v>
      </c>
      <c r="U19" s="130">
        <v>3.0632261428994068</v>
      </c>
      <c r="V19" s="96">
        <f t="shared" si="15"/>
        <v>107457.97309291118</v>
      </c>
      <c r="W19" s="97">
        <v>2.6436328810789789</v>
      </c>
      <c r="X19" s="96">
        <f t="shared" si="16"/>
        <v>98184.525203273282</v>
      </c>
      <c r="Y19" s="96">
        <f t="shared" si="17"/>
        <v>205642.49829618447</v>
      </c>
      <c r="Z19" s="127">
        <f t="shared" si="3"/>
        <v>18.18120869860801</v>
      </c>
      <c r="AA19" s="96">
        <f t="shared" si="4"/>
        <v>586889.02511602966</v>
      </c>
      <c r="AB19" s="96">
        <f t="shared" si="5"/>
        <v>544182.63081809343</v>
      </c>
      <c r="AC19" s="96">
        <f t="shared" si="18"/>
        <v>1131071.6559341231</v>
      </c>
      <c r="AD19" s="127">
        <f t="shared" si="19"/>
        <v>2.3437527838001682</v>
      </c>
      <c r="AF19" s="132">
        <v>573530</v>
      </c>
      <c r="AG19" s="133">
        <v>533134</v>
      </c>
      <c r="AH19" s="134">
        <v>1106664</v>
      </c>
      <c r="AI19" s="127">
        <f t="shared" si="20"/>
        <v>2.2931764023290993</v>
      </c>
    </row>
    <row r="20" spans="2:35" x14ac:dyDescent="0.3">
      <c r="B20" s="124" t="s">
        <v>17</v>
      </c>
      <c r="C20" s="130">
        <v>4.5692863155686494</v>
      </c>
      <c r="D20" s="96">
        <f t="shared" si="6"/>
        <v>73428.431091188191</v>
      </c>
      <c r="E20" s="97">
        <v>4.4423861148390165</v>
      </c>
      <c r="F20" s="96">
        <f t="shared" si="7"/>
        <v>67435.421223256271</v>
      </c>
      <c r="G20" s="96">
        <f t="shared" si="8"/>
        <v>140863.85231444446</v>
      </c>
      <c r="H20" s="127">
        <f t="shared" si="0"/>
        <v>5.3786994749367771</v>
      </c>
      <c r="I20" s="130">
        <v>4.7298661606752734</v>
      </c>
      <c r="J20" s="96">
        <f t="shared" si="9"/>
        <v>161997.91600312814</v>
      </c>
      <c r="K20" s="97">
        <v>4.5307567821069394</v>
      </c>
      <c r="L20" s="96">
        <f t="shared" si="10"/>
        <v>146569.98190115948</v>
      </c>
      <c r="M20" s="96">
        <f t="shared" si="11"/>
        <v>308567.89790428762</v>
      </c>
      <c r="N20" s="127">
        <f t="shared" si="1"/>
        <v>11.782256151388447</v>
      </c>
      <c r="O20" s="130">
        <v>5.8966930104719824</v>
      </c>
      <c r="P20" s="96">
        <f t="shared" si="12"/>
        <v>923657.99316033127</v>
      </c>
      <c r="Q20" s="97">
        <v>5.6145423318184422</v>
      </c>
      <c r="R20" s="96">
        <f t="shared" si="13"/>
        <v>875194.85868385877</v>
      </c>
      <c r="S20" s="96">
        <f t="shared" si="14"/>
        <v>1798852.8518441902</v>
      </c>
      <c r="T20" s="127">
        <f t="shared" si="2"/>
        <v>68.68681163216155</v>
      </c>
      <c r="U20" s="130">
        <v>5.4479584008183446</v>
      </c>
      <c r="V20" s="96">
        <f t="shared" si="15"/>
        <v>191114.38070070752</v>
      </c>
      <c r="W20" s="97">
        <v>4.833637996199335</v>
      </c>
      <c r="X20" s="96">
        <f t="shared" si="16"/>
        <v>179521.3151788433</v>
      </c>
      <c r="Y20" s="96">
        <f t="shared" si="17"/>
        <v>370635.69587955083</v>
      </c>
      <c r="Z20" s="127">
        <f t="shared" si="3"/>
        <v>14.152232741513243</v>
      </c>
      <c r="AA20" s="96">
        <f t="shared" si="4"/>
        <v>1350198.7209553551</v>
      </c>
      <c r="AB20" s="96">
        <f t="shared" si="5"/>
        <v>1268721.5769871178</v>
      </c>
      <c r="AC20" s="96">
        <f t="shared" si="18"/>
        <v>2618920.2979424726</v>
      </c>
      <c r="AD20" s="127">
        <f t="shared" si="19"/>
        <v>5.4268018358077725</v>
      </c>
      <c r="AF20" s="132">
        <v>1331756</v>
      </c>
      <c r="AG20" s="133">
        <v>1256546</v>
      </c>
      <c r="AH20" s="134">
        <v>2588302</v>
      </c>
      <c r="AI20" s="127">
        <f t="shared" si="20"/>
        <v>5.3633560579373798</v>
      </c>
    </row>
    <row r="21" spans="2:35" x14ac:dyDescent="0.3">
      <c r="B21" s="124" t="s">
        <v>18</v>
      </c>
      <c r="C21" s="130">
        <v>3.3194240858046342</v>
      </c>
      <c r="D21" s="96">
        <f t="shared" si="6"/>
        <v>53343.145058880473</v>
      </c>
      <c r="E21" s="97">
        <v>3.2992244078828019</v>
      </c>
      <c r="F21" s="96">
        <f t="shared" si="7"/>
        <v>50082.226511660934</v>
      </c>
      <c r="G21" s="96">
        <f t="shared" si="8"/>
        <v>103425.37157054141</v>
      </c>
      <c r="H21" s="127">
        <f t="shared" si="0"/>
        <v>5.1829390836981952</v>
      </c>
      <c r="I21" s="130">
        <v>3.5769295157656762</v>
      </c>
      <c r="J21" s="96">
        <f t="shared" si="9"/>
        <v>122509.83591497442</v>
      </c>
      <c r="K21" s="97">
        <v>3.4968275632546377</v>
      </c>
      <c r="L21" s="96">
        <f t="shared" si="10"/>
        <v>113122.37167128753</v>
      </c>
      <c r="M21" s="96">
        <f t="shared" si="11"/>
        <v>235632.20758626197</v>
      </c>
      <c r="N21" s="127">
        <f t="shared" si="1"/>
        <v>11.808199086275041</v>
      </c>
      <c r="O21" s="130">
        <v>4.2522670972086871</v>
      </c>
      <c r="P21" s="96">
        <f t="shared" si="12"/>
        <v>666075.1181067687</v>
      </c>
      <c r="Q21" s="97">
        <v>4.1970426545525346</v>
      </c>
      <c r="R21" s="96">
        <f t="shared" si="13"/>
        <v>654235.00899164903</v>
      </c>
      <c r="S21" s="96">
        <f t="shared" si="14"/>
        <v>1320310.1270984178</v>
      </c>
      <c r="T21" s="127">
        <f t="shared" si="2"/>
        <v>66.164489974044571</v>
      </c>
      <c r="U21" s="130">
        <v>4.7681607806365243</v>
      </c>
      <c r="V21" s="96">
        <f t="shared" si="15"/>
        <v>167267.08018472928</v>
      </c>
      <c r="W21" s="97">
        <v>4.546628492526799</v>
      </c>
      <c r="X21" s="96">
        <f t="shared" si="16"/>
        <v>168861.78221244534</v>
      </c>
      <c r="Y21" s="96">
        <f t="shared" si="17"/>
        <v>336128.86239717458</v>
      </c>
      <c r="Z21" s="127">
        <f t="shared" si="3"/>
        <v>16.844371855982196</v>
      </c>
      <c r="AA21" s="96">
        <f t="shared" si="4"/>
        <v>1009195.1792653529</v>
      </c>
      <c r="AB21" s="96">
        <f t="shared" si="5"/>
        <v>986301.38938704273</v>
      </c>
      <c r="AC21" s="96">
        <f t="shared" si="18"/>
        <v>1995496.5686523956</v>
      </c>
      <c r="AD21" s="127">
        <f t="shared" si="19"/>
        <v>4.1349728934548908</v>
      </c>
      <c r="AF21" s="132">
        <v>987437</v>
      </c>
      <c r="AG21" s="133">
        <v>965521</v>
      </c>
      <c r="AH21" s="134">
        <v>1952958</v>
      </c>
      <c r="AI21" s="127">
        <f t="shared" si="20"/>
        <v>4.0468264986841831</v>
      </c>
    </row>
    <row r="22" spans="2:35" x14ac:dyDescent="0.3">
      <c r="B22" s="124" t="s">
        <v>19</v>
      </c>
      <c r="C22" s="130">
        <v>8.056004732374328</v>
      </c>
      <c r="D22" s="96">
        <f t="shared" si="6"/>
        <v>129459.99604925545</v>
      </c>
      <c r="E22" s="97">
        <v>7.7574987238732058</v>
      </c>
      <c r="F22" s="96">
        <f t="shared" si="7"/>
        <v>117758.83062839527</v>
      </c>
      <c r="G22" s="96">
        <f t="shared" si="8"/>
        <v>247218.82667765074</v>
      </c>
      <c r="H22" s="127">
        <f t="shared" si="0"/>
        <v>6.0923794749682099</v>
      </c>
      <c r="I22" s="130">
        <v>8.642105130624028</v>
      </c>
      <c r="J22" s="96">
        <f t="shared" si="9"/>
        <v>295992.10072387295</v>
      </c>
      <c r="K22" s="97">
        <v>8.648938365019001</v>
      </c>
      <c r="L22" s="96">
        <f t="shared" si="10"/>
        <v>279793.1561083647</v>
      </c>
      <c r="M22" s="96">
        <f t="shared" si="11"/>
        <v>575785.25683223759</v>
      </c>
      <c r="N22" s="127">
        <f t="shared" si="1"/>
        <v>14.189462541572476</v>
      </c>
      <c r="O22" s="130">
        <v>8.3212556462834115</v>
      </c>
      <c r="P22" s="96">
        <f t="shared" si="12"/>
        <v>1303441.4844338335</v>
      </c>
      <c r="Q22" s="97">
        <v>8.4317356674629131</v>
      </c>
      <c r="R22" s="96">
        <f t="shared" si="13"/>
        <v>1314338.955844119</v>
      </c>
      <c r="S22" s="96">
        <f t="shared" si="14"/>
        <v>2617780.4402779527</v>
      </c>
      <c r="T22" s="127">
        <f t="shared" si="2"/>
        <v>64.511720400315426</v>
      </c>
      <c r="U22" s="130">
        <v>8.5668941517447479</v>
      </c>
      <c r="V22" s="96">
        <f t="shared" si="15"/>
        <v>300526.64684320579</v>
      </c>
      <c r="W22" s="97">
        <v>8.5225040172286111</v>
      </c>
      <c r="X22" s="96">
        <f t="shared" si="16"/>
        <v>316525.79919987061</v>
      </c>
      <c r="Y22" s="96">
        <f t="shared" si="17"/>
        <v>617052.44604307646</v>
      </c>
      <c r="Z22" s="127">
        <f t="shared" si="3"/>
        <v>15.206437583143906</v>
      </c>
      <c r="AA22" s="96">
        <f t="shared" si="4"/>
        <v>2029420.2280501677</v>
      </c>
      <c r="AB22" s="96">
        <f t="shared" si="5"/>
        <v>2028416.7417807495</v>
      </c>
      <c r="AC22" s="96">
        <f t="shared" si="18"/>
        <v>4057836.9698309172</v>
      </c>
      <c r="AD22" s="127">
        <f t="shared" si="19"/>
        <v>8.4084563912035417</v>
      </c>
      <c r="AF22" s="132">
        <v>2030168</v>
      </c>
      <c r="AG22" s="133">
        <v>2027338</v>
      </c>
      <c r="AH22" s="134">
        <v>4057506</v>
      </c>
      <c r="AI22" s="127">
        <f t="shared" si="20"/>
        <v>8.4077705712924011</v>
      </c>
    </row>
    <row r="23" spans="2:35" x14ac:dyDescent="0.3">
      <c r="B23" s="124" t="s">
        <v>20</v>
      </c>
      <c r="C23" s="130">
        <v>1.5853560488720946</v>
      </c>
      <c r="D23" s="96">
        <f t="shared" si="6"/>
        <v>25476.67170537456</v>
      </c>
      <c r="E23" s="97">
        <v>1.6225121161619065</v>
      </c>
      <c r="F23" s="96">
        <f t="shared" si="7"/>
        <v>24629.733923337739</v>
      </c>
      <c r="G23" s="96">
        <f t="shared" si="8"/>
        <v>50106.405628712295</v>
      </c>
      <c r="H23" s="127">
        <f t="shared" si="0"/>
        <v>7.7833981672019714</v>
      </c>
      <c r="I23" s="130">
        <v>1.6263242986387569</v>
      </c>
      <c r="J23" s="96">
        <f t="shared" si="9"/>
        <v>55701.607228377427</v>
      </c>
      <c r="K23" s="97">
        <v>1.6656834809563097</v>
      </c>
      <c r="L23" s="96">
        <f t="shared" si="10"/>
        <v>53884.860608936622</v>
      </c>
      <c r="M23" s="96">
        <f t="shared" si="11"/>
        <v>109586.46783731405</v>
      </c>
      <c r="N23" s="127">
        <f t="shared" si="1"/>
        <v>17.022875662554455</v>
      </c>
      <c r="O23" s="130">
        <v>1.2471440433740497</v>
      </c>
      <c r="P23" s="96">
        <f t="shared" si="12"/>
        <v>195352.64295411113</v>
      </c>
      <c r="Q23" s="97">
        <v>1.3358809477081739</v>
      </c>
      <c r="R23" s="96">
        <f t="shared" si="13"/>
        <v>208237.12212875017</v>
      </c>
      <c r="S23" s="96">
        <f t="shared" si="14"/>
        <v>403589.7650828613</v>
      </c>
      <c r="T23" s="127">
        <f t="shared" si="2"/>
        <v>62.692579889373846</v>
      </c>
      <c r="U23" s="130">
        <v>0.98928429951811936</v>
      </c>
      <c r="V23" s="96">
        <f t="shared" si="15"/>
        <v>34704.093227095625</v>
      </c>
      <c r="W23" s="97">
        <v>1.2324525745938304</v>
      </c>
      <c r="X23" s="96">
        <f t="shared" si="16"/>
        <v>45773.288620414867</v>
      </c>
      <c r="Y23" s="96">
        <f t="shared" si="17"/>
        <v>80477.381847510493</v>
      </c>
      <c r="Z23" s="127">
        <f t="shared" si="3"/>
        <v>12.501146280869721</v>
      </c>
      <c r="AA23" s="96">
        <f t="shared" si="4"/>
        <v>311235.01511495869</v>
      </c>
      <c r="AB23" s="96">
        <f t="shared" si="5"/>
        <v>332525.0052814394</v>
      </c>
      <c r="AC23" s="96">
        <f t="shared" si="18"/>
        <v>643760.02039639815</v>
      </c>
      <c r="AD23" s="127">
        <f t="shared" si="19"/>
        <v>1.333968835650134</v>
      </c>
      <c r="AF23" s="132">
        <v>322781</v>
      </c>
      <c r="AG23" s="133">
        <v>341712</v>
      </c>
      <c r="AH23" s="134">
        <v>664493</v>
      </c>
      <c r="AI23" s="127">
        <f t="shared" si="20"/>
        <v>1.3769307279471188</v>
      </c>
    </row>
    <row r="24" spans="2:35" x14ac:dyDescent="0.3">
      <c r="B24" s="124" t="s">
        <v>21</v>
      </c>
      <c r="C24" s="130">
        <v>2.0115253121860235</v>
      </c>
      <c r="D24" s="96">
        <f t="shared" si="6"/>
        <v>32325.211766829398</v>
      </c>
      <c r="E24" s="97">
        <v>2.0755512135317891</v>
      </c>
      <c r="F24" s="96">
        <f t="shared" si="7"/>
        <v>31506.867421412557</v>
      </c>
      <c r="G24" s="96">
        <f t="shared" si="8"/>
        <v>63832.079188241958</v>
      </c>
      <c r="H24" s="127">
        <f t="shared" si="0"/>
        <v>7.7481792555313085</v>
      </c>
      <c r="I24" s="130">
        <v>2.0792636948532413</v>
      </c>
      <c r="J24" s="96">
        <f t="shared" si="9"/>
        <v>71214.78154872352</v>
      </c>
      <c r="K24" s="97">
        <v>2.1348795349592056</v>
      </c>
      <c r="L24" s="96">
        <f t="shared" si="10"/>
        <v>69063.352955930299</v>
      </c>
      <c r="M24" s="96">
        <f t="shared" si="11"/>
        <v>140278.1345046538</v>
      </c>
      <c r="N24" s="127">
        <f t="shared" si="1"/>
        <v>17.027490653536461</v>
      </c>
      <c r="O24" s="130">
        <v>1.5572864212513506</v>
      </c>
      <c r="P24" s="96">
        <f t="shared" si="12"/>
        <v>243933.34502481154</v>
      </c>
      <c r="Q24" s="97">
        <v>1.6719226962623526</v>
      </c>
      <c r="R24" s="96">
        <f t="shared" si="13"/>
        <v>260619.30989337552</v>
      </c>
      <c r="S24" s="96">
        <f t="shared" si="14"/>
        <v>504552.65491818707</v>
      </c>
      <c r="T24" s="127">
        <f t="shared" si="2"/>
        <v>61.244510031258073</v>
      </c>
      <c r="U24" s="130">
        <v>1.5094245011959262</v>
      </c>
      <c r="V24" s="96">
        <f t="shared" si="15"/>
        <v>52950.611501953092</v>
      </c>
      <c r="W24" s="97">
        <v>1.675277286755255</v>
      </c>
      <c r="X24" s="96">
        <f t="shared" si="16"/>
        <v>62219.798430090173</v>
      </c>
      <c r="Y24" s="96">
        <f t="shared" si="17"/>
        <v>115170.40993204326</v>
      </c>
      <c r="Z24" s="127">
        <f t="shared" si="3"/>
        <v>13.979820059674164</v>
      </c>
      <c r="AA24" s="96">
        <f t="shared" si="4"/>
        <v>400423.94984231755</v>
      </c>
      <c r="AB24" s="96">
        <f t="shared" si="5"/>
        <v>423409.32870080858</v>
      </c>
      <c r="AC24" s="96">
        <f t="shared" si="18"/>
        <v>823833.27854312607</v>
      </c>
      <c r="AD24" s="127">
        <f t="shared" si="19"/>
        <v>1.7071080597259081</v>
      </c>
      <c r="AF24" s="132">
        <v>410713</v>
      </c>
      <c r="AG24" s="133">
        <v>432350</v>
      </c>
      <c r="AH24" s="134">
        <v>843063</v>
      </c>
      <c r="AI24" s="127">
        <f t="shared" si="20"/>
        <v>1.746954972129551</v>
      </c>
    </row>
    <row r="25" spans="2:35" x14ac:dyDescent="0.3">
      <c r="B25" s="124" t="s">
        <v>22</v>
      </c>
      <c r="C25" s="130">
        <v>1.1808573115662573</v>
      </c>
      <c r="D25" s="96">
        <f t="shared" si="6"/>
        <v>18976.376996869756</v>
      </c>
      <c r="E25" s="97">
        <v>1.2260395221820697</v>
      </c>
      <c r="F25" s="96">
        <f t="shared" si="7"/>
        <v>18611.279946723818</v>
      </c>
      <c r="G25" s="96">
        <f t="shared" si="8"/>
        <v>37587.656943593574</v>
      </c>
      <c r="H25" s="127">
        <f t="shared" si="0"/>
        <v>7.5002213176807251</v>
      </c>
      <c r="I25" s="130">
        <v>1.1541490843517437</v>
      </c>
      <c r="J25" s="96">
        <f t="shared" si="9"/>
        <v>39529.606139047217</v>
      </c>
      <c r="K25" s="97">
        <v>1.1718896442367299</v>
      </c>
      <c r="L25" s="96">
        <f t="shared" si="10"/>
        <v>37910.629991058217</v>
      </c>
      <c r="M25" s="96">
        <f t="shared" si="11"/>
        <v>77440.236130105433</v>
      </c>
      <c r="N25" s="127">
        <f t="shared" si="1"/>
        <v>15.452384029705804</v>
      </c>
      <c r="O25" s="130">
        <v>0.98676486687188858</v>
      </c>
      <c r="P25" s="96">
        <f t="shared" si="12"/>
        <v>154566.84874681261</v>
      </c>
      <c r="Q25" s="97">
        <v>1.004478135653593</v>
      </c>
      <c r="R25" s="96">
        <f t="shared" si="13"/>
        <v>156578.0517856821</v>
      </c>
      <c r="S25" s="96">
        <f t="shared" si="14"/>
        <v>311144.90053249471</v>
      </c>
      <c r="T25" s="127">
        <f t="shared" si="2"/>
        <v>62.085689974331139</v>
      </c>
      <c r="U25" s="130">
        <v>1.0636974933183572</v>
      </c>
      <c r="V25" s="96">
        <f t="shared" si="15"/>
        <v>37314.508065607974</v>
      </c>
      <c r="W25" s="97">
        <v>1.0141806411285825</v>
      </c>
      <c r="X25" s="96">
        <f t="shared" si="16"/>
        <v>37666.669011515558</v>
      </c>
      <c r="Y25" s="96">
        <f t="shared" si="17"/>
        <v>74981.177077123531</v>
      </c>
      <c r="Z25" s="127">
        <f t="shared" si="3"/>
        <v>14.961704678282327</v>
      </c>
      <c r="AA25" s="96">
        <f t="shared" si="4"/>
        <v>250387.33994833758</v>
      </c>
      <c r="AB25" s="96">
        <f t="shared" si="5"/>
        <v>250766.6307349797</v>
      </c>
      <c r="AC25" s="96">
        <f t="shared" si="18"/>
        <v>501153.97068331728</v>
      </c>
      <c r="AD25" s="127">
        <f t="shared" si="19"/>
        <v>1.0384673753772711</v>
      </c>
      <c r="AF25" s="132">
        <v>252884</v>
      </c>
      <c r="AG25" s="133">
        <v>254356</v>
      </c>
      <c r="AH25" s="134">
        <v>507240</v>
      </c>
      <c r="AI25" s="127">
        <f t="shared" si="20"/>
        <v>1.0510785552953852</v>
      </c>
    </row>
    <row r="26" spans="2:35" x14ac:dyDescent="0.3">
      <c r="B26" s="124" t="s">
        <v>23</v>
      </c>
      <c r="C26" s="130">
        <v>1.456876984357288</v>
      </c>
      <c r="D26" s="96">
        <f t="shared" si="6"/>
        <v>23412.013138621616</v>
      </c>
      <c r="E26" s="97">
        <v>1.4733771216664355</v>
      </c>
      <c r="F26" s="96">
        <f t="shared" si="7"/>
        <v>22365.864706896493</v>
      </c>
      <c r="G26" s="96">
        <f t="shared" si="8"/>
        <v>45777.877845518109</v>
      </c>
      <c r="H26" s="127">
        <f t="shared" si="0"/>
        <v>6.4615422438124277</v>
      </c>
      <c r="I26" s="130">
        <v>1.3677016391714936</v>
      </c>
      <c r="J26" s="96">
        <f t="shared" si="9"/>
        <v>46843.781141623658</v>
      </c>
      <c r="K26" s="97">
        <v>1.3926650234283602</v>
      </c>
      <c r="L26" s="96">
        <f t="shared" si="10"/>
        <v>45052.713507907458</v>
      </c>
      <c r="M26" s="96">
        <f t="shared" si="11"/>
        <v>91896.494649531116</v>
      </c>
      <c r="N26" s="127">
        <f t="shared" si="1"/>
        <v>12.971179752806375</v>
      </c>
      <c r="O26" s="130">
        <v>1.4727182332708573</v>
      </c>
      <c r="P26" s="96">
        <f t="shared" si="12"/>
        <v>230686.58405954708</v>
      </c>
      <c r="Q26" s="97">
        <v>1.4278709023020448</v>
      </c>
      <c r="R26" s="96">
        <f t="shared" si="13"/>
        <v>222576.51625084275</v>
      </c>
      <c r="S26" s="96">
        <f t="shared" si="14"/>
        <v>453263.10031038983</v>
      </c>
      <c r="T26" s="127">
        <f t="shared" si="2"/>
        <v>63.978034982320978</v>
      </c>
      <c r="U26" s="130">
        <v>1.6657724380349701</v>
      </c>
      <c r="V26" s="96">
        <f t="shared" si="15"/>
        <v>58435.297126266749</v>
      </c>
      <c r="W26" s="97">
        <v>1.5911139606608053</v>
      </c>
      <c r="X26" s="96">
        <f t="shared" si="16"/>
        <v>59093.972498942305</v>
      </c>
      <c r="Y26" s="96">
        <f t="shared" si="17"/>
        <v>117529.26962520905</v>
      </c>
      <c r="Z26" s="127">
        <f t="shared" si="3"/>
        <v>16.589243021060231</v>
      </c>
      <c r="AA26" s="96">
        <f t="shared" si="4"/>
        <v>359377.67546605913</v>
      </c>
      <c r="AB26" s="96">
        <f t="shared" si="5"/>
        <v>349089.06696458894</v>
      </c>
      <c r="AC26" s="96">
        <f t="shared" si="18"/>
        <v>708466.74243064807</v>
      </c>
      <c r="AD26" s="127">
        <f t="shared" si="19"/>
        <v>1.4680510214273981</v>
      </c>
      <c r="AF26" s="132">
        <v>355221</v>
      </c>
      <c r="AG26" s="133">
        <v>346273</v>
      </c>
      <c r="AH26" s="134">
        <v>701494</v>
      </c>
      <c r="AI26" s="127">
        <f t="shared" si="20"/>
        <v>1.4536024368511573</v>
      </c>
    </row>
    <row r="27" spans="2:35" x14ac:dyDescent="0.3">
      <c r="B27" s="124" t="s">
        <v>24</v>
      </c>
      <c r="C27" s="130">
        <v>4.1555762735959814</v>
      </c>
      <c r="D27" s="96">
        <f t="shared" si="6"/>
        <v>66780.110716687428</v>
      </c>
      <c r="E27" s="97">
        <v>4.2303180682651771</v>
      </c>
      <c r="F27" s="96">
        <f t="shared" si="7"/>
        <v>64216.228276265385</v>
      </c>
      <c r="G27" s="96">
        <f t="shared" si="8"/>
        <v>130996.33899295281</v>
      </c>
      <c r="H27" s="127">
        <f t="shared" si="0"/>
        <v>6.8662013533694912</v>
      </c>
      <c r="I27" s="130">
        <v>3.8189977136190061</v>
      </c>
      <c r="J27" s="96">
        <f t="shared" si="9"/>
        <v>130800.67169145096</v>
      </c>
      <c r="K27" s="97">
        <v>3.8817574668298778</v>
      </c>
      <c r="L27" s="96">
        <f t="shared" si="10"/>
        <v>125574.85405194655</v>
      </c>
      <c r="M27" s="96">
        <f t="shared" si="11"/>
        <v>256375.52574339751</v>
      </c>
      <c r="N27" s="127">
        <f t="shared" si="1"/>
        <v>13.437978460793708</v>
      </c>
      <c r="O27" s="130">
        <v>3.848941892994028</v>
      </c>
      <c r="P27" s="96">
        <f t="shared" si="12"/>
        <v>602898.25811858452</v>
      </c>
      <c r="Q27" s="97">
        <v>3.8390479590280377</v>
      </c>
      <c r="R27" s="96">
        <f t="shared" si="13"/>
        <v>598430.79585329059</v>
      </c>
      <c r="S27" s="96">
        <f t="shared" si="14"/>
        <v>1201329.053971875</v>
      </c>
      <c r="T27" s="127">
        <f t="shared" si="2"/>
        <v>62.967921391051441</v>
      </c>
      <c r="U27" s="130">
        <v>4.3213807558655546</v>
      </c>
      <c r="V27" s="96">
        <f t="shared" si="15"/>
        <v>151594.03691576366</v>
      </c>
      <c r="W27" s="97">
        <v>4.5112547721862066</v>
      </c>
      <c r="X27" s="96">
        <f t="shared" si="16"/>
        <v>167548.00223899572</v>
      </c>
      <c r="Y27" s="96">
        <f t="shared" si="17"/>
        <v>319142.03915475938</v>
      </c>
      <c r="Z27" s="127">
        <f t="shared" si="3"/>
        <v>16.727898794785347</v>
      </c>
      <c r="AA27" s="96">
        <f t="shared" si="4"/>
        <v>952073.07744248654</v>
      </c>
      <c r="AB27" s="96">
        <f t="shared" si="5"/>
        <v>955769.8804204982</v>
      </c>
      <c r="AC27" s="96">
        <f t="shared" si="18"/>
        <v>1907842.9578629849</v>
      </c>
      <c r="AD27" s="127">
        <f t="shared" si="19"/>
        <v>3.953341258341418</v>
      </c>
      <c r="AF27" s="132">
        <v>947178</v>
      </c>
      <c r="AG27" s="133">
        <v>948780</v>
      </c>
      <c r="AH27" s="134">
        <v>1895958</v>
      </c>
      <c r="AI27" s="127">
        <f t="shared" si="20"/>
        <v>3.9287138150396821</v>
      </c>
    </row>
    <row r="28" spans="2:35" x14ac:dyDescent="0.3">
      <c r="B28" s="124" t="s">
        <v>25</v>
      </c>
      <c r="C28" s="130">
        <v>1.6685240135517994</v>
      </c>
      <c r="D28" s="96">
        <f t="shared" si="6"/>
        <v>26813.180897777416</v>
      </c>
      <c r="E28" s="97">
        <v>1.7328280660002637</v>
      </c>
      <c r="F28" s="96">
        <f t="shared" si="7"/>
        <v>26304.330041884001</v>
      </c>
      <c r="G28" s="96">
        <f t="shared" si="8"/>
        <v>53117.510939661413</v>
      </c>
      <c r="H28" s="127">
        <f t="shared" si="0"/>
        <v>7.6024194078669103</v>
      </c>
      <c r="I28" s="130">
        <v>1.5571219858638887</v>
      </c>
      <c r="J28" s="96">
        <f t="shared" si="9"/>
        <v>53331.428015838188</v>
      </c>
      <c r="K28" s="97">
        <v>1.6121585122719231</v>
      </c>
      <c r="L28" s="96">
        <f t="shared" si="10"/>
        <v>52153.327871996713</v>
      </c>
      <c r="M28" s="96">
        <f t="shared" si="11"/>
        <v>105484.75588783491</v>
      </c>
      <c r="N28" s="127">
        <f t="shared" si="1"/>
        <v>15.097457339571854</v>
      </c>
      <c r="O28" s="130">
        <v>1.3302572120074045</v>
      </c>
      <c r="P28" s="96">
        <f t="shared" si="12"/>
        <v>208371.48968883985</v>
      </c>
      <c r="Q28" s="97">
        <v>1.3761163026676462</v>
      </c>
      <c r="R28" s="96">
        <f t="shared" si="13"/>
        <v>214509.00925983267</v>
      </c>
      <c r="S28" s="96">
        <f t="shared" si="14"/>
        <v>422880.49894867255</v>
      </c>
      <c r="T28" s="127">
        <f t="shared" si="2"/>
        <v>60.524577593023864</v>
      </c>
      <c r="U28" s="130">
        <v>1.5211079743465028</v>
      </c>
      <c r="V28" s="96">
        <f t="shared" si="15"/>
        <v>53360.467740075321</v>
      </c>
      <c r="W28" s="97">
        <v>1.7191427098480638</v>
      </c>
      <c r="X28" s="96">
        <f t="shared" si="16"/>
        <v>63848.960243757087</v>
      </c>
      <c r="Y28" s="96">
        <f t="shared" si="17"/>
        <v>117209.4279838324</v>
      </c>
      <c r="Z28" s="127">
        <f t="shared" si="3"/>
        <v>16.775545659537382</v>
      </c>
      <c r="AA28" s="96">
        <f t="shared" si="4"/>
        <v>341876.56634253077</v>
      </c>
      <c r="AB28" s="96">
        <f t="shared" si="5"/>
        <v>356815.62741747044</v>
      </c>
      <c r="AC28" s="96">
        <f t="shared" si="18"/>
        <v>698692.19376000122</v>
      </c>
      <c r="AD28" s="127">
        <f t="shared" si="19"/>
        <v>1.4477966674817158</v>
      </c>
      <c r="AF28" s="132">
        <v>344552</v>
      </c>
      <c r="AG28" s="133">
        <v>357336</v>
      </c>
      <c r="AH28" s="134">
        <v>701888</v>
      </c>
      <c r="AI28" s="127">
        <f t="shared" si="20"/>
        <v>1.4544188648749456</v>
      </c>
    </row>
    <row r="29" spans="2:35" x14ac:dyDescent="0.3">
      <c r="B29" s="124" t="s">
        <v>26</v>
      </c>
      <c r="C29" s="130">
        <v>4.1950837190456243</v>
      </c>
      <c r="D29" s="96">
        <f t="shared" si="6"/>
        <v>67414.99536506318</v>
      </c>
      <c r="E29" s="97">
        <v>4.2914482039008348</v>
      </c>
      <c r="F29" s="96">
        <f t="shared" si="7"/>
        <v>65144.183735214676</v>
      </c>
      <c r="G29" s="96">
        <f t="shared" si="8"/>
        <v>132559.17910027786</v>
      </c>
      <c r="H29" s="127">
        <f t="shared" si="0"/>
        <v>7.3877872302300247</v>
      </c>
      <c r="I29" s="130">
        <v>4.0598068397439508</v>
      </c>
      <c r="J29" s="96">
        <f t="shared" si="9"/>
        <v>139048.38426123033</v>
      </c>
      <c r="K29" s="97">
        <v>4.1119172508337725</v>
      </c>
      <c r="L29" s="96">
        <f t="shared" si="10"/>
        <v>133020.52306447254</v>
      </c>
      <c r="M29" s="96">
        <f t="shared" si="11"/>
        <v>272068.90732570284</v>
      </c>
      <c r="N29" s="127">
        <f t="shared" si="1"/>
        <v>15.162942415047365</v>
      </c>
      <c r="O29" s="130">
        <v>3.5439652187248214</v>
      </c>
      <c r="P29" s="96">
        <f t="shared" si="12"/>
        <v>555126.71186105604</v>
      </c>
      <c r="Q29" s="97">
        <v>3.6113808263070495</v>
      </c>
      <c r="R29" s="96">
        <f t="shared" si="13"/>
        <v>562942.04320474295</v>
      </c>
      <c r="S29" s="96">
        <f t="shared" si="14"/>
        <v>1118068.755065799</v>
      </c>
      <c r="T29" s="127">
        <f t="shared" si="2"/>
        <v>62.312199934081946</v>
      </c>
      <c r="U29" s="130">
        <v>3.5590466687058426</v>
      </c>
      <c r="V29" s="96">
        <f t="shared" si="15"/>
        <v>124851.35713820095</v>
      </c>
      <c r="W29" s="97">
        <v>3.9513551049202635</v>
      </c>
      <c r="X29" s="96">
        <f t="shared" si="16"/>
        <v>146753.3285967386</v>
      </c>
      <c r="Y29" s="96">
        <f t="shared" si="17"/>
        <v>271604.68573493953</v>
      </c>
      <c r="Z29" s="127">
        <f t="shared" si="3"/>
        <v>15.137070420640672</v>
      </c>
      <c r="AA29" s="96">
        <f t="shared" si="4"/>
        <v>886441.44862555037</v>
      </c>
      <c r="AB29" s="96">
        <f t="shared" si="5"/>
        <v>907860.07860116882</v>
      </c>
      <c r="AC29" s="96">
        <f t="shared" si="18"/>
        <v>1794301.5272267191</v>
      </c>
      <c r="AD29" s="127">
        <f t="shared" si="19"/>
        <v>3.7180661166346574</v>
      </c>
      <c r="AF29" s="132">
        <v>898118</v>
      </c>
      <c r="AG29" s="133">
        <v>915027</v>
      </c>
      <c r="AH29" s="134">
        <v>1813145</v>
      </c>
      <c r="AI29" s="127">
        <f t="shared" si="20"/>
        <v>3.7571126629229781</v>
      </c>
    </row>
    <row r="30" spans="2:35" x14ac:dyDescent="0.3">
      <c r="B30" s="124" t="s">
        <v>27</v>
      </c>
      <c r="C30" s="130">
        <v>2.6945462154582733</v>
      </c>
      <c r="D30" s="96">
        <f t="shared" si="6"/>
        <v>43301.357682414455</v>
      </c>
      <c r="E30" s="97">
        <v>2.7634765187035679</v>
      </c>
      <c r="F30" s="96">
        <f t="shared" si="7"/>
        <v>41949.573553920163</v>
      </c>
      <c r="G30" s="96">
        <f t="shared" si="8"/>
        <v>85250.931236334611</v>
      </c>
      <c r="H30" s="127">
        <f t="shared" si="0"/>
        <v>7.9045348441028782</v>
      </c>
      <c r="I30" s="130">
        <v>2.7604448160519524</v>
      </c>
      <c r="J30" s="96">
        <f t="shared" si="9"/>
        <v>94545.234949779362</v>
      </c>
      <c r="K30" s="97">
        <v>2.8013415829023884</v>
      </c>
      <c r="L30" s="96">
        <f t="shared" si="10"/>
        <v>90623.400206892271</v>
      </c>
      <c r="M30" s="96">
        <f t="shared" si="11"/>
        <v>185168.63515667163</v>
      </c>
      <c r="N30" s="127">
        <f t="shared" si="1"/>
        <v>17.168984636346774</v>
      </c>
      <c r="O30" s="130">
        <v>2.0871444190615849</v>
      </c>
      <c r="P30" s="96">
        <f t="shared" si="12"/>
        <v>326930.30180180667</v>
      </c>
      <c r="Q30" s="97">
        <v>2.2380369520187924</v>
      </c>
      <c r="R30" s="96">
        <f t="shared" si="13"/>
        <v>348865.20008068933</v>
      </c>
      <c r="S30" s="96">
        <f t="shared" si="14"/>
        <v>675795.50188249606</v>
      </c>
      <c r="T30" s="127">
        <f t="shared" si="2"/>
        <v>62.660301942149864</v>
      </c>
      <c r="U30" s="130">
        <v>1.5002482111248727</v>
      </c>
      <c r="V30" s="96">
        <f t="shared" si="15"/>
        <v>52628.707246260528</v>
      </c>
      <c r="W30" s="97">
        <v>2.1449337697432092</v>
      </c>
      <c r="X30" s="96">
        <f t="shared" si="16"/>
        <v>79662.840208262787</v>
      </c>
      <c r="Y30" s="96">
        <f t="shared" si="17"/>
        <v>132291.54745452333</v>
      </c>
      <c r="Z30" s="127">
        <f t="shared" si="3"/>
        <v>12.266178577400481</v>
      </c>
      <c r="AA30" s="96">
        <f t="shared" si="4"/>
        <v>517405.60168026102</v>
      </c>
      <c r="AB30" s="96">
        <f t="shared" si="5"/>
        <v>561101.01404976449</v>
      </c>
      <c r="AC30" s="96">
        <f t="shared" si="18"/>
        <v>1078506.6157300256</v>
      </c>
      <c r="AD30" s="127">
        <f t="shared" si="19"/>
        <v>2.2348300124951317</v>
      </c>
      <c r="AF30" s="132">
        <v>538528</v>
      </c>
      <c r="AG30" s="133">
        <v>574610</v>
      </c>
      <c r="AH30" s="134">
        <v>1113138</v>
      </c>
      <c r="AI30" s="127">
        <f t="shared" si="20"/>
        <v>2.3065915166083011</v>
      </c>
    </row>
    <row r="31" spans="2:35" x14ac:dyDescent="0.3">
      <c r="B31" s="124" t="s">
        <v>28</v>
      </c>
      <c r="C31" s="130">
        <v>3.8098595036437901</v>
      </c>
      <c r="D31" s="96">
        <f t="shared" si="6"/>
        <v>61224.442223555707</v>
      </c>
      <c r="E31" s="97">
        <v>4.0281660621262469</v>
      </c>
      <c r="F31" s="96">
        <f t="shared" si="7"/>
        <v>61147.560823076434</v>
      </c>
      <c r="G31" s="96">
        <f t="shared" si="8"/>
        <v>122372.00304663213</v>
      </c>
      <c r="H31" s="127">
        <f t="shared" si="0"/>
        <v>9.0791994354179195</v>
      </c>
      <c r="I31" s="130">
        <v>3.5149552073574557</v>
      </c>
      <c r="J31" s="96">
        <f t="shared" si="9"/>
        <v>120387.21585199285</v>
      </c>
      <c r="K31" s="97">
        <v>3.653073066056777</v>
      </c>
      <c r="L31" s="96">
        <f t="shared" si="10"/>
        <v>118176.91368693674</v>
      </c>
      <c r="M31" s="96">
        <f t="shared" si="11"/>
        <v>238564.12953892958</v>
      </c>
      <c r="N31" s="127">
        <f t="shared" si="1"/>
        <v>17.699892592224984</v>
      </c>
      <c r="O31" s="130">
        <v>2.6054315487302917</v>
      </c>
      <c r="P31" s="96">
        <f t="shared" si="12"/>
        <v>408114.79779311293</v>
      </c>
      <c r="Q31" s="97">
        <v>2.6675837287037476</v>
      </c>
      <c r="R31" s="96">
        <f t="shared" si="13"/>
        <v>415822.95163034013</v>
      </c>
      <c r="S31" s="96">
        <f t="shared" si="14"/>
        <v>823937.74942345312</v>
      </c>
      <c r="T31" s="127">
        <f t="shared" si="2"/>
        <v>61.130773078334499</v>
      </c>
      <c r="U31" s="130">
        <v>2.0541852407146477</v>
      </c>
      <c r="V31" s="96">
        <f t="shared" si="15"/>
        <v>72060.818244269845</v>
      </c>
      <c r="W31" s="97">
        <v>2.4473187825410592</v>
      </c>
      <c r="X31" s="96">
        <f t="shared" si="16"/>
        <v>90893.419583574941</v>
      </c>
      <c r="Y31" s="96">
        <f t="shared" si="17"/>
        <v>162954.2378278448</v>
      </c>
      <c r="Z31" s="127">
        <f t="shared" si="3"/>
        <v>12.090134894022592</v>
      </c>
      <c r="AA31" s="96">
        <f t="shared" si="4"/>
        <v>661787.27411293134</v>
      </c>
      <c r="AB31" s="96">
        <f t="shared" si="5"/>
        <v>686040.8457239283</v>
      </c>
      <c r="AC31" s="96">
        <f t="shared" si="18"/>
        <v>1347828.1198368596</v>
      </c>
      <c r="AD31" s="127">
        <f t="shared" si="19"/>
        <v>2.7929051986921811</v>
      </c>
      <c r="AF31" s="132">
        <v>690118</v>
      </c>
      <c r="AG31" s="133">
        <v>713854</v>
      </c>
      <c r="AH31" s="134">
        <v>1403972</v>
      </c>
      <c r="AI31" s="127">
        <f t="shared" si="20"/>
        <v>2.9092438716094406</v>
      </c>
    </row>
    <row r="32" spans="2:35" x14ac:dyDescent="0.3">
      <c r="B32" s="124" t="s">
        <v>29</v>
      </c>
      <c r="C32" s="130">
        <v>4.1402950918654602</v>
      </c>
      <c r="D32" s="96">
        <f t="shared" si="6"/>
        <v>66534.542126277942</v>
      </c>
      <c r="E32" s="97">
        <v>4.2883494412649261</v>
      </c>
      <c r="F32" s="96">
        <f t="shared" si="7"/>
        <v>65097.144518401576</v>
      </c>
      <c r="G32" s="96">
        <f t="shared" si="8"/>
        <v>131631.68664467952</v>
      </c>
      <c r="H32" s="127">
        <f t="shared" si="0"/>
        <v>8.5505542597890276</v>
      </c>
      <c r="I32" s="130">
        <v>3.7923939943211202</v>
      </c>
      <c r="J32" s="96">
        <f t="shared" si="9"/>
        <v>129889.49430549837</v>
      </c>
      <c r="K32" s="97">
        <v>3.951124665287546</v>
      </c>
      <c r="L32" s="96">
        <f t="shared" si="10"/>
        <v>127818.88292205211</v>
      </c>
      <c r="M32" s="96">
        <f t="shared" si="11"/>
        <v>257708.37722755049</v>
      </c>
      <c r="N32" s="127">
        <f t="shared" si="1"/>
        <v>16.740266108072515</v>
      </c>
      <c r="O32" s="130">
        <v>2.9824201329102435</v>
      </c>
      <c r="P32" s="96">
        <f t="shared" si="12"/>
        <v>467166.28961906052</v>
      </c>
      <c r="Q32" s="97">
        <v>3.11249210150774</v>
      </c>
      <c r="R32" s="96">
        <f t="shared" si="13"/>
        <v>485175.26878302649</v>
      </c>
      <c r="S32" s="96">
        <f t="shared" si="14"/>
        <v>952341.55840208707</v>
      </c>
      <c r="T32" s="127">
        <f t="shared" si="2"/>
        <v>61.862370501641109</v>
      </c>
      <c r="U32" s="130">
        <v>2.4275549449171878</v>
      </c>
      <c r="V32" s="96">
        <f t="shared" si="15"/>
        <v>85158.627467694954</v>
      </c>
      <c r="W32" s="97">
        <v>3.0320905969214813</v>
      </c>
      <c r="X32" s="96">
        <f t="shared" si="16"/>
        <v>112611.84476966382</v>
      </c>
      <c r="Y32" s="96">
        <f t="shared" si="17"/>
        <v>197770.47223735877</v>
      </c>
      <c r="Z32" s="127">
        <f t="shared" si="3"/>
        <v>12.846809130497356</v>
      </c>
      <c r="AA32" s="96">
        <f t="shared" si="4"/>
        <v>748748.95351853175</v>
      </c>
      <c r="AB32" s="96">
        <f t="shared" si="5"/>
        <v>790703.14099314413</v>
      </c>
      <c r="AC32" s="96">
        <f t="shared" si="18"/>
        <v>1539452.0945116759</v>
      </c>
      <c r="AD32" s="127">
        <f t="shared" si="19"/>
        <v>3.1899792671039102</v>
      </c>
      <c r="AF32" s="132">
        <v>774552</v>
      </c>
      <c r="AG32" s="133">
        <v>811993</v>
      </c>
      <c r="AH32" s="134">
        <v>1586545</v>
      </c>
      <c r="AI32" s="127">
        <f t="shared" si="20"/>
        <v>3.2875629416274683</v>
      </c>
    </row>
    <row r="33" spans="2:35" ht="15" thickBot="1" x14ac:dyDescent="0.35">
      <c r="B33" s="124" t="s">
        <v>30</v>
      </c>
      <c r="C33" s="130">
        <v>2.0116850457929631</v>
      </c>
      <c r="D33" s="96">
        <f t="shared" si="6"/>
        <v>32327.778685892918</v>
      </c>
      <c r="E33" s="97">
        <v>2.0829319027191358</v>
      </c>
      <c r="F33" s="96">
        <f t="shared" si="7"/>
        <v>31618.906283276483</v>
      </c>
      <c r="G33" s="96">
        <f t="shared" si="8"/>
        <v>63946.684969169401</v>
      </c>
      <c r="H33" s="127">
        <f t="shared" si="0"/>
        <v>9.4376218752574168</v>
      </c>
      <c r="I33" s="130">
        <v>1.8006357845905474</v>
      </c>
      <c r="J33" s="96">
        <f t="shared" si="9"/>
        <v>61671.775622226254</v>
      </c>
      <c r="K33" s="97">
        <v>1.8682463425612508</v>
      </c>
      <c r="L33" s="96">
        <f t="shared" si="10"/>
        <v>60437.769181856464</v>
      </c>
      <c r="M33" s="96">
        <f t="shared" si="11"/>
        <v>122109.54480408272</v>
      </c>
      <c r="N33" s="127">
        <f t="shared" si="1"/>
        <v>18.021633361860033</v>
      </c>
      <c r="O33" s="130">
        <v>1.2902249336734435</v>
      </c>
      <c r="P33" s="96">
        <f t="shared" si="12"/>
        <v>202100.83361060821</v>
      </c>
      <c r="Q33" s="97">
        <v>1.3139045717656361</v>
      </c>
      <c r="R33" s="96">
        <f t="shared" si="13"/>
        <v>204811.44464682735</v>
      </c>
      <c r="S33" s="96">
        <f t="shared" si="14"/>
        <v>406912.27825743554</v>
      </c>
      <c r="T33" s="127">
        <f t="shared" si="2"/>
        <v>60.054469132289213</v>
      </c>
      <c r="U33" s="130">
        <v>1.012851820465634</v>
      </c>
      <c r="V33" s="96">
        <f t="shared" si="15"/>
        <v>35530.841861934445</v>
      </c>
      <c r="W33" s="97">
        <v>1.3212888495400914</v>
      </c>
      <c r="X33" s="96">
        <f t="shared" si="16"/>
        <v>49072.667871918995</v>
      </c>
      <c r="Y33" s="96">
        <f t="shared" si="17"/>
        <v>84603.50973385344</v>
      </c>
      <c r="Z33" s="127">
        <f t="shared" si="3"/>
        <v>12.486275630593335</v>
      </c>
      <c r="AA33" s="96">
        <f t="shared" si="4"/>
        <v>331631.22978066182</v>
      </c>
      <c r="AB33" s="96">
        <f t="shared" si="5"/>
        <v>345940.78798387933</v>
      </c>
      <c r="AC33" s="96">
        <f t="shared" si="18"/>
        <v>677572.01776454109</v>
      </c>
      <c r="AD33" s="127">
        <f t="shared" si="19"/>
        <v>1.4040324452735056</v>
      </c>
      <c r="AF33" s="132">
        <v>346449</v>
      </c>
      <c r="AG33" s="133">
        <v>358666</v>
      </c>
      <c r="AH33" s="134">
        <v>705115</v>
      </c>
      <c r="AI33" s="127">
        <f t="shared" si="20"/>
        <v>1.4611057004911001</v>
      </c>
    </row>
    <row r="34" spans="2:35" ht="15" thickBot="1" x14ac:dyDescent="0.35">
      <c r="B34" s="125" t="s">
        <v>36</v>
      </c>
      <c r="C34" s="131">
        <v>100</v>
      </c>
      <c r="D34" s="120">
        <v>1607000</v>
      </c>
      <c r="E34" s="123">
        <v>100</v>
      </c>
      <c r="F34" s="121">
        <v>1518000</v>
      </c>
      <c r="G34" s="128">
        <f t="shared" si="8"/>
        <v>3125000</v>
      </c>
      <c r="H34" s="129">
        <f t="shared" si="0"/>
        <v>6.475476077001181</v>
      </c>
      <c r="I34" s="131">
        <v>100</v>
      </c>
      <c r="J34" s="120">
        <v>3425000</v>
      </c>
      <c r="K34" s="123">
        <v>100</v>
      </c>
      <c r="L34" s="120">
        <v>3235000</v>
      </c>
      <c r="M34" s="128">
        <f t="shared" si="11"/>
        <v>6660000</v>
      </c>
      <c r="N34" s="129">
        <f t="shared" si="1"/>
        <v>13.800534615304919</v>
      </c>
      <c r="O34" s="131">
        <v>100</v>
      </c>
      <c r="P34" s="120">
        <v>15664000</v>
      </c>
      <c r="Q34" s="123">
        <v>100</v>
      </c>
      <c r="R34" s="120">
        <v>15588000</v>
      </c>
      <c r="S34" s="128">
        <f t="shared" si="14"/>
        <v>31252000</v>
      </c>
      <c r="T34" s="129">
        <f t="shared" si="2"/>
        <v>64.75890507470109</v>
      </c>
      <c r="U34" s="131">
        <v>100</v>
      </c>
      <c r="V34" s="120">
        <v>3508000</v>
      </c>
      <c r="W34" s="123">
        <v>100</v>
      </c>
      <c r="X34" s="120">
        <v>3714000</v>
      </c>
      <c r="Y34" s="128">
        <f t="shared" si="17"/>
        <v>7222000</v>
      </c>
      <c r="Z34" s="129">
        <f t="shared" si="3"/>
        <v>14.965084232992808</v>
      </c>
      <c r="AA34" s="128">
        <f t="shared" si="4"/>
        <v>24204000</v>
      </c>
      <c r="AB34" s="128">
        <f t="shared" si="5"/>
        <v>24055000</v>
      </c>
      <c r="AC34" s="128">
        <f t="shared" si="18"/>
        <v>48259000</v>
      </c>
      <c r="AD34" s="129">
        <f t="shared" si="19"/>
        <v>100</v>
      </c>
      <c r="AF34" s="135">
        <v>24204000</v>
      </c>
      <c r="AG34" s="136">
        <v>24055000</v>
      </c>
      <c r="AH34" s="136">
        <v>48259000</v>
      </c>
      <c r="AI34" s="129">
        <f t="shared" si="20"/>
        <v>100</v>
      </c>
    </row>
  </sheetData>
  <mergeCells count="7">
    <mergeCell ref="AF1:AI1"/>
    <mergeCell ref="AF2:AI2"/>
    <mergeCell ref="C2:H2"/>
    <mergeCell ref="I2:N2"/>
    <mergeCell ref="O2:T2"/>
    <mergeCell ref="U2:Z2"/>
    <mergeCell ref="AA2:A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Sheet4</vt:lpstr>
      <vt:lpstr>2036</vt:lpstr>
      <vt:lpstr>2031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Antim</dc:creator>
  <cp:lastModifiedBy>CYSD .</cp:lastModifiedBy>
  <dcterms:created xsi:type="dcterms:W3CDTF">2015-06-05T18:17:20Z</dcterms:created>
  <dcterms:modified xsi:type="dcterms:W3CDTF">2024-04-25T11:23:43Z</dcterms:modified>
</cp:coreProperties>
</file>