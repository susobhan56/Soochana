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sd1\Dropbox\DIU_CYSD\For Data Repository\"/>
    </mc:Choice>
  </mc:AlternateContent>
  <xr:revisionPtr revIDLastSave="0" documentId="13_ncr:1_{9C82518E-A189-4A10-A140-A15DCB5C0A88}" xr6:coauthVersionLast="47" xr6:coauthVersionMax="47" xr10:uidLastSave="{00000000-0000-0000-0000-000000000000}"/>
  <bookViews>
    <workbookView xWindow="-108" yWindow="-108" windowWidth="23256" windowHeight="13176" activeTab="1" xr2:uid="{CDD1C153-04FF-45A2-8155-4A3D11E2DC39}"/>
  </bookViews>
  <sheets>
    <sheet name="Diseases" sheetId="1" r:id="rId1"/>
    <sheet name="Socio-economi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" i="3" l="1"/>
</calcChain>
</file>

<file path=xl/sharedStrings.xml><?xml version="1.0" encoding="utf-8"?>
<sst xmlns="http://schemas.openxmlformats.org/spreadsheetml/2006/main" count="152" uniqueCount="98">
  <si>
    <t>Odisha</t>
  </si>
  <si>
    <t>India</t>
  </si>
  <si>
    <t>Hypertension</t>
  </si>
  <si>
    <t>CVDs</t>
  </si>
  <si>
    <t>Diabetes Mellitus</t>
  </si>
  <si>
    <t>Anaemia</t>
  </si>
  <si>
    <t>Chronic Bone/Joint Diseases</t>
  </si>
  <si>
    <t>Arthritis</t>
  </si>
  <si>
    <t>Rheumatism</t>
  </si>
  <si>
    <t>Osteoporosis</t>
  </si>
  <si>
    <t>High Cholesterol</t>
  </si>
  <si>
    <t>Neurological Disorders</t>
  </si>
  <si>
    <t>Chronic Pulmonary/Lung Disorders</t>
  </si>
  <si>
    <t>Gastrointestinal Problems</t>
  </si>
  <si>
    <t>Skin Diseases</t>
  </si>
  <si>
    <t>Thyroid Disorder</t>
  </si>
  <si>
    <t>Visual Impairment</t>
  </si>
  <si>
    <t>Auditory Impairment</t>
  </si>
  <si>
    <t>Dental Carries</t>
  </si>
  <si>
    <t>Periodontal Diseases</t>
  </si>
  <si>
    <t>Common Dental Problems</t>
  </si>
  <si>
    <t>Partial Edentulism</t>
  </si>
  <si>
    <t>Complete Edentulism</t>
  </si>
  <si>
    <t>Angina Pectoris</t>
  </si>
  <si>
    <t>Chronic Pains</t>
  </si>
  <si>
    <t>Sleep Disorders</t>
  </si>
  <si>
    <t>Inpatient Care</t>
  </si>
  <si>
    <t>Outpatient Care</t>
  </si>
  <si>
    <t>Mean Outpatient Care Expenditure</t>
  </si>
  <si>
    <t>Mean Public Inpatient Care Expenditure</t>
  </si>
  <si>
    <t>Mean Private Inpatient Care Expenditure</t>
  </si>
  <si>
    <t>Currently Working</t>
  </si>
  <si>
    <t>Worked in the Past, but Currently not Working</t>
  </si>
  <si>
    <t>Never Worked</t>
  </si>
  <si>
    <t>Agriculture and Allied Sectors</t>
  </si>
  <si>
    <t>Self-employed</t>
  </si>
  <si>
    <t>Salaried Workers</t>
  </si>
  <si>
    <t>Jharkhand</t>
  </si>
  <si>
    <t>Kerala</t>
  </si>
  <si>
    <t>Telangana</t>
  </si>
  <si>
    <t>Work-related Pension</t>
  </si>
  <si>
    <t>Provident Fund</t>
  </si>
  <si>
    <t>MBPY</t>
  </si>
  <si>
    <t>Total</t>
  </si>
  <si>
    <t>NSAP</t>
  </si>
  <si>
    <t>2023-24</t>
  </si>
  <si>
    <t>2020-21</t>
  </si>
  <si>
    <t>Currently Married</t>
  </si>
  <si>
    <t>Widowed</t>
  </si>
  <si>
    <t>Divorced/Separated/Deserted</t>
  </si>
  <si>
    <t>Others</t>
  </si>
  <si>
    <t>Living Alone</t>
  </si>
  <si>
    <t>Living with Spouse</t>
  </si>
  <si>
    <t>Living with Spouse and Children</t>
  </si>
  <si>
    <t>Living with children
Living with Children (without spouse)</t>
  </si>
  <si>
    <t>Living with Others</t>
  </si>
  <si>
    <t>Having Grandchildren</t>
  </si>
  <si>
    <t>Looking After Grandchildren</t>
  </si>
  <si>
    <t>4 or More</t>
  </si>
  <si>
    <t>2-3</t>
  </si>
  <si>
    <t>No. of Grandchildren to Look After</t>
  </si>
  <si>
    <t>Support from Family and Friends</t>
  </si>
  <si>
    <t>Physical</t>
  </si>
  <si>
    <t>Verbal/Emotional</t>
  </si>
  <si>
    <t>Economic Exploitation</t>
  </si>
  <si>
    <t>Neglect</t>
  </si>
  <si>
    <t>Spouse</t>
  </si>
  <si>
    <t>Children/Grandchildren</t>
  </si>
  <si>
    <t>Son-in-Law/Daughter-in-Law</t>
  </si>
  <si>
    <t>Siblings</t>
  </si>
  <si>
    <t>No Schooling</t>
  </si>
  <si>
    <t>Less than Primary School</t>
  </si>
  <si>
    <t>Primary School Completed</t>
  </si>
  <si>
    <t>Secondary School Completed</t>
  </si>
  <si>
    <t>Higher Secondary Completed</t>
  </si>
  <si>
    <t>College and Above</t>
  </si>
  <si>
    <t>Professional Course/Degree</t>
  </si>
  <si>
    <t>Train Travel</t>
  </si>
  <si>
    <t>Bus Travel</t>
  </si>
  <si>
    <t>Air Travel</t>
  </si>
  <si>
    <t>Telecommunication Services</t>
  </si>
  <si>
    <t>Special Bank Interests on Bank Account and Loan</t>
  </si>
  <si>
    <t>Income Tax Benefits</t>
  </si>
  <si>
    <t>No. of Beneficiaries under Pension Schemes 2023-24</t>
  </si>
  <si>
    <t>Work Status</t>
  </si>
  <si>
    <t>Working Sector</t>
  </si>
  <si>
    <t>Mean monthly earnings of currently working older adults (in ₹) from work related activities by age and main job,</t>
  </si>
  <si>
    <t>Social Security</t>
  </si>
  <si>
    <t>Living Condition</t>
  </si>
  <si>
    <t>Crime Against Elderly</t>
  </si>
  <si>
    <t>Education Status</t>
  </si>
  <si>
    <t>Benefits Received by Elderly</t>
  </si>
  <si>
    <t>Source: LASI Wave 1 (2017-18)</t>
  </si>
  <si>
    <t>Source: SSEPD</t>
  </si>
  <si>
    <t>Marital Status of Elderly Men and Women</t>
  </si>
  <si>
    <t>Men</t>
  </si>
  <si>
    <t>Women</t>
  </si>
  <si>
    <t>Criminal Against Elderly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</si>
</sst>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0" fillId="0" borderId="13" xfId="0" applyFont="1" applyBorder="1" applyAlignment="1">
      <alignment wrapText="1"/>
    </xf>
    <xf numFmtId="0" fontId="0" fillId="0" borderId="11" xfId="0" applyFont="1" applyBorder="1" applyAlignment="1">
      <alignment horizontal="center" wrapText="1"/>
    </xf>
    <xf numFmtId="0" fontId="0" fillId="0" borderId="12" xfId="0" applyFont="1" applyBorder="1" applyAlignment="1">
      <alignment horizontal="center" wrapText="1"/>
    </xf>
    <xf numFmtId="0" fontId="0" fillId="0" borderId="14" xfId="0" applyFont="1" applyBorder="1"/>
    <xf numFmtId="0" fontId="0" fillId="0" borderId="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15" xfId="0" applyFont="1" applyBorder="1"/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13" xfId="0" applyFont="1" applyBorder="1"/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3" fillId="0" borderId="0" xfId="0" applyFont="1"/>
    <xf numFmtId="0" fontId="0" fillId="0" borderId="0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3" fontId="0" fillId="0" borderId="8" xfId="0" applyNumberFormat="1" applyBorder="1" applyAlignment="1">
      <alignment horizontal="center" wrapText="1"/>
    </xf>
    <xf numFmtId="3" fontId="0" fillId="0" borderId="9" xfId="0" applyNumberFormat="1" applyBorder="1" applyAlignment="1">
      <alignment horizontal="center" wrapText="1"/>
    </xf>
    <xf numFmtId="0" fontId="0" fillId="0" borderId="1" xfId="0" applyBorder="1"/>
    <xf numFmtId="3" fontId="0" fillId="0" borderId="2" xfId="0" applyNumberFormat="1" applyBorder="1" applyAlignment="1">
      <alignment horizontal="center" wrapText="1"/>
    </xf>
    <xf numFmtId="3" fontId="0" fillId="0" borderId="3" xfId="0" applyNumberFormat="1" applyBorder="1" applyAlignment="1">
      <alignment horizontal="center" wrapText="1"/>
    </xf>
    <xf numFmtId="3" fontId="0" fillId="0" borderId="4" xfId="0" applyNumberFormat="1" applyBorder="1" applyAlignment="1">
      <alignment horizontal="center" wrapText="1"/>
    </xf>
    <xf numFmtId="3" fontId="0" fillId="0" borderId="7" xfId="0" applyNumberFormat="1" applyBorder="1" applyAlignment="1">
      <alignment horizontal="center" wrapText="1"/>
    </xf>
    <xf numFmtId="0" fontId="3" fillId="0" borderId="0" xfId="0" applyFont="1" applyFill="1"/>
    <xf numFmtId="0" fontId="0" fillId="0" borderId="0" xfId="0" applyFill="1"/>
    <xf numFmtId="166" fontId="0" fillId="0" borderId="0" xfId="0" applyNumberFormat="1" applyFill="1"/>
    <xf numFmtId="0" fontId="2" fillId="0" borderId="0" xfId="0" applyFont="1" applyFill="1" applyAlignment="1">
      <alignment horizontal="justify" vertical="center"/>
    </xf>
    <xf numFmtId="0" fontId="0" fillId="0" borderId="0" xfId="0" applyFill="1" applyAlignment="1">
      <alignment wrapText="1"/>
    </xf>
    <xf numFmtId="0" fontId="3" fillId="0" borderId="0" xfId="0" applyFont="1" applyFill="1" applyAlignment="1">
      <alignment wrapText="1"/>
    </xf>
    <xf numFmtId="0" fontId="0" fillId="0" borderId="2" xfId="0" applyFill="1" applyBorder="1"/>
    <xf numFmtId="0" fontId="0" fillId="0" borderId="5" xfId="0" applyFill="1" applyBorder="1"/>
    <xf numFmtId="0" fontId="0" fillId="0" borderId="0" xfId="0" applyFill="1" applyBorder="1" applyAlignment="1">
      <alignment wrapText="1"/>
    </xf>
    <xf numFmtId="0" fontId="0" fillId="0" borderId="7" xfId="0" applyFill="1" applyBorder="1"/>
    <xf numFmtId="0" fontId="0" fillId="0" borderId="10" xfId="0" applyFill="1" applyBorder="1"/>
    <xf numFmtId="0" fontId="0" fillId="0" borderId="11" xfId="0" applyFill="1" applyBorder="1" applyAlignment="1">
      <alignment wrapText="1"/>
    </xf>
    <xf numFmtId="0" fontId="0" fillId="0" borderId="12" xfId="0" applyFill="1" applyBorder="1" applyAlignment="1">
      <alignment wrapText="1"/>
    </xf>
    <xf numFmtId="0" fontId="3" fillId="0" borderId="0" xfId="0" applyFont="1" applyFill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12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9" xfId="0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165" fontId="0" fillId="0" borderId="0" xfId="0" applyNumberFormat="1" applyFill="1" applyBorder="1" applyAlignment="1">
      <alignment horizontal="center" wrapText="1"/>
    </xf>
    <xf numFmtId="165" fontId="0" fillId="0" borderId="6" xfId="0" applyNumberFormat="1" applyFill="1" applyBorder="1" applyAlignment="1">
      <alignment horizontal="center" wrapText="1"/>
    </xf>
    <xf numFmtId="165" fontId="0" fillId="0" borderId="8" xfId="0" applyNumberFormat="1" applyFill="1" applyBorder="1" applyAlignment="1">
      <alignment horizontal="center" wrapText="1"/>
    </xf>
    <xf numFmtId="165" fontId="0" fillId="0" borderId="9" xfId="0" applyNumberFormat="1" applyFill="1" applyBorder="1" applyAlignment="1">
      <alignment horizontal="center" wrapText="1"/>
    </xf>
    <xf numFmtId="3" fontId="0" fillId="0" borderId="0" xfId="0" applyNumberFormat="1" applyFill="1" applyBorder="1" applyAlignment="1">
      <alignment horizontal="center" wrapText="1"/>
    </xf>
    <xf numFmtId="3" fontId="0" fillId="0" borderId="6" xfId="0" applyNumberFormat="1" applyFill="1" applyBorder="1" applyAlignment="1">
      <alignment horizontal="center" wrapText="1"/>
    </xf>
    <xf numFmtId="3" fontId="0" fillId="0" borderId="8" xfId="0" applyNumberFormat="1" applyFill="1" applyBorder="1" applyAlignment="1">
      <alignment horizontal="center" wrapText="1"/>
    </xf>
    <xf numFmtId="3" fontId="0" fillId="0" borderId="9" xfId="0" applyNumberFormat="1" applyFill="1" applyBorder="1" applyAlignment="1">
      <alignment horizontal="center" wrapText="1"/>
    </xf>
    <xf numFmtId="165" fontId="0" fillId="0" borderId="6" xfId="0" applyNumberFormat="1" applyFill="1" applyBorder="1" applyAlignment="1">
      <alignment wrapText="1"/>
    </xf>
    <xf numFmtId="9" fontId="0" fillId="0" borderId="9" xfId="1" applyFont="1" applyFill="1" applyBorder="1" applyAlignment="1">
      <alignment wrapText="1"/>
    </xf>
    <xf numFmtId="0" fontId="2" fillId="0" borderId="2" xfId="0" applyFont="1" applyFill="1" applyBorder="1" applyAlignment="1">
      <alignment horizontal="justify" vertical="center"/>
    </xf>
    <xf numFmtId="0" fontId="2" fillId="0" borderId="5" xfId="0" applyFont="1" applyFill="1" applyBorder="1" applyAlignment="1">
      <alignment horizontal="justify" vertical="center"/>
    </xf>
    <xf numFmtId="0" fontId="2" fillId="0" borderId="7" xfId="0" applyFont="1" applyFill="1" applyBorder="1" applyAlignment="1">
      <alignment horizontal="justify" vertical="center"/>
    </xf>
    <xf numFmtId="0" fontId="0" fillId="0" borderId="10" xfId="0" applyFill="1" applyBorder="1" applyAlignment="1">
      <alignment horizontal="center" wrapText="1"/>
    </xf>
    <xf numFmtId="165" fontId="0" fillId="0" borderId="5" xfId="0" applyNumberFormat="1" applyFill="1" applyBorder="1" applyAlignment="1">
      <alignment horizontal="center" wrapText="1"/>
    </xf>
    <xf numFmtId="165" fontId="0" fillId="0" borderId="7" xfId="0" applyNumberFormat="1" applyFill="1" applyBorder="1" applyAlignment="1">
      <alignment horizontal="center" wrapText="1"/>
    </xf>
    <xf numFmtId="0" fontId="0" fillId="0" borderId="6" xfId="0" applyFill="1" applyBorder="1"/>
    <xf numFmtId="49" fontId="0" fillId="0" borderId="8" xfId="0" applyNumberFormat="1" applyFill="1" applyBorder="1" applyAlignment="1">
      <alignment horizontal="center" wrapText="1"/>
    </xf>
    <xf numFmtId="49" fontId="0" fillId="0" borderId="9" xfId="0" applyNumberFormat="1" applyFill="1" applyBorder="1" applyAlignment="1">
      <alignment horizontal="center"/>
    </xf>
    <xf numFmtId="165" fontId="0" fillId="0" borderId="6" xfId="0" applyNumberFormat="1" applyFill="1" applyBorder="1" applyAlignment="1">
      <alignment horizontal="center"/>
    </xf>
    <xf numFmtId="165" fontId="0" fillId="0" borderId="9" xfId="0" applyNumberFormat="1" applyFill="1" applyBorder="1" applyAlignment="1">
      <alignment horizontal="center"/>
    </xf>
    <xf numFmtId="49" fontId="0" fillId="0" borderId="7" xfId="0" applyNumberFormat="1" applyFill="1" applyBorder="1" applyAlignment="1">
      <alignment horizontal="center" wrapText="1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0" fontId="0" fillId="0" borderId="2" xfId="0" applyFill="1" applyBorder="1" applyAlignment="1">
      <alignment wrapText="1"/>
    </xf>
    <xf numFmtId="165" fontId="0" fillId="0" borderId="8" xfId="1" applyNumberFormat="1" applyFont="1" applyFill="1" applyBorder="1" applyAlignment="1">
      <alignment horizontal="center" wrapText="1"/>
    </xf>
    <xf numFmtId="165" fontId="0" fillId="0" borderId="8" xfId="1" applyNumberFormat="1" applyFont="1" applyFill="1" applyBorder="1" applyAlignment="1">
      <alignment wrapText="1"/>
    </xf>
    <xf numFmtId="165" fontId="0" fillId="0" borderId="8" xfId="1" applyNumberFormat="1" applyFont="1" applyFill="1" applyBorder="1"/>
    <xf numFmtId="165" fontId="0" fillId="0" borderId="9" xfId="1" applyNumberFormat="1" applyFont="1" applyFill="1" applyBorder="1"/>
    <xf numFmtId="165" fontId="0" fillId="0" borderId="7" xfId="1" applyNumberFormat="1" applyFont="1" applyFill="1" applyBorder="1" applyAlignment="1">
      <alignment horizontal="center" wrapText="1"/>
    </xf>
    <xf numFmtId="0" fontId="0" fillId="0" borderId="13" xfId="0" applyFill="1" applyBorder="1" applyAlignment="1">
      <alignment wrapText="1"/>
    </xf>
    <xf numFmtId="0" fontId="0" fillId="0" borderId="14" xfId="0" applyFill="1" applyBorder="1"/>
    <xf numFmtId="0" fontId="0" fillId="0" borderId="15" xfId="0" applyFill="1" applyBorder="1"/>
    <xf numFmtId="165" fontId="0" fillId="0" borderId="0" xfId="0" applyNumberFormat="1" applyFill="1" applyBorder="1" applyAlignment="1">
      <alignment horizontal="center"/>
    </xf>
    <xf numFmtId="165" fontId="0" fillId="0" borderId="8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66" fontId="0" fillId="0" borderId="9" xfId="0" applyNumberForma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left"/>
    </xf>
    <xf numFmtId="0" fontId="0" fillId="0" borderId="15" xfId="0" applyFill="1" applyBorder="1" applyAlignment="1">
      <alignment horizontal="left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057C-A832-4D14-8CEE-2064904F4594}">
  <dimension ref="B1:R47"/>
  <sheetViews>
    <sheetView zoomScale="88" workbookViewId="0">
      <selection activeCell="H37" sqref="H37"/>
    </sheetView>
  </sheetViews>
  <sheetFormatPr defaultRowHeight="14.4" x14ac:dyDescent="0.3"/>
  <cols>
    <col min="1" max="2" width="8.88671875" style="10"/>
    <col min="3" max="3" width="14.109375" style="11" bestFit="1" customWidth="1"/>
    <col min="4" max="4" width="18.109375" style="11" bestFit="1" customWidth="1"/>
    <col min="5" max="5" width="22.5546875" style="11" bestFit="1" customWidth="1"/>
    <col min="6" max="6" width="15.6640625" style="11" bestFit="1" customWidth="1"/>
    <col min="7" max="7" width="18.44140625" style="11" bestFit="1" customWidth="1"/>
    <col min="8" max="8" width="11.6640625" style="11" bestFit="1" customWidth="1"/>
    <col min="9" max="9" width="7.88671875" style="11" bestFit="1" customWidth="1"/>
    <col min="10" max="10" width="7.44140625" style="11" bestFit="1" customWidth="1"/>
    <col min="11" max="11" width="11.109375" style="11" bestFit="1" customWidth="1"/>
    <col min="12" max="12" width="11.77734375" style="11" bestFit="1" customWidth="1"/>
    <col min="13" max="13" width="9.88671875" style="11" bestFit="1" customWidth="1"/>
    <col min="14" max="15" width="10.44140625" style="11" bestFit="1" customWidth="1"/>
    <col min="16" max="16" width="8" style="11" bestFit="1" customWidth="1"/>
    <col min="17" max="17" width="11.88671875" style="11" bestFit="1" customWidth="1"/>
    <col min="18" max="18" width="8.5546875" style="11" bestFit="1" customWidth="1"/>
    <col min="19" max="16384" width="8.88671875" style="10"/>
  </cols>
  <sheetData>
    <row r="1" spans="2:18" ht="15" thickBot="1" x14ac:dyDescent="0.35"/>
    <row r="2" spans="2:18" s="12" customFormat="1" ht="43.8" thickBot="1" x14ac:dyDescent="0.35">
      <c r="B2" s="13"/>
      <c r="C2" s="14" t="s">
        <v>2</v>
      </c>
      <c r="D2" s="14" t="s">
        <v>3</v>
      </c>
      <c r="E2" s="14" t="s">
        <v>6</v>
      </c>
      <c r="F2" s="14" t="s">
        <v>5</v>
      </c>
      <c r="G2" s="14" t="s">
        <v>13</v>
      </c>
      <c r="H2" s="14" t="s">
        <v>14</v>
      </c>
      <c r="I2" s="14" t="s">
        <v>15</v>
      </c>
      <c r="J2" s="14" t="s">
        <v>7</v>
      </c>
      <c r="K2" s="14" t="s">
        <v>8</v>
      </c>
      <c r="L2" s="14" t="s">
        <v>9</v>
      </c>
      <c r="M2" s="14" t="s">
        <v>6</v>
      </c>
      <c r="N2" s="14" t="s">
        <v>16</v>
      </c>
      <c r="O2" s="14" t="s">
        <v>17</v>
      </c>
      <c r="P2" s="14" t="s">
        <v>23</v>
      </c>
      <c r="Q2" s="14" t="s">
        <v>24</v>
      </c>
      <c r="R2" s="15" t="s">
        <v>20</v>
      </c>
    </row>
    <row r="3" spans="2:18" x14ac:dyDescent="0.3">
      <c r="B3" s="16" t="s">
        <v>0</v>
      </c>
      <c r="C3" s="17">
        <v>27</v>
      </c>
      <c r="D3" s="17">
        <v>28.2</v>
      </c>
      <c r="E3" s="17">
        <v>17.399999999999999</v>
      </c>
      <c r="F3" s="17">
        <v>2.9</v>
      </c>
      <c r="G3" s="17">
        <v>32.4</v>
      </c>
      <c r="H3" s="17">
        <v>10.1</v>
      </c>
      <c r="I3" s="17">
        <v>1.3</v>
      </c>
      <c r="J3" s="17">
        <v>16.7</v>
      </c>
      <c r="K3" s="17">
        <v>1.8</v>
      </c>
      <c r="L3" s="17">
        <v>0.3</v>
      </c>
      <c r="M3" s="17">
        <v>17.399999999999999</v>
      </c>
      <c r="N3" s="17">
        <v>33.4</v>
      </c>
      <c r="O3" s="17">
        <v>6.5</v>
      </c>
      <c r="P3" s="17">
        <v>4.4000000000000004</v>
      </c>
      <c r="Q3" s="17">
        <v>49.3</v>
      </c>
      <c r="R3" s="18">
        <v>39.700000000000003</v>
      </c>
    </row>
    <row r="4" spans="2:18" ht="15" thickBot="1" x14ac:dyDescent="0.35">
      <c r="B4" s="19" t="s">
        <v>1</v>
      </c>
      <c r="C4" s="20">
        <v>32</v>
      </c>
      <c r="D4" s="20">
        <v>34.6</v>
      </c>
      <c r="E4" s="20">
        <v>18.8</v>
      </c>
      <c r="F4" s="20">
        <v>4.7</v>
      </c>
      <c r="G4" s="20">
        <v>19.100000000000001</v>
      </c>
      <c r="H4" s="20">
        <v>5.2</v>
      </c>
      <c r="I4" s="20">
        <v>2.2000000000000002</v>
      </c>
      <c r="J4" s="20">
        <v>10.7</v>
      </c>
      <c r="K4" s="20">
        <v>7.6</v>
      </c>
      <c r="L4" s="20">
        <v>1.3</v>
      </c>
      <c r="M4" s="20">
        <v>18.8</v>
      </c>
      <c r="N4" s="20">
        <v>55.3</v>
      </c>
      <c r="O4" s="20">
        <v>9.6</v>
      </c>
      <c r="P4" s="20">
        <v>6.2</v>
      </c>
      <c r="Q4" s="20">
        <v>29.3</v>
      </c>
      <c r="R4" s="21">
        <v>51.3</v>
      </c>
    </row>
    <row r="7" spans="2:18" ht="15" thickBot="1" x14ac:dyDescent="0.35"/>
    <row r="8" spans="2:18" s="12" customFormat="1" ht="43.8" thickBot="1" x14ac:dyDescent="0.35">
      <c r="B8" s="13"/>
      <c r="C8" s="14" t="s">
        <v>7</v>
      </c>
      <c r="D8" s="14" t="s">
        <v>8</v>
      </c>
      <c r="E8" s="14" t="s">
        <v>9</v>
      </c>
      <c r="F8" s="15" t="s">
        <v>6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</row>
    <row r="9" spans="2:18" x14ac:dyDescent="0.3">
      <c r="B9" s="16" t="s">
        <v>0</v>
      </c>
      <c r="C9" s="17">
        <v>16.7</v>
      </c>
      <c r="D9" s="17">
        <v>1.8</v>
      </c>
      <c r="E9" s="17">
        <v>0.3</v>
      </c>
      <c r="F9" s="18">
        <v>17.399999999999999</v>
      </c>
    </row>
    <row r="10" spans="2:18" ht="15" thickBot="1" x14ac:dyDescent="0.35">
      <c r="B10" s="19" t="s">
        <v>1</v>
      </c>
      <c r="C10" s="20">
        <v>10.7</v>
      </c>
      <c r="D10" s="20">
        <v>7.6</v>
      </c>
      <c r="E10" s="20">
        <v>1.3</v>
      </c>
      <c r="F10" s="21">
        <v>18.8</v>
      </c>
    </row>
    <row r="12" spans="2:18" ht="15" thickBot="1" x14ac:dyDescent="0.35"/>
    <row r="13" spans="2:18" s="12" customFormat="1" ht="43.8" thickBot="1" x14ac:dyDescent="0.35">
      <c r="B13" s="13"/>
      <c r="C13" s="23" t="s">
        <v>11</v>
      </c>
      <c r="D13" s="14" t="s">
        <v>12</v>
      </c>
      <c r="E13" s="14" t="s">
        <v>4</v>
      </c>
      <c r="F13" s="14" t="s">
        <v>5</v>
      </c>
      <c r="G13" s="15" t="s">
        <v>10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2:18" x14ac:dyDescent="0.3">
      <c r="B14" s="16" t="s">
        <v>0</v>
      </c>
      <c r="C14" s="17">
        <v>1.3</v>
      </c>
      <c r="D14" s="17">
        <v>4.7</v>
      </c>
      <c r="E14" s="17">
        <v>9.9</v>
      </c>
      <c r="F14" s="17">
        <v>2.9</v>
      </c>
      <c r="G14" s="18">
        <v>1.5</v>
      </c>
    </row>
    <row r="15" spans="2:18" ht="15" thickBot="1" x14ac:dyDescent="0.35">
      <c r="B15" s="19" t="s">
        <v>1</v>
      </c>
      <c r="C15" s="20">
        <v>2.6</v>
      </c>
      <c r="D15" s="20">
        <v>8.3000000000000007</v>
      </c>
      <c r="E15" s="20">
        <v>14.2</v>
      </c>
      <c r="F15" s="20">
        <v>4.7</v>
      </c>
      <c r="G15" s="21">
        <v>2.5</v>
      </c>
    </row>
    <row r="17" spans="2:18" ht="15" thickBot="1" x14ac:dyDescent="0.35"/>
    <row r="18" spans="2:18" s="12" customFormat="1" ht="29.4" thickBot="1" x14ac:dyDescent="0.35">
      <c r="B18" s="13"/>
      <c r="C18" s="23" t="s">
        <v>13</v>
      </c>
      <c r="D18" s="14" t="s">
        <v>14</v>
      </c>
      <c r="E18" s="15" t="s">
        <v>15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2:18" x14ac:dyDescent="0.3">
      <c r="B19" s="16" t="s">
        <v>0</v>
      </c>
      <c r="C19" s="17">
        <v>32.4</v>
      </c>
      <c r="D19" s="17">
        <v>10.1</v>
      </c>
      <c r="E19" s="18">
        <v>1.3</v>
      </c>
    </row>
    <row r="20" spans="2:18" ht="15" thickBot="1" x14ac:dyDescent="0.35">
      <c r="B20" s="19" t="s">
        <v>1</v>
      </c>
      <c r="C20" s="20">
        <v>19.100000000000001</v>
      </c>
      <c r="D20" s="20">
        <v>5.2</v>
      </c>
      <c r="E20" s="21">
        <v>2.2000000000000002</v>
      </c>
    </row>
    <row r="22" spans="2:18" ht="15" thickBot="1" x14ac:dyDescent="0.35"/>
    <row r="23" spans="2:18" s="12" customFormat="1" ht="29.4" thickBot="1" x14ac:dyDescent="0.35">
      <c r="B23" s="13"/>
      <c r="C23" s="23" t="s">
        <v>16</v>
      </c>
      <c r="D23" s="15" t="s">
        <v>17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2:18" x14ac:dyDescent="0.3">
      <c r="B24" s="16" t="s">
        <v>0</v>
      </c>
      <c r="C24" s="17">
        <v>33.4</v>
      </c>
      <c r="D24" s="18">
        <v>6.5</v>
      </c>
    </row>
    <row r="25" spans="2:18" ht="15" thickBot="1" x14ac:dyDescent="0.35">
      <c r="B25" s="19" t="s">
        <v>1</v>
      </c>
      <c r="C25" s="20">
        <v>55.3</v>
      </c>
      <c r="D25" s="21">
        <v>9.6</v>
      </c>
    </row>
    <row r="26" spans="2:18" ht="15" thickBot="1" x14ac:dyDescent="0.35"/>
    <row r="27" spans="2:18" ht="15" thickBot="1" x14ac:dyDescent="0.35">
      <c r="B27" s="24"/>
      <c r="C27" s="25" t="s">
        <v>18</v>
      </c>
      <c r="D27" s="26" t="s">
        <v>19</v>
      </c>
      <c r="E27" s="26" t="s">
        <v>20</v>
      </c>
      <c r="F27" s="26" t="s">
        <v>21</v>
      </c>
      <c r="G27" s="27" t="s">
        <v>22</v>
      </c>
    </row>
    <row r="28" spans="2:18" x14ac:dyDescent="0.3">
      <c r="B28" s="16" t="s">
        <v>0</v>
      </c>
      <c r="C28" s="17">
        <v>14</v>
      </c>
      <c r="D28" s="17">
        <v>12.2</v>
      </c>
      <c r="E28" s="17">
        <v>39.700000000000003</v>
      </c>
      <c r="F28" s="17">
        <v>76.099999999999994</v>
      </c>
      <c r="G28" s="18">
        <v>7.8</v>
      </c>
    </row>
    <row r="29" spans="2:18" ht="15" thickBot="1" x14ac:dyDescent="0.35">
      <c r="B29" s="19" t="s">
        <v>1</v>
      </c>
      <c r="C29" s="20">
        <v>19.5</v>
      </c>
      <c r="D29" s="20">
        <v>16</v>
      </c>
      <c r="E29" s="20">
        <v>51.3</v>
      </c>
      <c r="F29" s="20">
        <v>72</v>
      </c>
      <c r="G29" s="21">
        <v>11.2</v>
      </c>
    </row>
    <row r="31" spans="2:18" ht="15" thickBot="1" x14ac:dyDescent="0.35"/>
    <row r="32" spans="2:18" ht="15" thickBot="1" x14ac:dyDescent="0.35">
      <c r="B32" s="24"/>
      <c r="C32" s="25" t="s">
        <v>23</v>
      </c>
      <c r="D32" s="26" t="s">
        <v>24</v>
      </c>
      <c r="E32" s="27" t="s">
        <v>25</v>
      </c>
    </row>
    <row r="33" spans="2:6" x14ac:dyDescent="0.3">
      <c r="B33" s="16" t="s">
        <v>0</v>
      </c>
      <c r="C33" s="17">
        <v>4.4000000000000004</v>
      </c>
      <c r="D33" s="17">
        <v>49.3</v>
      </c>
      <c r="E33" s="18">
        <v>11</v>
      </c>
    </row>
    <row r="34" spans="2:6" ht="15" thickBot="1" x14ac:dyDescent="0.35">
      <c r="B34" s="19" t="s">
        <v>1</v>
      </c>
      <c r="C34" s="20">
        <v>6.2</v>
      </c>
      <c r="D34" s="20">
        <v>29.3</v>
      </c>
      <c r="E34" s="21">
        <v>14.8</v>
      </c>
    </row>
    <row r="36" spans="2:6" ht="15" thickBot="1" x14ac:dyDescent="0.35"/>
    <row r="37" spans="2:6" ht="15" thickBot="1" x14ac:dyDescent="0.35">
      <c r="B37" s="9"/>
      <c r="C37" s="4" t="s">
        <v>27</v>
      </c>
      <c r="D37" s="6" t="s">
        <v>26</v>
      </c>
      <c r="E37" s="3"/>
      <c r="F37" s="2"/>
    </row>
    <row r="38" spans="2:6" x14ac:dyDescent="0.3">
      <c r="B38" s="7" t="s">
        <v>0</v>
      </c>
      <c r="C38" s="29">
        <v>24.5</v>
      </c>
      <c r="D38" s="30">
        <v>5.5</v>
      </c>
      <c r="E38" s="3"/>
      <c r="F38" s="2"/>
    </row>
    <row r="39" spans="2:6" ht="15" thickBot="1" x14ac:dyDescent="0.35">
      <c r="B39" s="8" t="s">
        <v>1</v>
      </c>
      <c r="C39" s="31">
        <v>28.6</v>
      </c>
      <c r="D39" s="32">
        <v>8</v>
      </c>
      <c r="E39" s="3"/>
      <c r="F39" s="2"/>
    </row>
    <row r="40" spans="2:6" x14ac:dyDescent="0.3">
      <c r="B40"/>
      <c r="C40" s="3"/>
      <c r="D40" s="3"/>
      <c r="E40" s="3"/>
      <c r="F40" s="2"/>
    </row>
    <row r="41" spans="2:6" x14ac:dyDescent="0.3">
      <c r="B41"/>
      <c r="C41" s="3"/>
      <c r="D41" s="3"/>
      <c r="E41" s="3"/>
      <c r="F41" s="2"/>
    </row>
    <row r="42" spans="2:6" ht="15" thickBot="1" x14ac:dyDescent="0.35">
      <c r="B42"/>
      <c r="C42" s="3"/>
      <c r="D42" s="3"/>
      <c r="E42" s="3"/>
      <c r="F42" s="2"/>
    </row>
    <row r="43" spans="2:6" ht="43.8" thickBot="1" x14ac:dyDescent="0.35">
      <c r="B43" s="35"/>
      <c r="C43" s="5" t="s">
        <v>28</v>
      </c>
      <c r="D43" s="5" t="s">
        <v>29</v>
      </c>
      <c r="E43" s="6" t="s">
        <v>30</v>
      </c>
      <c r="F43" s="2"/>
    </row>
    <row r="44" spans="2:6" x14ac:dyDescent="0.3">
      <c r="B44" s="7" t="s">
        <v>0</v>
      </c>
      <c r="C44" s="36">
        <v>1310</v>
      </c>
      <c r="D44" s="37">
        <v>11083</v>
      </c>
      <c r="E44" s="38">
        <v>46163</v>
      </c>
      <c r="F44" s="2"/>
    </row>
    <row r="45" spans="2:6" ht="15" thickBot="1" x14ac:dyDescent="0.35">
      <c r="B45" s="8" t="s">
        <v>1</v>
      </c>
      <c r="C45" s="39">
        <v>1149</v>
      </c>
      <c r="D45" s="33">
        <v>8028</v>
      </c>
      <c r="E45" s="34">
        <v>31933</v>
      </c>
      <c r="F45" s="2"/>
    </row>
    <row r="47" spans="2:6" x14ac:dyDescent="0.3">
      <c r="B47" s="28" t="s">
        <v>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B4F2-BE84-42F0-A058-18917A15A147}">
  <dimension ref="B1:I70"/>
  <sheetViews>
    <sheetView tabSelected="1" zoomScale="93" zoomScaleNormal="85" workbookViewId="0">
      <selection activeCell="G2" sqref="G2"/>
    </sheetView>
  </sheetViews>
  <sheetFormatPr defaultRowHeight="14.4" x14ac:dyDescent="0.3"/>
  <cols>
    <col min="2" max="2" width="17.77734375" customWidth="1"/>
    <col min="3" max="5" width="18.77734375" style="3" customWidth="1"/>
    <col min="6" max="6" width="18.21875" style="1" customWidth="1"/>
    <col min="7" max="9" width="15.5546875" customWidth="1"/>
  </cols>
  <sheetData>
    <row r="1" spans="2:6" s="40" customFormat="1" ht="15" thickBot="1" x14ac:dyDescent="0.35">
      <c r="B1" s="40" t="s">
        <v>84</v>
      </c>
      <c r="C1" s="53"/>
      <c r="D1" s="53"/>
      <c r="E1" s="53"/>
      <c r="F1" s="45"/>
    </row>
    <row r="2" spans="2:6" s="41" customFormat="1" ht="43.8" thickBot="1" x14ac:dyDescent="0.35">
      <c r="B2" s="50"/>
      <c r="C2" s="54" t="s">
        <v>31</v>
      </c>
      <c r="D2" s="54" t="s">
        <v>32</v>
      </c>
      <c r="E2" s="55" t="s">
        <v>33</v>
      </c>
      <c r="F2" s="44"/>
    </row>
    <row r="3" spans="2:6" s="41" customFormat="1" x14ac:dyDescent="0.3">
      <c r="B3" s="47" t="s">
        <v>0</v>
      </c>
      <c r="C3" s="56">
        <v>37.299999999999997</v>
      </c>
      <c r="D3" s="56">
        <v>30.2</v>
      </c>
      <c r="E3" s="57">
        <v>32.5</v>
      </c>
      <c r="F3" s="44"/>
    </row>
    <row r="4" spans="2:6" s="41" customFormat="1" ht="15" thickBot="1" x14ac:dyDescent="0.35">
      <c r="B4" s="49" t="s">
        <v>1</v>
      </c>
      <c r="C4" s="58">
        <v>35.700000000000003</v>
      </c>
      <c r="D4" s="58">
        <v>37.9</v>
      </c>
      <c r="E4" s="59">
        <v>26.4</v>
      </c>
      <c r="F4" s="44"/>
    </row>
    <row r="5" spans="2:6" s="41" customFormat="1" x14ac:dyDescent="0.3">
      <c r="C5" s="60"/>
      <c r="D5" s="60"/>
      <c r="E5" s="60"/>
      <c r="F5" s="44"/>
    </row>
    <row r="6" spans="2:6" s="40" customFormat="1" ht="15" thickBot="1" x14ac:dyDescent="0.35">
      <c r="B6" s="40" t="s">
        <v>85</v>
      </c>
      <c r="C6" s="53"/>
      <c r="D6" s="53"/>
      <c r="E6" s="53"/>
      <c r="F6" s="45"/>
    </row>
    <row r="7" spans="2:6" s="41" customFormat="1" ht="29.4" thickBot="1" x14ac:dyDescent="0.35">
      <c r="B7" s="50"/>
      <c r="C7" s="54" t="s">
        <v>34</v>
      </c>
      <c r="D7" s="54" t="s">
        <v>35</v>
      </c>
      <c r="E7" s="55" t="s">
        <v>36</v>
      </c>
      <c r="F7" s="44"/>
    </row>
    <row r="8" spans="2:6" s="41" customFormat="1" x14ac:dyDescent="0.3">
      <c r="B8" s="47" t="s">
        <v>0</v>
      </c>
      <c r="C8" s="63">
        <v>0.72199999999999998</v>
      </c>
      <c r="D8" s="63">
        <v>0.14699999999999999</v>
      </c>
      <c r="E8" s="64">
        <v>0.13200000000000001</v>
      </c>
      <c r="F8" s="44"/>
    </row>
    <row r="9" spans="2:6" s="41" customFormat="1" x14ac:dyDescent="0.3">
      <c r="B9" s="47" t="s">
        <v>37</v>
      </c>
      <c r="C9" s="63">
        <v>0.76400000000000001</v>
      </c>
      <c r="D9" s="63">
        <v>0.158</v>
      </c>
      <c r="E9" s="64">
        <v>7.8E-2</v>
      </c>
      <c r="F9" s="44"/>
    </row>
    <row r="10" spans="2:6" s="41" customFormat="1" x14ac:dyDescent="0.3">
      <c r="B10" s="47" t="s">
        <v>39</v>
      </c>
      <c r="C10" s="63">
        <v>0.66800000000000004</v>
      </c>
      <c r="D10" s="63">
        <v>0.158</v>
      </c>
      <c r="E10" s="64">
        <v>0.17399999999999999</v>
      </c>
      <c r="F10" s="44"/>
    </row>
    <row r="11" spans="2:6" s="41" customFormat="1" ht="15" thickBot="1" x14ac:dyDescent="0.35">
      <c r="B11" s="49" t="s">
        <v>1</v>
      </c>
      <c r="C11" s="65">
        <v>0.64800000000000002</v>
      </c>
      <c r="D11" s="65">
        <v>0.16600000000000001</v>
      </c>
      <c r="E11" s="66">
        <v>0.186</v>
      </c>
      <c r="F11" s="44"/>
    </row>
    <row r="12" spans="2:6" s="41" customFormat="1" x14ac:dyDescent="0.3">
      <c r="C12" s="60"/>
      <c r="D12" s="60"/>
      <c r="E12" s="60"/>
      <c r="F12" s="44"/>
    </row>
    <row r="13" spans="2:6" s="41" customFormat="1" x14ac:dyDescent="0.3">
      <c r="C13" s="60"/>
      <c r="D13" s="60"/>
      <c r="E13" s="60"/>
      <c r="F13" s="44"/>
    </row>
    <row r="14" spans="2:6" s="40" customFormat="1" ht="15" thickBot="1" x14ac:dyDescent="0.35">
      <c r="B14" s="40" t="s">
        <v>86</v>
      </c>
      <c r="C14" s="53"/>
      <c r="D14" s="53"/>
      <c r="E14" s="53"/>
      <c r="F14" s="45"/>
    </row>
    <row r="15" spans="2:6" s="41" customFormat="1" ht="29.4" thickBot="1" x14ac:dyDescent="0.35">
      <c r="B15" s="50"/>
      <c r="C15" s="54" t="s">
        <v>34</v>
      </c>
      <c r="D15" s="54" t="s">
        <v>35</v>
      </c>
      <c r="E15" s="55" t="s">
        <v>36</v>
      </c>
      <c r="F15" s="44"/>
    </row>
    <row r="16" spans="2:6" s="41" customFormat="1" x14ac:dyDescent="0.3">
      <c r="B16" s="47" t="s">
        <v>0</v>
      </c>
      <c r="C16" s="67">
        <v>3838</v>
      </c>
      <c r="D16" s="67">
        <v>7015</v>
      </c>
      <c r="E16" s="68">
        <v>7148</v>
      </c>
      <c r="F16" s="44"/>
    </row>
    <row r="17" spans="2:6" s="41" customFormat="1" x14ac:dyDescent="0.3">
      <c r="B17" s="47" t="s">
        <v>37</v>
      </c>
      <c r="C17" s="67">
        <v>4024</v>
      </c>
      <c r="D17" s="67">
        <v>5972</v>
      </c>
      <c r="E17" s="68">
        <v>7419</v>
      </c>
      <c r="F17" s="44"/>
    </row>
    <row r="18" spans="2:6" s="41" customFormat="1" x14ac:dyDescent="0.3">
      <c r="B18" s="47" t="s">
        <v>38</v>
      </c>
      <c r="C18" s="67">
        <v>9544</v>
      </c>
      <c r="D18" s="67">
        <v>10953</v>
      </c>
      <c r="E18" s="68">
        <v>10510</v>
      </c>
      <c r="F18" s="44"/>
    </row>
    <row r="19" spans="2:6" s="41" customFormat="1" ht="15" thickBot="1" x14ac:dyDescent="0.35">
      <c r="B19" s="49" t="s">
        <v>1</v>
      </c>
      <c r="C19" s="69">
        <v>4856</v>
      </c>
      <c r="D19" s="69">
        <v>8142</v>
      </c>
      <c r="E19" s="70">
        <v>7012</v>
      </c>
      <c r="F19" s="44"/>
    </row>
    <row r="20" spans="2:6" s="41" customFormat="1" x14ac:dyDescent="0.3">
      <c r="C20" s="60"/>
      <c r="D20" s="60"/>
      <c r="E20" s="60"/>
      <c r="F20" s="44"/>
    </row>
    <row r="21" spans="2:6" s="40" customFormat="1" ht="15" thickBot="1" x14ac:dyDescent="0.35">
      <c r="B21" s="40" t="s">
        <v>87</v>
      </c>
      <c r="C21" s="53"/>
      <c r="D21" s="53"/>
      <c r="E21" s="53"/>
      <c r="F21" s="45"/>
    </row>
    <row r="22" spans="2:6" s="41" customFormat="1" ht="29.4" thickBot="1" x14ac:dyDescent="0.35">
      <c r="B22" s="50"/>
      <c r="C22" s="54" t="s">
        <v>40</v>
      </c>
      <c r="D22" s="54" t="s">
        <v>41</v>
      </c>
      <c r="E22" s="54" t="s">
        <v>31</v>
      </c>
      <c r="F22" s="52" t="s">
        <v>61</v>
      </c>
    </row>
    <row r="23" spans="2:6" s="41" customFormat="1" x14ac:dyDescent="0.3">
      <c r="B23" s="47" t="s">
        <v>0</v>
      </c>
      <c r="C23" s="63">
        <v>5.5E-2</v>
      </c>
      <c r="D23" s="63">
        <v>4.1000000000000002E-2</v>
      </c>
      <c r="E23" s="63">
        <v>0.373</v>
      </c>
      <c r="F23" s="71">
        <v>0.11899999999999999</v>
      </c>
    </row>
    <row r="24" spans="2:6" s="41" customFormat="1" ht="15" thickBot="1" x14ac:dyDescent="0.35">
      <c r="B24" s="49" t="s">
        <v>1</v>
      </c>
      <c r="C24" s="65">
        <v>8.5999999999999993E-2</v>
      </c>
      <c r="D24" s="65">
        <v>0.06</v>
      </c>
      <c r="E24" s="65">
        <v>0.35699999999999998</v>
      </c>
      <c r="F24" s="72">
        <v>0.152</v>
      </c>
    </row>
    <row r="25" spans="2:6" s="41" customFormat="1" x14ac:dyDescent="0.3">
      <c r="C25" s="60"/>
      <c r="D25" s="60"/>
      <c r="E25" s="60"/>
      <c r="F25" s="44"/>
    </row>
    <row r="26" spans="2:6" s="41" customFormat="1" x14ac:dyDescent="0.3">
      <c r="C26" s="60"/>
      <c r="D26" s="60"/>
      <c r="E26" s="60"/>
      <c r="F26" s="44"/>
    </row>
    <row r="27" spans="2:6" s="40" customFormat="1" ht="15" thickBot="1" x14ac:dyDescent="0.35">
      <c r="B27" s="40" t="s">
        <v>94</v>
      </c>
      <c r="C27" s="53"/>
      <c r="D27" s="53"/>
      <c r="E27" s="53"/>
      <c r="F27" s="45"/>
    </row>
    <row r="28" spans="2:6" s="41" customFormat="1" ht="29.4" thickBot="1" x14ac:dyDescent="0.35">
      <c r="B28" s="73"/>
      <c r="C28" s="76" t="s">
        <v>47</v>
      </c>
      <c r="D28" s="54" t="s">
        <v>48</v>
      </c>
      <c r="E28" s="54" t="s">
        <v>49</v>
      </c>
      <c r="F28" s="55" t="s">
        <v>50</v>
      </c>
    </row>
    <row r="29" spans="2:6" s="41" customFormat="1" ht="15.6" x14ac:dyDescent="0.3">
      <c r="B29" s="74" t="s">
        <v>95</v>
      </c>
      <c r="C29" s="77">
        <v>0.879</v>
      </c>
      <c r="D29" s="63">
        <v>9.6000000000000002E-2</v>
      </c>
      <c r="E29" s="63">
        <v>1.0999999999999999E-2</v>
      </c>
      <c r="F29" s="64">
        <v>1.4E-2</v>
      </c>
    </row>
    <row r="30" spans="2:6" s="41" customFormat="1" ht="16.2" thickBot="1" x14ac:dyDescent="0.35">
      <c r="B30" s="75" t="s">
        <v>96</v>
      </c>
      <c r="C30" s="78">
        <v>0.69099999999999995</v>
      </c>
      <c r="D30" s="65">
        <v>0.28199999999999997</v>
      </c>
      <c r="E30" s="65">
        <v>1.4999999999999999E-2</v>
      </c>
      <c r="F30" s="66">
        <v>1.2E-2</v>
      </c>
    </row>
    <row r="31" spans="2:6" s="41" customFormat="1" ht="15.6" x14ac:dyDescent="0.3">
      <c r="B31" s="43"/>
      <c r="C31" s="60"/>
      <c r="D31" s="60"/>
      <c r="E31" s="60"/>
      <c r="F31" s="44"/>
    </row>
    <row r="32" spans="2:6" s="40" customFormat="1" ht="15" thickBot="1" x14ac:dyDescent="0.35">
      <c r="B32" s="40" t="s">
        <v>88</v>
      </c>
      <c r="C32" s="53"/>
      <c r="D32" s="53"/>
      <c r="E32" s="53"/>
      <c r="F32" s="45"/>
    </row>
    <row r="33" spans="2:8" s="41" customFormat="1" ht="43.2" x14ac:dyDescent="0.3">
      <c r="B33" s="73"/>
      <c r="C33" s="88" t="s">
        <v>51</v>
      </c>
      <c r="D33" s="61" t="s">
        <v>52</v>
      </c>
      <c r="E33" s="61" t="s">
        <v>53</v>
      </c>
      <c r="F33" s="61" t="s">
        <v>54</v>
      </c>
      <c r="G33" s="62" t="s">
        <v>55</v>
      </c>
      <c r="H33" s="44"/>
    </row>
    <row r="34" spans="2:8" s="41" customFormat="1" ht="16.2" thickBot="1" x14ac:dyDescent="0.35">
      <c r="B34" s="75" t="s">
        <v>0</v>
      </c>
      <c r="C34" s="78">
        <v>5.7000000000000002E-2</v>
      </c>
      <c r="D34" s="65">
        <v>0.20499999999999999</v>
      </c>
      <c r="E34" s="65">
        <v>0.41399999999999998</v>
      </c>
      <c r="F34" s="65">
        <v>0.26800000000000002</v>
      </c>
      <c r="G34" s="83">
        <v>5.6000000000000001E-2</v>
      </c>
    </row>
    <row r="35" spans="2:8" s="41" customFormat="1" ht="16.2" thickBot="1" x14ac:dyDescent="0.35">
      <c r="B35" s="74"/>
      <c r="C35" s="56"/>
      <c r="D35" s="56"/>
      <c r="E35" s="56"/>
      <c r="F35" s="48"/>
      <c r="G35" s="79"/>
    </row>
    <row r="36" spans="2:8" s="41" customFormat="1" ht="16.2" thickBot="1" x14ac:dyDescent="0.35">
      <c r="B36" s="73"/>
      <c r="C36" s="61"/>
      <c r="D36" s="61"/>
      <c r="E36" s="85" t="s">
        <v>60</v>
      </c>
      <c r="F36" s="86"/>
      <c r="G36" s="87"/>
    </row>
    <row r="37" spans="2:8" s="41" customFormat="1" ht="29.4" thickBot="1" x14ac:dyDescent="0.35">
      <c r="B37" s="75"/>
      <c r="C37" s="58" t="s">
        <v>56</v>
      </c>
      <c r="D37" s="58" t="s">
        <v>57</v>
      </c>
      <c r="E37" s="84">
        <v>1</v>
      </c>
      <c r="F37" s="80" t="s">
        <v>59</v>
      </c>
      <c r="G37" s="81" t="s">
        <v>58</v>
      </c>
    </row>
    <row r="38" spans="2:8" s="41" customFormat="1" ht="15.6" x14ac:dyDescent="0.3">
      <c r="B38" s="74" t="s">
        <v>0</v>
      </c>
      <c r="C38" s="63">
        <v>0.91600000000000004</v>
      </c>
      <c r="D38" s="63">
        <v>0.15</v>
      </c>
      <c r="E38" s="63">
        <v>0.34699999999999998</v>
      </c>
      <c r="F38" s="63">
        <v>0.503</v>
      </c>
      <c r="G38" s="82">
        <v>0.15</v>
      </c>
    </row>
    <row r="39" spans="2:8" s="41" customFormat="1" ht="16.2" thickBot="1" x14ac:dyDescent="0.35">
      <c r="B39" s="75" t="s">
        <v>1</v>
      </c>
      <c r="C39" s="65">
        <v>0.92300000000000004</v>
      </c>
      <c r="D39" s="65">
        <v>0.188</v>
      </c>
      <c r="E39" s="65">
        <v>0.29499999999999998</v>
      </c>
      <c r="F39" s="65">
        <v>0.46800000000000003</v>
      </c>
      <c r="G39" s="83">
        <v>0.23699999999999999</v>
      </c>
    </row>
    <row r="40" spans="2:8" s="41" customFormat="1" x14ac:dyDescent="0.3">
      <c r="C40" s="60"/>
      <c r="D40" s="60"/>
      <c r="E40" s="60"/>
      <c r="F40" s="44"/>
    </row>
    <row r="41" spans="2:8" s="40" customFormat="1" ht="15" thickBot="1" x14ac:dyDescent="0.35">
      <c r="B41" s="40" t="s">
        <v>89</v>
      </c>
      <c r="C41" s="53"/>
      <c r="D41" s="53"/>
      <c r="E41" s="53"/>
      <c r="F41" s="45"/>
    </row>
    <row r="42" spans="2:8" s="41" customFormat="1" ht="29.4" thickBot="1" x14ac:dyDescent="0.35">
      <c r="B42" s="46"/>
      <c r="C42" s="76" t="s">
        <v>62</v>
      </c>
      <c r="D42" s="54" t="s">
        <v>63</v>
      </c>
      <c r="E42" s="54" t="s">
        <v>64</v>
      </c>
      <c r="F42" s="55" t="s">
        <v>65</v>
      </c>
    </row>
    <row r="43" spans="2:8" s="41" customFormat="1" x14ac:dyDescent="0.3">
      <c r="B43" s="47" t="s">
        <v>0</v>
      </c>
      <c r="C43" s="77">
        <v>0.28000000000000003</v>
      </c>
      <c r="D43" s="63">
        <v>0.88900000000000001</v>
      </c>
      <c r="E43" s="63">
        <v>0.246</v>
      </c>
      <c r="F43" s="64">
        <v>0.47899999999999998</v>
      </c>
    </row>
    <row r="44" spans="2:8" s="41" customFormat="1" ht="15" thickBot="1" x14ac:dyDescent="0.35">
      <c r="B44" s="49" t="s">
        <v>1</v>
      </c>
      <c r="C44" s="78">
        <v>0.23699999999999999</v>
      </c>
      <c r="D44" s="65">
        <v>0.77300000000000002</v>
      </c>
      <c r="E44" s="65">
        <v>0.26500000000000001</v>
      </c>
      <c r="F44" s="66">
        <v>0.52600000000000002</v>
      </c>
    </row>
    <row r="45" spans="2:8" s="41" customFormat="1" x14ac:dyDescent="0.3">
      <c r="C45" s="60"/>
      <c r="D45" s="60"/>
      <c r="E45" s="60"/>
      <c r="F45" s="44"/>
    </row>
    <row r="46" spans="2:8" s="41" customFormat="1" x14ac:dyDescent="0.3">
      <c r="C46" s="60"/>
      <c r="D46" s="60"/>
      <c r="E46" s="60"/>
      <c r="F46" s="44"/>
    </row>
    <row r="47" spans="2:8" s="40" customFormat="1" ht="15" thickBot="1" x14ac:dyDescent="0.35">
      <c r="B47" s="40" t="s">
        <v>97</v>
      </c>
      <c r="C47" s="53"/>
      <c r="D47" s="53"/>
      <c r="E47" s="53"/>
      <c r="F47" s="45"/>
    </row>
    <row r="48" spans="2:8" s="41" customFormat="1" ht="29.4" thickBot="1" x14ac:dyDescent="0.35">
      <c r="B48" s="89"/>
      <c r="C48" s="76" t="s">
        <v>66</v>
      </c>
      <c r="D48" s="54" t="s">
        <v>67</v>
      </c>
      <c r="E48" s="54" t="s">
        <v>68</v>
      </c>
      <c r="F48" s="54" t="s">
        <v>69</v>
      </c>
      <c r="G48" s="55" t="s">
        <v>50</v>
      </c>
    </row>
    <row r="49" spans="2:9" s="41" customFormat="1" ht="16.2" thickBot="1" x14ac:dyDescent="0.35">
      <c r="B49" s="90" t="s">
        <v>0</v>
      </c>
      <c r="C49" s="78">
        <v>2.4E-2</v>
      </c>
      <c r="D49" s="65">
        <v>0.375</v>
      </c>
      <c r="E49" s="65">
        <v>0.40699999999999997</v>
      </c>
      <c r="F49" s="65">
        <v>0.02</v>
      </c>
      <c r="G49" s="83">
        <v>0.39700000000000002</v>
      </c>
    </row>
    <row r="50" spans="2:9" s="41" customFormat="1" x14ac:dyDescent="0.3">
      <c r="C50" s="60"/>
      <c r="D50" s="60"/>
      <c r="E50" s="60"/>
      <c r="F50" s="44"/>
    </row>
    <row r="51" spans="2:9" s="41" customFormat="1" x14ac:dyDescent="0.3">
      <c r="C51" s="60"/>
      <c r="D51" s="60"/>
      <c r="E51" s="60"/>
      <c r="F51" s="44"/>
    </row>
    <row r="52" spans="2:9" s="40" customFormat="1" ht="15" thickBot="1" x14ac:dyDescent="0.35">
      <c r="B52" s="40" t="s">
        <v>90</v>
      </c>
      <c r="C52" s="53"/>
      <c r="D52" s="53"/>
      <c r="E52" s="53"/>
      <c r="F52" s="45"/>
    </row>
    <row r="53" spans="2:9" s="44" customFormat="1" ht="29.4" thickBot="1" x14ac:dyDescent="0.35">
      <c r="B53" s="91"/>
      <c r="C53" s="76" t="s">
        <v>70</v>
      </c>
      <c r="D53" s="54" t="s">
        <v>71</v>
      </c>
      <c r="E53" s="54" t="s">
        <v>72</v>
      </c>
      <c r="F53" s="51" t="s">
        <v>73</v>
      </c>
      <c r="G53" s="51" t="s">
        <v>74</v>
      </c>
      <c r="H53" s="51" t="s">
        <v>75</v>
      </c>
      <c r="I53" s="52" t="s">
        <v>76</v>
      </c>
    </row>
    <row r="54" spans="2:9" s="41" customFormat="1" ht="15" thickBot="1" x14ac:dyDescent="0.35">
      <c r="B54" s="49" t="s">
        <v>0</v>
      </c>
      <c r="C54" s="96">
        <v>0.45700000000000002</v>
      </c>
      <c r="D54" s="92">
        <v>0.17699999999999999</v>
      </c>
      <c r="E54" s="92">
        <v>0.16</v>
      </c>
      <c r="F54" s="93">
        <v>0.14299999999999999</v>
      </c>
      <c r="G54" s="94">
        <v>2.5999999999999999E-2</v>
      </c>
      <c r="H54" s="94">
        <v>0.03</v>
      </c>
      <c r="I54" s="95">
        <v>8.0000000000000002E-3</v>
      </c>
    </row>
    <row r="55" spans="2:9" s="41" customFormat="1" x14ac:dyDescent="0.3">
      <c r="C55" s="60"/>
      <c r="D55" s="60"/>
      <c r="E55" s="60"/>
      <c r="F55" s="44"/>
    </row>
    <row r="56" spans="2:9" s="41" customFormat="1" x14ac:dyDescent="0.3">
      <c r="C56" s="60"/>
      <c r="D56" s="60"/>
      <c r="E56" s="60"/>
      <c r="F56" s="44"/>
    </row>
    <row r="57" spans="2:9" s="40" customFormat="1" ht="15" thickBot="1" x14ac:dyDescent="0.35">
      <c r="B57" s="40" t="s">
        <v>91</v>
      </c>
      <c r="C57" s="53"/>
      <c r="D57" s="53"/>
      <c r="E57" s="53"/>
      <c r="F57" s="45"/>
    </row>
    <row r="58" spans="2:9" s="44" customFormat="1" ht="60" customHeight="1" thickBot="1" x14ac:dyDescent="0.35">
      <c r="B58" s="97"/>
      <c r="C58" s="76" t="s">
        <v>77</v>
      </c>
      <c r="D58" s="54" t="s">
        <v>78</v>
      </c>
      <c r="E58" s="54" t="s">
        <v>79</v>
      </c>
      <c r="F58" s="54" t="s">
        <v>80</v>
      </c>
      <c r="G58" s="54" t="s">
        <v>81</v>
      </c>
      <c r="H58" s="55" t="s">
        <v>82</v>
      </c>
    </row>
    <row r="59" spans="2:9" s="41" customFormat="1" x14ac:dyDescent="0.3">
      <c r="B59" s="98" t="s">
        <v>0</v>
      </c>
      <c r="C59" s="63">
        <v>0.111</v>
      </c>
      <c r="D59" s="63">
        <v>6.3E-2</v>
      </c>
      <c r="E59" s="63">
        <v>2.5000000000000001E-2</v>
      </c>
      <c r="F59" s="63">
        <v>5.0000000000000001E-3</v>
      </c>
      <c r="G59" s="100">
        <v>3.4000000000000002E-2</v>
      </c>
      <c r="H59" s="82">
        <v>1.4E-2</v>
      </c>
    </row>
    <row r="60" spans="2:9" s="41" customFormat="1" ht="15" thickBot="1" x14ac:dyDescent="0.35">
      <c r="B60" s="99" t="s">
        <v>1</v>
      </c>
      <c r="C60" s="65">
        <v>0.14799999999999999</v>
      </c>
      <c r="D60" s="65">
        <v>0.14699999999999999</v>
      </c>
      <c r="E60" s="65">
        <v>2.1000000000000001E-2</v>
      </c>
      <c r="F60" s="65">
        <v>0.01</v>
      </c>
      <c r="G60" s="101">
        <v>3.3000000000000002E-2</v>
      </c>
      <c r="H60" s="83">
        <v>1.4E-2</v>
      </c>
    </row>
    <row r="61" spans="2:9" s="41" customFormat="1" x14ac:dyDescent="0.3">
      <c r="C61" s="60"/>
      <c r="D61" s="60"/>
      <c r="E61" s="60"/>
      <c r="F61" s="44"/>
    </row>
    <row r="62" spans="2:9" s="41" customFormat="1" x14ac:dyDescent="0.3">
      <c r="B62" s="40" t="s">
        <v>92</v>
      </c>
      <c r="C62" s="60"/>
      <c r="D62" s="60"/>
      <c r="E62" s="60"/>
      <c r="F62" s="44"/>
    </row>
    <row r="65" spans="2:6" ht="15" thickBot="1" x14ac:dyDescent="0.35">
      <c r="B65" s="40" t="s">
        <v>83</v>
      </c>
      <c r="C65" s="40"/>
      <c r="D65" s="40"/>
      <c r="E65" s="40"/>
      <c r="F65" s="40"/>
    </row>
    <row r="66" spans="2:6" ht="15" thickBot="1" x14ac:dyDescent="0.35">
      <c r="B66" s="106"/>
      <c r="C66" s="109" t="s">
        <v>44</v>
      </c>
      <c r="D66" s="110" t="s">
        <v>42</v>
      </c>
      <c r="E66" s="111" t="s">
        <v>43</v>
      </c>
      <c r="F66" s="41"/>
    </row>
    <row r="67" spans="2:6" x14ac:dyDescent="0.3">
      <c r="B67" s="107" t="s">
        <v>46</v>
      </c>
      <c r="C67" s="102">
        <v>2.04</v>
      </c>
      <c r="D67" s="102">
        <v>2.83</v>
      </c>
      <c r="E67" s="103">
        <f>D67+C67</f>
        <v>4.87</v>
      </c>
      <c r="F67" s="41"/>
    </row>
    <row r="68" spans="2:6" ht="15" thickBot="1" x14ac:dyDescent="0.35">
      <c r="B68" s="108" t="s">
        <v>45</v>
      </c>
      <c r="C68" s="104">
        <v>2.0299999999999998</v>
      </c>
      <c r="D68" s="104">
        <v>3.64</v>
      </c>
      <c r="E68" s="105">
        <v>56.77</v>
      </c>
      <c r="F68" s="41"/>
    </row>
    <row r="69" spans="2:6" x14ac:dyDescent="0.3">
      <c r="B69" s="41"/>
      <c r="C69" s="41"/>
      <c r="D69" s="41"/>
      <c r="E69" s="42"/>
      <c r="F69" s="41"/>
    </row>
    <row r="70" spans="2:6" x14ac:dyDescent="0.3">
      <c r="B70" s="40" t="s">
        <v>93</v>
      </c>
      <c r="C70" s="40"/>
      <c r="D70" s="40"/>
      <c r="E70" s="40"/>
      <c r="F70" s="40"/>
    </row>
  </sheetData>
  <sortState xmlns:xlrd2="http://schemas.microsoft.com/office/spreadsheetml/2017/richdata2" ref="B28:B39">
    <sortCondition ref="B28:B39"/>
  </sortState>
  <mergeCells count="1">
    <mergeCell ref="E36:G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Diseases</vt:lpstr>
      <vt:lpstr>Socio-economic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CYSD .</dc:creator>
  <cp:lastModifiedBy>CYSD .</cp:lastModifiedBy>
  <dcterms:created xsi:type="dcterms:W3CDTF">2024-09-09T06:44:33Z</dcterms:created>
  <dcterms:modified xsi:type="dcterms:W3CDTF">2025-05-24T06:33:26Z</dcterms:modified>
</cp:coreProperties>
</file>