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cb2d8200dcb60f9/Desktop/"/>
    </mc:Choice>
  </mc:AlternateContent>
  <xr:revisionPtr revIDLastSave="181" documentId="13_ncr:1_{F798C8C9-AA22-4888-9448-02FDDA4C8C34}" xr6:coauthVersionLast="47" xr6:coauthVersionMax="47" xr10:uidLastSave="{3B2B3512-2935-480A-98D5-59943FE1E9FB}"/>
  <bookViews>
    <workbookView xWindow="-108" yWindow="-108" windowWidth="23256" windowHeight="12456" tabRatio="859" xr2:uid="{00000000-000D-0000-FFFF-FFFF00000000}"/>
  </bookViews>
  <sheets>
    <sheet name="Pop" sheetId="14" r:id="rId1"/>
    <sheet name="St. Rank" sheetId="112" r:id="rId2"/>
    <sheet name="Ru_Ub" sheetId="127" r:id="rId3"/>
    <sheet name="Dep. Ratio." sheetId="113" r:id="rId4"/>
    <sheet name="Region" sheetId="117" r:id="rId5"/>
    <sheet name="TFR" sheetId="1" r:id="rId6"/>
    <sheet name="LEB" sheetId="4" r:id="rId7"/>
    <sheet name="SRB" sheetId="9" r:id="rId8"/>
    <sheet name="AP" sheetId="19" r:id="rId9"/>
    <sheet name="AP2" sheetId="22" r:id="rId10"/>
    <sheet name="Assam" sheetId="23" r:id="rId11"/>
    <sheet name="Assam2" sheetId="26" r:id="rId12"/>
    <sheet name="Bihar" sheetId="27" r:id="rId13"/>
    <sheet name="Bihar2" sheetId="30" r:id="rId14"/>
    <sheet name="Chhattisgarh" sheetId="31" r:id="rId15"/>
    <sheet name="Chhattisgarh2" sheetId="34" r:id="rId16"/>
    <sheet name="Delhi" sheetId="35" r:id="rId17"/>
    <sheet name="Delhi2" sheetId="38" r:id="rId18"/>
    <sheet name="Guj" sheetId="39" r:id="rId19"/>
    <sheet name="Guj2" sheetId="42" r:id="rId20"/>
    <sheet name="Haryana" sheetId="43" r:id="rId21"/>
    <sheet name="Haryana2" sheetId="46" r:id="rId22"/>
    <sheet name="HP" sheetId="47" r:id="rId23"/>
    <sheet name="HP2" sheetId="50" r:id="rId24"/>
    <sheet name="JK" sheetId="51" r:id="rId25"/>
    <sheet name="JK2" sheetId="54" r:id="rId26"/>
    <sheet name="JKUT" sheetId="57" r:id="rId27"/>
    <sheet name="Jharkhand" sheetId="58" r:id="rId28"/>
    <sheet name="Jharkhand2" sheetId="61" r:id="rId29"/>
    <sheet name="Karnataka" sheetId="62" r:id="rId30"/>
    <sheet name="Karnataka2" sheetId="65" r:id="rId31"/>
    <sheet name="Keralam" sheetId="66" r:id="rId32"/>
    <sheet name="Keralam2" sheetId="69" r:id="rId33"/>
    <sheet name="MP" sheetId="72" r:id="rId34"/>
    <sheet name="MP2" sheetId="75" r:id="rId35"/>
    <sheet name="Maharashtra" sheetId="76" r:id="rId36"/>
    <sheet name="Maharashtra2" sheetId="79" r:id="rId37"/>
    <sheet name="Odisha" sheetId="80" r:id="rId38"/>
    <sheet name="Odisha2" sheetId="83" r:id="rId39"/>
    <sheet name="Punjab" sheetId="84" r:id="rId40"/>
    <sheet name="Punjab2" sheetId="87" r:id="rId41"/>
    <sheet name="Rajasthan" sheetId="88" r:id="rId42"/>
    <sheet name="Rajasthan2" sheetId="91" r:id="rId43"/>
    <sheet name="TN" sheetId="92" r:id="rId44"/>
    <sheet name="TN2" sheetId="95" r:id="rId45"/>
    <sheet name="Telangana" sheetId="96" r:id="rId46"/>
    <sheet name="Telangana2" sheetId="99" r:id="rId47"/>
    <sheet name="UP" sheetId="100" r:id="rId48"/>
    <sheet name="UP2" sheetId="103" r:id="rId49"/>
    <sheet name="Uttarakhand" sheetId="104" r:id="rId50"/>
    <sheet name="Region_Age" sheetId="120" r:id="rId51"/>
    <sheet name="Uttarakhand2" sheetId="107" r:id="rId52"/>
    <sheet name="WB" sheetId="108" r:id="rId53"/>
    <sheet name="WB2" sheetId="111" r:id="rId54"/>
    <sheet name="Small States" sheetId="132" r:id="rId55"/>
    <sheet name="Sheet1" sheetId="135" r:id="rId56"/>
  </sheets>
  <definedNames>
    <definedName name="_xlnm._FilterDatabase" localSheetId="0" hidden="1">Pop!$B$2:$AH$27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4" i="14" l="1"/>
  <c r="AL5" i="14"/>
  <c r="AL6" i="14"/>
  <c r="AL7" i="14"/>
  <c r="AL8" i="14"/>
  <c r="AL9" i="14"/>
  <c r="AL10" i="14"/>
  <c r="AL11" i="14"/>
  <c r="AL12" i="14"/>
  <c r="AL13" i="14"/>
  <c r="AL14" i="14"/>
  <c r="AL15" i="14"/>
  <c r="AL16" i="14"/>
  <c r="AL17" i="14"/>
  <c r="AL18" i="14"/>
  <c r="AL19" i="14"/>
  <c r="AL20" i="14"/>
  <c r="AL22" i="14"/>
  <c r="AL23" i="14"/>
  <c r="AL24" i="14"/>
  <c r="AL25" i="14"/>
  <c r="AK25" i="14"/>
  <c r="AK24" i="14"/>
  <c r="AK23" i="14"/>
  <c r="AK22" i="14"/>
  <c r="AK21" i="14"/>
  <c r="AK20" i="14"/>
  <c r="AK19" i="14"/>
  <c r="AK18" i="14"/>
  <c r="AK17" i="14"/>
  <c r="AK16" i="14"/>
  <c r="AK15" i="14"/>
  <c r="AK14" i="14"/>
  <c r="AK13" i="14"/>
  <c r="AK12" i="14"/>
  <c r="AK11" i="14"/>
  <c r="AK10" i="14"/>
  <c r="AK9" i="14"/>
  <c r="AK8" i="14"/>
  <c r="AK7" i="14"/>
  <c r="AK6" i="14"/>
  <c r="AK5" i="14"/>
  <c r="AK4" i="14"/>
  <c r="AA25" i="14"/>
  <c r="AA24" i="14"/>
  <c r="AA23" i="14"/>
  <c r="AA22" i="14"/>
  <c r="AA21" i="14"/>
  <c r="AA20" i="14"/>
  <c r="AA19" i="14"/>
  <c r="AA18" i="14"/>
  <c r="AA17" i="14"/>
  <c r="AA16" i="14"/>
  <c r="AA15" i="14"/>
  <c r="AA14" i="14"/>
  <c r="AA13" i="14"/>
  <c r="AA12" i="14"/>
  <c r="AA11" i="14"/>
  <c r="AA10" i="14"/>
  <c r="AA9" i="14"/>
  <c r="AA8" i="14"/>
  <c r="AA7" i="14"/>
  <c r="AA6" i="14"/>
  <c r="AA5" i="14"/>
  <c r="AA4" i="14"/>
  <c r="Q25" i="14"/>
  <c r="Q24" i="14"/>
  <c r="Q23" i="14"/>
  <c r="Q22" i="14"/>
  <c r="Q21" i="14"/>
  <c r="Q20" i="14"/>
  <c r="Q19" i="14"/>
  <c r="Q18" i="14"/>
  <c r="Q17" i="14"/>
  <c r="Q16" i="14"/>
  <c r="Q15" i="14"/>
  <c r="Q14" i="14"/>
  <c r="Q13" i="14"/>
  <c r="Q12" i="14"/>
  <c r="Q11" i="14"/>
  <c r="Q10" i="14"/>
  <c r="Q9" i="14"/>
  <c r="Q8" i="14"/>
  <c r="Q7" i="14"/>
  <c r="Q6" i="14"/>
  <c r="Q5" i="14"/>
  <c r="Q4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3" i="14"/>
  <c r="J12" i="14"/>
  <c r="J11" i="14"/>
  <c r="J10" i="14"/>
  <c r="J9" i="14"/>
  <c r="J8" i="14"/>
  <c r="J7" i="14"/>
  <c r="J6" i="14"/>
  <c r="J5" i="14"/>
  <c r="J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4" i="14"/>
</calcChain>
</file>

<file path=xl/sharedStrings.xml><?xml version="1.0" encoding="utf-8"?>
<sst xmlns="http://schemas.openxmlformats.org/spreadsheetml/2006/main" count="2356" uniqueCount="234">
  <si>
    <t>Appendix Table 3.1: Projections of Total Fertility Rates across Indian States, 2026–2051</t>
  </si>
  <si>
    <t>States/India</t>
  </si>
  <si>
    <t>Assam</t>
  </si>
  <si>
    <t>Bihar</t>
  </si>
  <si>
    <t>Chhattisgarh</t>
  </si>
  <si>
    <t>NCT of Delhi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</si>
  <si>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</si>
  <si>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</si>
  <si>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</si>
  <si>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</si>
  <si>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</si>
  <si>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</si>
  <si>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</si>
  <si>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Variants of projection</t>
  </si>
  <si>
    <t>H</t>
  </si>
  <si>
    <t>L</t>
  </si>
  <si>
    <t>M</t>
  </si>
  <si>
    <t>2026</t>
  </si>
  <si>
    <t>2031</t>
  </si>
  <si>
    <t>2036</t>
  </si>
  <si>
    <t>2041</t>
  </si>
  <si>
    <t>2046</t>
  </si>
  <si>
    <t>2051</t>
  </si>
  <si>
    <t>Madhya Pradesh</t>
  </si>
  <si>
    <t>Maharashtra</t>
  </si>
  <si>
    <t>Odisha</t>
  </si>
  <si>
    <t>Punjab</t>
  </si>
  <si>
    <t>Rajasthan</t>
  </si>
  <si>
    <t>Tamil Nadu</t>
  </si>
  <si>
    <t>Telangana</t>
  </si>
  <si>
    <t>Uttar Pradesh</t>
  </si>
  <si>
    <t>Uttarakhand</t>
  </si>
  <si>
    <t>West Bengal</t>
  </si>
  <si>
    <t>India</t>
  </si>
  <si>
    <t>Age group</t>
  </si>
  <si>
    <t>15–19</t>
  </si>
  <si>
    <t>20–24</t>
  </si>
  <si>
    <t>25–29</t>
  </si>
  <si>
    <t>30–34</t>
  </si>
  <si>
    <t>35–39</t>
  </si>
  <si>
    <t>40–44</t>
  </si>
  <si>
    <t>45–49</t>
  </si>
  <si>
    <t>2011</t>
  </si>
  <si>
    <t>2021</t>
  </si>
  <si>
    <t>Appendix Table 3.3: Projected life expectancy at the national and state levels in India by
gender, 2026–2051 [in years]</t>
  </si>
  <si>
    <t>Andhra Pradesh</t>
  </si>
  <si>
    <t>F</t>
  </si>
  <si>
    <t>Appendix Table 3.6: Projected sex ratio at birth, 2016–2051</t>
  </si>
  <si>
    <t>Himachal
Pradesh</t>
  </si>
  <si>
    <t>Jammu and
Kashmir</t>
  </si>
  <si>
    <t>Ceiling limit of
SRB</t>
  </si>
  <si>
    <t>NA</t>
  </si>
  <si>
    <t>Indicators</t>
  </si>
  <si>
    <t>Fertility indicators</t>
  </si>
  <si>
    <t>Total Fertility Rate</t>
  </si>
  <si>
    <t>Gross Reproduction Rate</t>
  </si>
  <si>
    <t>Net Reproduction Rate</t>
  </si>
  <si>
    <t>Mean Age of Childbearing</t>
  </si>
  <si>
    <t>Child-Woman Ratio</t>
  </si>
  <si>
    <t>Mortality indicators</t>
  </si>
  <si>
    <t>Male Life Expectancy</t>
  </si>
  <si>
    <t>Female Life Expectancy</t>
  </si>
  <si>
    <t>Total Life Expectancy</t>
  </si>
  <si>
    <t>Infant Mortality Rate</t>
  </si>
  <si>
    <t>Under Five Mortality Rate</t>
  </si>
  <si>
    <t>Vital rates</t>
  </si>
  <si>
    <t>Crude Birth Rate per 1000</t>
  </si>
  <si>
    <t>Crude Death Rate per 1000</t>
  </si>
  <si>
    <t>Rate of Natural Increase [percent]</t>
  </si>
  <si>
    <t>Annual births and deaths [in million]</t>
  </si>
  <si>
    <t>Births</t>
  </si>
  <si>
    <t>Deaths</t>
  </si>
  <si>
    <t>Population [in million]</t>
  </si>
  <si>
    <t>Total</t>
  </si>
  <si>
    <t>Male</t>
  </si>
  <si>
    <t>Female</t>
  </si>
  <si>
    <t>Percent 0–4</t>
  </si>
  <si>
    <t>Percent 5–14</t>
  </si>
  <si>
    <t>Percent 15–24</t>
  </si>
  <si>
    <t>Percent 15–49</t>
  </si>
  <si>
    <t>Percent 15–59</t>
  </si>
  <si>
    <t>Percent 60 and above</t>
  </si>
  <si>
    <t>Percent Females 15–49</t>
  </si>
  <si>
    <t>Sex Ratio</t>
  </si>
  <si>
    <t>Overall Dependency Ratio</t>
  </si>
  <si>
    <t>Median Age</t>
  </si>
  <si>
    <t>Rate of Natural
Increase[percent]</t>
  </si>
  <si>
    <t>Appendix Table 3.10: State-wise projected population by gender [medium-variant],
2021–2051 [in million]</t>
  </si>
  <si>
    <t>Appendix Table 4.1: Projected summary of demographic indicators for Andhra Pradesh,
2026–2051</t>
  </si>
  <si>
    <t>Average annual net migration rate</t>
  </si>
  <si>
    <t>GR percent</t>
  </si>
  <si>
    <t>T</t>
  </si>
  <si>
    <t>Appendix Table 4.3: Projected percentage distribution of population by age and gender for
Andhra Pradesh, 2026–2051</t>
  </si>
  <si>
    <t>Age
group</t>
  </si>
  <si>
    <t>0–4</t>
  </si>
  <si>
    <t>5–9</t>
  </si>
  <si>
    <t>10–14</t>
  </si>
  <si>
    <t>50–54</t>
  </si>
  <si>
    <t>55–59</t>
  </si>
  <si>
    <t>60–64</t>
  </si>
  <si>
    <t>65–69</t>
  </si>
  <si>
    <t>70–74</t>
  </si>
  <si>
    <t>75–79</t>
  </si>
  <si>
    <t>80+</t>
  </si>
  <si>
    <t>Appendix Table 4.4: Projected summary of demographic indicators for Assam, 2026–2051</t>
  </si>
  <si>
    <t>Annual net migration rate</t>
  </si>
  <si>
    <t>Appendix Table 4.6: Projected percentage distribution of population by age and gender for
Assam, 2026–2051</t>
  </si>
  <si>
    <t>Appendix Table 4.7: Projected summary of demographic indicators for Bihar, 2026–2051</t>
  </si>
  <si>
    <t>Annual net migration rates</t>
  </si>
  <si>
    <t>Rate of Natural Increase
[percent]</t>
  </si>
  <si>
    <t>Appendix Table 4.9: Projected percentage distribution of population by age and gender for
Bihar, 2026–2051</t>
  </si>
  <si>
    <t>Appendix Table 4.10: Projected summary of demographic indicators for Chhattisgarh,
2026–2051</t>
  </si>
  <si>
    <t>Appendix Table 4.12: Projected percentage distribution of population by age and gender for
Chhattisgarh, 2026–2051</t>
  </si>
  <si>
    <t>Appendix Table 4.13: Projected summary of demographic indicators for NCT of Delhi,
2026–2051</t>
  </si>
  <si>
    <t>Percent 15–50</t>
  </si>
  <si>
    <t>Appendix Table 4.15: Projected percentage distribution of population by age and gender for
NCT of Delhi, 2026–2051</t>
  </si>
  <si>
    <t>Appendix Table 4.16: Projected Summary of demographic indicators for Gujarat, 2026–2051</t>
  </si>
  <si>
    <t>Summary demographic indicators</t>
  </si>
  <si>
    <t>Appendix Table 4.18: Projected percentage distribution of population by age and gender for
Gujarat, 2026–2051</t>
  </si>
  <si>
    <t>Appendix Table 4.19: Projected summary of demographic indicators for Haryana, 2026–2051</t>
  </si>
  <si>
    <t>Appendix Table 4.21: Projected percentage distribution of population by age and gender for
Haryana, 2026–2051</t>
  </si>
  <si>
    <t>Appendix Table 4.22: Projected summary of demographic indicators for Himachal Pradesh,
2026–2051</t>
  </si>
  <si>
    <t>Appendix Table 4.24: Projected percentage distribution of population by age and gender for
Himachal Pradesh, 2026–2051</t>
  </si>
  <si>
    <t>Appendix Table 4.25 for Jammu and Kashmir, [Undivided], 2026–2051</t>
  </si>
  <si>
    <t>Appendix Table 4.27: Projected percentage distribution of population by age and gender for
Jammu and Kashmir [Undivided], 2026–2051</t>
  </si>
  <si>
    <t>Appendix Table 4.29: Projected percentage distribution of population by age and gender for
Jammu and Kashmir [UT], 2026–2051</t>
  </si>
  <si>
    <t>Appendix Table 4.30: Projected summary of demographic indicators for Jharkhand,
2026–2051</t>
  </si>
  <si>
    <t>Appendix Table 4.32: Projected percentage distribution of population by age and gender for
Jharkhand, 2021–2051</t>
  </si>
  <si>
    <t>Appendix Table 4.33: Projected summary of demographic indicators for Karnataka,
2026–2051</t>
  </si>
  <si>
    <t>Annual net migration</t>
  </si>
  <si>
    <t>Rate of natural Increase [percent]</t>
  </si>
  <si>
    <t>Appendix Table 4.35: Projected percentage distribution of population by age and gender for
Karnataka, 2026–2051</t>
  </si>
  <si>
    <t>Appendix Table 4.38: Projected percentage distribution of population by age and gender for
Kerala, 2026–2051</t>
  </si>
  <si>
    <t>Appendix Table 4.41: Projected summary of demographic indicators for Madhya Pradesh,
2026–2051</t>
  </si>
  <si>
    <t>Appendix Table 4.43: Projected percentage distribution of population by age and gender for
Madhya Pradesh, 2026–2051</t>
  </si>
  <si>
    <t>Appendix Table 4.44: Projected summary of demographic indicators for Maharashtra,
2026–2051</t>
  </si>
  <si>
    <t>Total fertility Rate</t>
  </si>
  <si>
    <t>Rate of natural Increase
[percent]</t>
  </si>
  <si>
    <t>Annual births and deaths [in millions]</t>
  </si>
  <si>
    <t>Population [in millions]</t>
  </si>
  <si>
    <t>Appendix Table 4.46: Projected percentage distribution of population by age and gender for
Maharashtra, 2026–2051</t>
  </si>
  <si>
    <t>Appendix Table 4.47: Projected summary of demographic indicators for Odisha, 2026–2051</t>
  </si>
  <si>
    <t>25,0</t>
  </si>
  <si>
    <t>Appendix Table 4.49: Projected percentage distribution of population by age and gender for
Odisha, 2026–2051</t>
  </si>
  <si>
    <t>Appendix Table 4.50: Projected summary of demographic indicators for Punjab, 2026–2051</t>
  </si>
  <si>
    <t>Rate of Natural Increase[percent]</t>
  </si>
  <si>
    <t>Annual births and deaths [million]</t>
  </si>
  <si>
    <t>Appendix Table 4.52: Projected percentage distribution of population by age and gender for
Punjab, 2026–2051</t>
  </si>
  <si>
    <t>Appendix Table 4.53: Projected summary of demographic indicators for Rajasthan, 2026–
2051</t>
  </si>
  <si>
    <t>Mortality Indicators</t>
  </si>
  <si>
    <t>64,6</t>
  </si>
  <si>
    <t>Appendix Table 4.55: Projected percentage distribution of population by age and gender for
Rajasthan, 2026–2051</t>
  </si>
  <si>
    <t>Appendix Table 4.56: Projected summary of demographic indicators for Tamil Nadu,
2026–2051</t>
  </si>
  <si>
    <t>overall Dependency Ratio</t>
  </si>
  <si>
    <t>24,0</t>
  </si>
  <si>
    <t>56,6</t>
  </si>
  <si>
    <t>Appendix Table 4.58: Projected percentage distribution of population by age and gender for
Tamil Nadu, 2026–2051</t>
  </si>
  <si>
    <t>Appendix Table 4.59: Projected summary of demographic indicators for Telangana,
2026–2051</t>
  </si>
  <si>
    <t>Summary demographic indicators- Telangana</t>
  </si>
  <si>
    <t>Fertility Indicators</t>
  </si>
  <si>
    <t>Appendix Table 4.61: Projected percentage distribution of population by age and gender for
Telangana, 2026–2051</t>
  </si>
  <si>
    <t>Appendix Table 4.62: Projected summary of demographic indicators for Uttar Pradesh,
2026– 2051</t>
  </si>
  <si>
    <t>Appendix Table 4.64: Projected percentage distribution of population by age and gender for
Uttar Pradesh, 2026–2051</t>
  </si>
  <si>
    <t>Appendix Table 4.65: Projected summary of demographic indicators for Uttarakhand,
2026– 2051</t>
  </si>
  <si>
    <t>Appendix Table 4.67: Projected percentage distribution of population by age and gender for
Uttarakhand, 2026–2051</t>
  </si>
  <si>
    <t>Appendix Table 4.68: Projected summary of demographic indicators for West Bengal,
2026–2051</t>
  </si>
  <si>
    <t>Total Fertility Rater</t>
  </si>
  <si>
    <t>Crude Dirth Rate per 1000</t>
  </si>
  <si>
    <t>Appendix Table 4.70: Projected percentage distribution of population by age and gender for
West Bengal, 2026–2051</t>
  </si>
  <si>
    <t>Appendix Table 4.71: Ranking of states by their population size, 2011 and 2051
[in millions]</t>
  </si>
  <si>
    <t>Census Population [2011]</t>
  </si>
  <si>
    <t>States</t>
  </si>
  <si>
    <t>Jammu and Kashmir [UT]</t>
  </si>
  <si>
    <t>In million</t>
  </si>
  <si>
    <t>Rank</t>
  </si>
  <si>
    <t>Projected population [2051]
[Medium-variant]</t>
  </si>
  <si>
    <t>Appendix: Table 4.72: Projected state-wise dependency ratios for India, 2021–2051</t>
  </si>
  <si>
    <t>0–14</t>
  </si>
  <si>
    <t>15–59</t>
  </si>
  <si>
    <t>60+</t>
  </si>
  <si>
    <t>AI</t>
  </si>
  <si>
    <t>YDR</t>
  </si>
  <si>
    <t>ODR</t>
  </si>
  <si>
    <t>Andhra
Pradesh</t>
  </si>
  <si>
    <t>Ladakh [UT]</t>
  </si>
  <si>
    <t>Madhya
Pradesh</t>
  </si>
  <si>
    <t>Appendix Table 4.73: Share of regional population by gender and their contribution to India’s
total population, 1971–2011</t>
  </si>
  <si>
    <t>Region</t>
  </si>
  <si>
    <t>Northern region</t>
  </si>
  <si>
    <t>1971</t>
  </si>
  <si>
    <t>1981</t>
  </si>
  <si>
    <t>1991</t>
  </si>
  <si>
    <t>2001</t>
  </si>
  <si>
    <t>Central region</t>
  </si>
  <si>
    <t>Eastern region</t>
  </si>
  <si>
    <t>Western region</t>
  </si>
  <si>
    <t>Southern region</t>
  </si>
  <si>
    <t>North-eastern region</t>
  </si>
  <si>
    <t>[In million]</t>
  </si>
  <si>
    <t>Year</t>
  </si>
  <si>
    <t>Regions</t>
  </si>
  <si>
    <t>Total Pop</t>
  </si>
  <si>
    <t>Urban</t>
  </si>
  <si>
    <t>Rural</t>
  </si>
  <si>
    <t>In percentage</t>
  </si>
  <si>
    <t>Jammu and Kashmir [undivided]</t>
  </si>
  <si>
    <t>Appendix Table 8.1: Projected population of smaller states and Union Territories, 2016–2051</t>
  </si>
  <si>
    <t>Andaman and Nicobar Islands
[UT]</t>
  </si>
  <si>
    <t>Dadra and Nagar Haveli and
Daman and Diu [UT]</t>
  </si>
  <si>
    <t>Manipur [SS]</t>
  </si>
  <si>
    <t>Arunachal Pradesh [SS]</t>
  </si>
  <si>
    <t>Goa [SS]</t>
  </si>
  <si>
    <t>Meghalaya [SS]</t>
  </si>
  <si>
    <t>Chandigarh [UT]</t>
  </si>
  <si>
    <t>Lakshadweep [UT]</t>
  </si>
  <si>
    <t>Mizoram [SS]</t>
  </si>
  <si>
    <t>Nagaland [SS]</t>
  </si>
  <si>
    <t>Tripura [SS]</t>
  </si>
  <si>
    <t>Puducherry [UT]</t>
  </si>
  <si>
    <t>Sikkim [SS]</t>
  </si>
  <si>
    <t>Jammu and
Kashmir [UT]</t>
  </si>
  <si>
    <t>AI- Ageing Index- Population 60+/Population 0-14</t>
  </si>
  <si>
    <t>ODR- Old age Dependency Ratio- Population 60+/ Population 15-59</t>
  </si>
  <si>
    <t>YDR- Young age Dependency Ratio- Population 0-14/ Population 15-59</t>
  </si>
  <si>
    <t>[Percentage share]</t>
  </si>
  <si>
    <t>Appendix Table 4.75: Projected Population and percentage distribution by region and age
groups, 2021–2051</t>
  </si>
  <si>
    <t>No.</t>
  </si>
  <si>
    <t>%</t>
  </si>
  <si>
    <t>Appendix Table 4.36: Projected summary of demographic indicators for Keralam, 2026–2051</t>
  </si>
  <si>
    <t>Appendix Table 5.1: State-level population projections and percentage distribution by 
urban–rural population, 2011–2051</t>
  </si>
  <si>
    <t>Share</t>
  </si>
  <si>
    <t>Source: 1901-41- Population Estimation by ORGI; 1951-2011- Census Observations by ORGI, 2026-51- UNRAVELLING
INDIA’S DEMOGRAPHIC FUTURE, Population Projections for States and Union Territories
2021–2051_PFI &amp; IIMAD</t>
  </si>
  <si>
    <t>Odisha and Rajasthan had the shame share of Population in the beginning of the century in 1901. By 2051, in 150 years, Odisha is projected to grow by 5 times, whereas Rajasthan is expected to grow by 10 times.</t>
  </si>
  <si>
    <t>Census Population [1951]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</si>
</sst>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_(* #,##0.0_);_(* \(#,##0.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2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/>
    </xf>
    <xf numFmtId="2" fontId="0" fillId="0" borderId="0" xfId="0" applyNumberFormat="1" applyAlignment="1">
      <alignment horizontal="center"/>
    </xf>
    <xf numFmtId="3" fontId="0" fillId="0" borderId="0" xfId="0" applyNumberFormat="1"/>
    <xf numFmtId="165" fontId="4" fillId="0" borderId="0" xfId="1" applyNumberFormat="1" applyFont="1" applyAlignment="1">
      <alignment horizontal="right"/>
    </xf>
    <xf numFmtId="164" fontId="4" fillId="0" borderId="0" xfId="1" applyNumberFormat="1" applyFont="1" applyAlignment="1">
      <alignment horizontal="right"/>
    </xf>
    <xf numFmtId="0" fontId="0" fillId="2" borderId="0" xfId="0" applyFill="1" applyAlignment="1">
      <alignment horizontal="left"/>
    </xf>
    <xf numFmtId="164" fontId="4" fillId="2" borderId="0" xfId="1" applyNumberFormat="1" applyFont="1" applyFill="1" applyAlignment="1">
      <alignment horizontal="right"/>
    </xf>
    <xf numFmtId="0" fontId="0" fillId="2" borderId="0" xfId="0" applyFill="1"/>
    <xf numFmtId="43" fontId="0" fillId="0" borderId="0" xfId="0" applyNumberFormat="1" applyAlignment="1">
      <alignment horizontal="left"/>
    </xf>
    <xf numFmtId="165" fontId="4" fillId="0" borderId="0" xfId="1" applyNumberFormat="1" applyFont="1" applyFill="1" applyBorder="1"/>
    <xf numFmtId="165" fontId="4" fillId="0" borderId="0" xfId="1" applyNumberFormat="1" applyFont="1" applyBorder="1"/>
    <xf numFmtId="165" fontId="4" fillId="0" borderId="0" xfId="1" applyNumberFormat="1" applyFont="1" applyFill="1"/>
    <xf numFmtId="165" fontId="4" fillId="2" borderId="0" xfId="1" applyNumberFormat="1" applyFont="1" applyFill="1" applyBorder="1"/>
    <xf numFmtId="165" fontId="0" fillId="0" borderId="0" xfId="0" applyNumberFormat="1" applyAlignment="1">
      <alignment horizontal="left"/>
    </xf>
    <xf numFmtId="165" fontId="5" fillId="0" borderId="0" xfId="1" applyNumberFormat="1" applyFont="1" applyFill="1"/>
    <xf numFmtId="165" fontId="4" fillId="0" borderId="0" xfId="1" applyNumberFormat="1" applyFont="1"/>
    <xf numFmtId="165" fontId="5" fillId="0" borderId="0" xfId="1" applyNumberFormat="1" applyFont="1" applyFill="1" applyAlignment="1">
      <alignment horizontal="right"/>
    </xf>
    <xf numFmtId="165" fontId="4" fillId="0" borderId="0" xfId="1" applyNumberFormat="1" applyFont="1" applyBorder="1" applyAlignment="1">
      <alignment horizontal="right"/>
    </xf>
    <xf numFmtId="165" fontId="4" fillId="0" borderId="0" xfId="0" applyNumberFormat="1" applyFont="1"/>
    <xf numFmtId="165" fontId="6" fillId="0" borderId="0" xfId="1" applyNumberFormat="1" applyFont="1"/>
    <xf numFmtId="43" fontId="0" fillId="0" borderId="0" xfId="0" applyNumberFormat="1"/>
    <xf numFmtId="43" fontId="0" fillId="2" borderId="0" xfId="0" applyNumberFormat="1" applyFill="1"/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L178"/>
  <sheetViews>
    <sheetView tabSelected="1" zoomScale="84" zoomScaleNormal="78" workbookViewId="0">
      <selection activeCell="AO26" sqref="AO12:AO26"/>
    </sheetView>
  </sheetViews>
  <sheetFormatPr defaultRowHeight="14.4" x14ac:dyDescent="0.3"/>
  <cols>
    <col min="2" max="2" width="18.33203125" style="10" customWidth="1"/>
    <col min="3" max="3" width="6.77734375" style="10" bestFit="1" customWidth="1"/>
    <col min="4" max="4" width="6.109375" style="10" bestFit="1" customWidth="1"/>
    <col min="5" max="5" width="6.44140625" style="10" bestFit="1" customWidth="1"/>
    <col min="6" max="7" width="6.77734375" style="10" bestFit="1" customWidth="1"/>
    <col min="8" max="8" width="6.44140625" style="10" bestFit="1" customWidth="1"/>
    <col min="9" max="9" width="6.21875" style="10" bestFit="1" customWidth="1"/>
    <col min="10" max="10" width="6.109375" style="10" bestFit="1" customWidth="1"/>
    <col min="11" max="14" width="6.77734375" style="10" bestFit="1" customWidth="1"/>
    <col min="15" max="15" width="7.88671875" style="10" bestFit="1" customWidth="1"/>
    <col min="16" max="16" width="7.6640625" style="10" bestFit="1" customWidth="1"/>
    <col min="17" max="17" width="6.109375" style="10" bestFit="1" customWidth="1"/>
    <col min="18" max="18" width="7" bestFit="1" customWidth="1"/>
    <col min="19" max="19" width="6" hidden="1" customWidth="1"/>
    <col min="20" max="20" width="7" hidden="1" customWidth="1"/>
    <col min="21" max="21" width="7" bestFit="1" customWidth="1"/>
    <col min="22" max="22" width="6" hidden="1" customWidth="1"/>
    <col min="23" max="23" width="7" hidden="1" customWidth="1"/>
    <col min="24" max="24" width="7" bestFit="1" customWidth="1"/>
    <col min="25" max="25" width="6" hidden="1" customWidth="1"/>
    <col min="26" max="26" width="7" hidden="1" customWidth="1"/>
    <col min="27" max="27" width="6.109375" style="10" bestFit="1" customWidth="1"/>
    <col min="28" max="28" width="7" bestFit="1" customWidth="1"/>
    <col min="29" max="29" width="6" hidden="1" customWidth="1"/>
    <col min="30" max="30" width="7" hidden="1" customWidth="1"/>
    <col min="31" max="31" width="7" bestFit="1" customWidth="1"/>
    <col min="32" max="32" width="6" hidden="1" customWidth="1"/>
    <col min="33" max="33" width="7" hidden="1" customWidth="1"/>
    <col min="34" max="34" width="7" bestFit="1" customWidth="1"/>
    <col min="35" max="35" width="6" hidden="1" customWidth="1"/>
    <col min="36" max="36" width="7" hidden="1" customWidth="1"/>
    <col min="37" max="37" width="6.109375" style="10" bestFit="1" customWidth="1"/>
  </cols>
  <sheetData>
    <row r="1" spans="2:38" x14ac:dyDescent="0.3">
      <c r="B1" s="2" t="s">
        <v>87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1"/>
      <c r="S1" s="1"/>
      <c r="T1" s="1"/>
      <c r="U1" s="1"/>
      <c r="V1" s="1"/>
      <c r="W1" s="1"/>
      <c r="X1" s="1"/>
      <c r="Y1" s="1"/>
      <c r="Z1" s="1"/>
      <c r="AA1" s="2"/>
      <c r="AB1" s="1"/>
      <c r="AC1" s="1"/>
      <c r="AD1" s="1"/>
      <c r="AE1" s="1"/>
      <c r="AF1" s="1"/>
      <c r="AG1" s="1"/>
      <c r="AH1" s="1"/>
      <c r="AK1" s="2"/>
    </row>
    <row r="2" spans="2:38" s="3" customFormat="1" x14ac:dyDescent="0.3">
      <c r="B2" s="3" t="s">
        <v>1</v>
      </c>
      <c r="C2" s="34">
        <v>1901</v>
      </c>
      <c r="D2" s="34"/>
      <c r="E2" s="3">
        <v>1911</v>
      </c>
      <c r="F2" s="3">
        <v>1921</v>
      </c>
      <c r="G2" s="3">
        <v>1931</v>
      </c>
      <c r="H2" s="3">
        <v>1941</v>
      </c>
      <c r="I2" s="34">
        <v>1951</v>
      </c>
      <c r="J2" s="34"/>
      <c r="K2" s="3">
        <v>1961</v>
      </c>
      <c r="L2" s="3">
        <v>1971</v>
      </c>
      <c r="M2" s="3">
        <v>1981</v>
      </c>
      <c r="N2" s="3">
        <v>1991</v>
      </c>
      <c r="O2" s="3">
        <v>2001</v>
      </c>
      <c r="P2" s="34">
        <v>2011</v>
      </c>
      <c r="Q2" s="34"/>
      <c r="R2" s="34">
        <v>2026</v>
      </c>
      <c r="S2" s="34"/>
      <c r="T2" s="34"/>
      <c r="U2" s="34">
        <v>2031</v>
      </c>
      <c r="V2" s="34"/>
      <c r="W2" s="34"/>
      <c r="X2" s="34">
        <v>2036</v>
      </c>
      <c r="Y2" s="34"/>
      <c r="Z2" s="34"/>
      <c r="AA2" s="34"/>
      <c r="AB2" s="34">
        <v>2041</v>
      </c>
      <c r="AC2" s="34"/>
      <c r="AD2" s="34"/>
      <c r="AE2" s="34">
        <v>2046</v>
      </c>
      <c r="AF2" s="34"/>
      <c r="AG2" s="34"/>
      <c r="AH2" s="34">
        <v>2051</v>
      </c>
      <c r="AI2" s="34"/>
      <c r="AJ2" s="34"/>
      <c r="AK2" s="34"/>
    </row>
    <row r="3" spans="2:38" s="3" customFormat="1" x14ac:dyDescent="0.3">
      <c r="C3" s="3" t="s">
        <v>73</v>
      </c>
      <c r="D3" s="3" t="s">
        <v>230</v>
      </c>
      <c r="E3" s="3" t="s">
        <v>73</v>
      </c>
      <c r="F3" s="3" t="s">
        <v>73</v>
      </c>
      <c r="G3" s="3" t="s">
        <v>73</v>
      </c>
      <c r="H3" s="3" t="s">
        <v>73</v>
      </c>
      <c r="I3" s="3" t="s">
        <v>73</v>
      </c>
      <c r="J3" s="3" t="s">
        <v>230</v>
      </c>
      <c r="K3" s="3" t="s">
        <v>73</v>
      </c>
      <c r="L3" s="3" t="s">
        <v>73</v>
      </c>
      <c r="M3" s="3" t="s">
        <v>73</v>
      </c>
      <c r="N3" s="3" t="s">
        <v>73</v>
      </c>
      <c r="O3" s="3" t="s">
        <v>73</v>
      </c>
      <c r="P3" s="3" t="s">
        <v>73</v>
      </c>
      <c r="Q3" s="3" t="s">
        <v>230</v>
      </c>
      <c r="R3" s="3" t="s">
        <v>73</v>
      </c>
      <c r="S3" s="3" t="s">
        <v>74</v>
      </c>
      <c r="T3" s="3" t="s">
        <v>75</v>
      </c>
      <c r="U3" s="3" t="s">
        <v>73</v>
      </c>
      <c r="V3" s="3" t="s">
        <v>74</v>
      </c>
      <c r="W3" s="3" t="s">
        <v>75</v>
      </c>
      <c r="X3" s="3" t="s">
        <v>73</v>
      </c>
      <c r="Y3" s="3" t="s">
        <v>74</v>
      </c>
      <c r="Z3" s="3" t="s">
        <v>75</v>
      </c>
      <c r="AA3" s="3" t="s">
        <v>230</v>
      </c>
      <c r="AB3" s="3" t="s">
        <v>73</v>
      </c>
      <c r="AC3" s="3" t="s">
        <v>74</v>
      </c>
      <c r="AD3" s="3" t="s">
        <v>75</v>
      </c>
      <c r="AE3" s="3" t="s">
        <v>73</v>
      </c>
      <c r="AF3" s="3" t="s">
        <v>74</v>
      </c>
      <c r="AG3" s="3" t="s">
        <v>75</v>
      </c>
      <c r="AH3" s="3" t="s">
        <v>73</v>
      </c>
      <c r="AI3" s="3" t="s">
        <v>74</v>
      </c>
      <c r="AJ3" s="3" t="s">
        <v>75</v>
      </c>
      <c r="AK3" s="3" t="s">
        <v>230</v>
      </c>
    </row>
    <row r="4" spans="2:38" x14ac:dyDescent="0.3">
      <c r="B4" s="10" t="s">
        <v>45</v>
      </c>
      <c r="C4" s="15">
        <v>19.065920999999999</v>
      </c>
      <c r="D4" s="16">
        <f>(C4/C$25)*100</f>
        <v>7.9975733015383241</v>
      </c>
      <c r="E4" s="15">
        <v>21.447412</v>
      </c>
      <c r="F4" s="15">
        <v>24.203572999999999</v>
      </c>
      <c r="G4" s="15">
        <v>24.203572999999999</v>
      </c>
      <c r="H4" s="27">
        <v>27.289339999999999</v>
      </c>
      <c r="I4" s="27">
        <v>31.115259000000002</v>
      </c>
      <c r="J4" s="16">
        <f>(I4/I$25)*100</f>
        <v>8.6170826071831943</v>
      </c>
      <c r="K4" s="27">
        <v>35.983446999999998</v>
      </c>
      <c r="L4" s="27">
        <v>43.502707999999998</v>
      </c>
      <c r="M4" s="27">
        <v>53.551026</v>
      </c>
      <c r="N4" s="27">
        <v>66.508008000000004</v>
      </c>
      <c r="O4" s="22">
        <v>76.210007000000004</v>
      </c>
      <c r="P4" s="22">
        <v>84.580776999999998</v>
      </c>
      <c r="Q4" s="16">
        <f>(P4/P$25)*100</f>
        <v>6.9852111612537069</v>
      </c>
      <c r="R4">
        <v>54.1</v>
      </c>
      <c r="S4">
        <v>27</v>
      </c>
      <c r="T4">
        <v>27.1</v>
      </c>
      <c r="U4">
        <v>54.6</v>
      </c>
      <c r="V4">
        <v>27.3</v>
      </c>
      <c r="W4">
        <v>27.3</v>
      </c>
      <c r="X4">
        <v>54.7</v>
      </c>
      <c r="Y4">
        <v>27.3</v>
      </c>
      <c r="Z4">
        <v>27.4</v>
      </c>
      <c r="AA4" s="16">
        <f>(Z4/Z$25)*100</f>
        <v>3.7197936464838448</v>
      </c>
      <c r="AB4">
        <v>54.4</v>
      </c>
      <c r="AC4">
        <v>27.2</v>
      </c>
      <c r="AD4">
        <v>27.2</v>
      </c>
      <c r="AE4">
        <v>53.9</v>
      </c>
      <c r="AF4">
        <v>27</v>
      </c>
      <c r="AG4">
        <v>26.9</v>
      </c>
      <c r="AH4">
        <v>53.2</v>
      </c>
      <c r="AI4">
        <v>26.5</v>
      </c>
      <c r="AJ4">
        <v>26.7</v>
      </c>
      <c r="AK4" s="16">
        <f>(AJ4/AJ$25)*100</f>
        <v>3.4086556874760627</v>
      </c>
      <c r="AL4" s="32">
        <f>(AH4/C4)</f>
        <v>2.7903189150946344</v>
      </c>
    </row>
    <row r="5" spans="2:38" x14ac:dyDescent="0.3">
      <c r="B5" s="10" t="s">
        <v>2</v>
      </c>
      <c r="C5" s="21">
        <v>3.2896800000000002</v>
      </c>
      <c r="D5" s="16">
        <f t="shared" ref="D5:D25" si="0">(C5/C$25)*100</f>
        <v>1.3799205891288753</v>
      </c>
      <c r="E5" s="21">
        <v>3.848617</v>
      </c>
      <c r="F5" s="21">
        <v>5.560371</v>
      </c>
      <c r="G5" s="21">
        <v>5.560371</v>
      </c>
      <c r="H5" s="21">
        <v>6.6947900000000002</v>
      </c>
      <c r="I5" s="21">
        <v>8.0288559999999993</v>
      </c>
      <c r="J5" s="16">
        <f t="shared" ref="J5:J25" si="1">(I5/I$25)*100</f>
        <v>2.2235172586279428</v>
      </c>
      <c r="K5" s="21">
        <v>10.837329</v>
      </c>
      <c r="L5" s="21">
        <v>14.625152</v>
      </c>
      <c r="M5" s="21">
        <v>18.041248</v>
      </c>
      <c r="N5" s="22">
        <v>22.414321999999999</v>
      </c>
      <c r="O5" s="22">
        <v>26.655528</v>
      </c>
      <c r="P5" s="27">
        <v>31.205576000000001</v>
      </c>
      <c r="Q5" s="16">
        <f t="shared" ref="Q5:Q25" si="2">(P5/P$25)*100</f>
        <v>2.5771522265461191</v>
      </c>
      <c r="R5">
        <v>37.200000000000003</v>
      </c>
      <c r="S5">
        <v>18.899999999999999</v>
      </c>
      <c r="T5">
        <v>18.3</v>
      </c>
      <c r="U5">
        <v>38.799999999999997</v>
      </c>
      <c r="V5">
        <v>19.7</v>
      </c>
      <c r="W5">
        <v>19.100000000000001</v>
      </c>
      <c r="X5">
        <v>40.1</v>
      </c>
      <c r="Y5">
        <v>20.3</v>
      </c>
      <c r="Z5">
        <v>19.8</v>
      </c>
      <c r="AA5" s="16">
        <f t="shared" ref="AA5:AA25" si="3">(Z5/Z$25)*100</f>
        <v>2.6880260657073038</v>
      </c>
      <c r="AB5">
        <v>41.1</v>
      </c>
      <c r="AC5">
        <v>20.8</v>
      </c>
      <c r="AD5">
        <v>20.3</v>
      </c>
      <c r="AE5">
        <v>41.8</v>
      </c>
      <c r="AF5">
        <v>21.1</v>
      </c>
      <c r="AG5">
        <v>20.7</v>
      </c>
      <c r="AH5">
        <v>42.1</v>
      </c>
      <c r="AI5">
        <v>21.2</v>
      </c>
      <c r="AJ5">
        <v>20.9</v>
      </c>
      <c r="AK5" s="16">
        <f t="shared" ref="AK5:AK25" si="4">(AJ5/AJ$25)*100</f>
        <v>2.6681986467509256</v>
      </c>
      <c r="AL5" s="32">
        <f t="shared" ref="AL5:AL25" si="5">(AH5/C5)</f>
        <v>12.797597334695167</v>
      </c>
    </row>
    <row r="6" spans="2:38" x14ac:dyDescent="0.3">
      <c r="B6" s="10" t="s">
        <v>3</v>
      </c>
      <c r="C6" s="21">
        <v>21.243632000000002</v>
      </c>
      <c r="D6" s="16">
        <f t="shared" si="0"/>
        <v>8.9110567546621642</v>
      </c>
      <c r="E6" s="21">
        <v>21.567159</v>
      </c>
      <c r="F6" s="21">
        <v>23.438371</v>
      </c>
      <c r="G6" s="21">
        <v>23.438371</v>
      </c>
      <c r="H6" s="21">
        <v>26.302771</v>
      </c>
      <c r="I6" s="21">
        <v>29.085017000000001</v>
      </c>
      <c r="J6" s="16">
        <f t="shared" si="1"/>
        <v>8.0548259013472308</v>
      </c>
      <c r="K6" s="21">
        <v>34.840967999999997</v>
      </c>
      <c r="L6" s="21">
        <v>42.126235999999999</v>
      </c>
      <c r="M6" s="21">
        <v>52.302664999999998</v>
      </c>
      <c r="N6" s="21">
        <v>64.530553999999995</v>
      </c>
      <c r="O6" s="21">
        <v>82.998508999999999</v>
      </c>
      <c r="P6" s="21">
        <v>104.099452</v>
      </c>
      <c r="Q6" s="16">
        <f t="shared" si="2"/>
        <v>8.5971857883357412</v>
      </c>
      <c r="R6">
        <v>132.9</v>
      </c>
      <c r="S6">
        <v>69.3</v>
      </c>
      <c r="T6">
        <v>63.6</v>
      </c>
      <c r="U6">
        <v>142.80000000000001</v>
      </c>
      <c r="V6">
        <v>74.400000000000006</v>
      </c>
      <c r="W6">
        <v>68.400000000000006</v>
      </c>
      <c r="X6">
        <v>151.19999999999999</v>
      </c>
      <c r="Y6">
        <v>78.8</v>
      </c>
      <c r="Z6">
        <v>72.400000000000006</v>
      </c>
      <c r="AA6" s="16">
        <f t="shared" si="3"/>
        <v>9.8289437958186259</v>
      </c>
      <c r="AB6">
        <v>158.19999999999999</v>
      </c>
      <c r="AC6">
        <v>82.4</v>
      </c>
      <c r="AD6">
        <v>75.8</v>
      </c>
      <c r="AE6">
        <v>164.5</v>
      </c>
      <c r="AF6">
        <v>85.6</v>
      </c>
      <c r="AG6">
        <v>78.900000000000006</v>
      </c>
      <c r="AH6">
        <v>170.5</v>
      </c>
      <c r="AI6">
        <v>88.7</v>
      </c>
      <c r="AJ6">
        <v>81.8</v>
      </c>
      <c r="AK6" s="16">
        <f t="shared" si="4"/>
        <v>10.442997574364867</v>
      </c>
      <c r="AL6" s="32">
        <f t="shared" si="5"/>
        <v>8.0259345482919304</v>
      </c>
    </row>
    <row r="7" spans="2:38" x14ac:dyDescent="0.3">
      <c r="B7" s="10" t="s">
        <v>4</v>
      </c>
      <c r="C7" s="22">
        <v>4.1815540000000002</v>
      </c>
      <c r="D7" s="16">
        <f t="shared" si="0"/>
        <v>1.7540345745343637</v>
      </c>
      <c r="E7" s="22">
        <v>5.1915829999999996</v>
      </c>
      <c r="F7" s="22">
        <v>6.028778</v>
      </c>
      <c r="G7" s="22">
        <v>6.028778</v>
      </c>
      <c r="H7" s="22">
        <v>6.8148860000000004</v>
      </c>
      <c r="I7" s="22">
        <v>7.4567059999999996</v>
      </c>
      <c r="J7" s="16">
        <f t="shared" si="1"/>
        <v>2.0650656187524765</v>
      </c>
      <c r="K7" s="22">
        <v>9.1544980000000002</v>
      </c>
      <c r="L7" s="22">
        <v>11.637494</v>
      </c>
      <c r="M7" s="22">
        <v>14.010337</v>
      </c>
      <c r="N7" s="22">
        <v>17.614927999999999</v>
      </c>
      <c r="O7" s="22">
        <v>20.833803</v>
      </c>
      <c r="P7" s="22">
        <v>25.545197999999999</v>
      </c>
      <c r="Q7" s="16">
        <f t="shared" si="2"/>
        <v>2.1096827023241445</v>
      </c>
      <c r="R7">
        <v>30.6</v>
      </c>
      <c r="S7">
        <v>15.3</v>
      </c>
      <c r="T7">
        <v>15.3</v>
      </c>
      <c r="U7">
        <v>31.7</v>
      </c>
      <c r="V7">
        <v>15.8</v>
      </c>
      <c r="W7">
        <v>15.9</v>
      </c>
      <c r="X7">
        <v>32.5</v>
      </c>
      <c r="Y7">
        <v>16.100000000000001</v>
      </c>
      <c r="Z7">
        <v>16.399999999999999</v>
      </c>
      <c r="AA7" s="16">
        <f t="shared" si="3"/>
        <v>2.2264458322020086</v>
      </c>
      <c r="AB7">
        <v>33.1</v>
      </c>
      <c r="AC7">
        <v>16.3</v>
      </c>
      <c r="AD7">
        <v>16.8</v>
      </c>
      <c r="AE7">
        <v>33.6</v>
      </c>
      <c r="AF7">
        <v>16.5</v>
      </c>
      <c r="AG7">
        <v>17.100000000000001</v>
      </c>
      <c r="AH7">
        <v>33.799999999999997</v>
      </c>
      <c r="AI7">
        <v>16.5</v>
      </c>
      <c r="AJ7">
        <v>17.3</v>
      </c>
      <c r="AK7" s="16">
        <f t="shared" si="4"/>
        <v>2.2086046214732544</v>
      </c>
      <c r="AL7" s="32">
        <f t="shared" si="5"/>
        <v>8.0831193379303468</v>
      </c>
    </row>
    <row r="8" spans="2:38" x14ac:dyDescent="0.3">
      <c r="B8" s="10" t="s">
        <v>5</v>
      </c>
      <c r="C8" s="23">
        <v>0.40581899999999999</v>
      </c>
      <c r="D8" s="16">
        <f t="shared" si="0"/>
        <v>0.17022871329724804</v>
      </c>
      <c r="E8" s="23">
        <v>0.41385100000000002</v>
      </c>
      <c r="F8" s="23">
        <v>0.63624599999999998</v>
      </c>
      <c r="G8" s="23">
        <v>0.63624599999999998</v>
      </c>
      <c r="H8" s="23">
        <v>0.91793899999999995</v>
      </c>
      <c r="I8" s="23">
        <v>1.7440720000000001</v>
      </c>
      <c r="J8" s="16">
        <f t="shared" si="1"/>
        <v>0.48300457652868023</v>
      </c>
      <c r="K8" s="23">
        <v>2.6586120000000002</v>
      </c>
      <c r="L8" s="23">
        <v>4.0656980000000003</v>
      </c>
      <c r="M8" s="23">
        <v>6.2204059999999997</v>
      </c>
      <c r="N8" s="23">
        <v>9.4206439999999994</v>
      </c>
      <c r="O8" s="21">
        <v>13.850507</v>
      </c>
      <c r="P8" s="21">
        <v>16.787941</v>
      </c>
      <c r="Q8" s="16">
        <f t="shared" si="2"/>
        <v>1.3864534827774011</v>
      </c>
      <c r="R8">
        <v>19.3</v>
      </c>
      <c r="S8">
        <v>10.199999999999999</v>
      </c>
      <c r="T8">
        <v>9.1</v>
      </c>
      <c r="U8">
        <v>19.8</v>
      </c>
      <c r="V8">
        <v>10.4</v>
      </c>
      <c r="W8">
        <v>9.4</v>
      </c>
      <c r="X8">
        <v>20.2</v>
      </c>
      <c r="Y8">
        <v>10.6</v>
      </c>
      <c r="Z8">
        <v>9.6</v>
      </c>
      <c r="AA8" s="16">
        <f t="shared" si="3"/>
        <v>1.30328536519142</v>
      </c>
      <c r="AB8">
        <v>20.5</v>
      </c>
      <c r="AC8">
        <v>10.7</v>
      </c>
      <c r="AD8">
        <v>9.8000000000000007</v>
      </c>
      <c r="AE8">
        <v>20.6</v>
      </c>
      <c r="AF8">
        <v>10.7</v>
      </c>
      <c r="AG8">
        <v>9.9</v>
      </c>
      <c r="AH8">
        <v>20.5</v>
      </c>
      <c r="AI8">
        <v>10.6</v>
      </c>
      <c r="AJ8">
        <v>9.9</v>
      </c>
      <c r="AK8" s="16">
        <f t="shared" si="4"/>
        <v>1.2638835695135964</v>
      </c>
      <c r="AL8" s="32">
        <f t="shared" si="5"/>
        <v>50.515131129887955</v>
      </c>
    </row>
    <row r="9" spans="2:38" x14ac:dyDescent="0.3">
      <c r="B9" s="10" t="s">
        <v>6</v>
      </c>
      <c r="C9" s="22">
        <v>9.0947479999999992</v>
      </c>
      <c r="D9" s="16">
        <f t="shared" si="0"/>
        <v>3.8149698506051224</v>
      </c>
      <c r="E9" s="22">
        <v>9.8035870000000003</v>
      </c>
      <c r="F9" s="22">
        <v>11.489827999999999</v>
      </c>
      <c r="G9" s="22">
        <v>11.489827999999999</v>
      </c>
      <c r="H9" s="22">
        <v>13.701551</v>
      </c>
      <c r="I9" s="22">
        <v>16.262657000000001</v>
      </c>
      <c r="J9" s="16">
        <f t="shared" si="1"/>
        <v>4.5037921355977151</v>
      </c>
      <c r="K9" s="22">
        <v>20.63335</v>
      </c>
      <c r="L9" s="22">
        <v>26.697475000000001</v>
      </c>
      <c r="M9" s="22">
        <v>34.085799000000002</v>
      </c>
      <c r="N9" s="22">
        <v>41.309581999999999</v>
      </c>
      <c r="O9" s="29">
        <v>50.671016999999999</v>
      </c>
      <c r="P9" s="22">
        <v>60.439692000000001</v>
      </c>
      <c r="Q9" s="16">
        <f t="shared" si="2"/>
        <v>4.9914889188253309</v>
      </c>
      <c r="R9">
        <v>70.3</v>
      </c>
      <c r="S9">
        <v>36.4</v>
      </c>
      <c r="T9">
        <v>33.9</v>
      </c>
      <c r="U9">
        <v>72.3</v>
      </c>
      <c r="V9">
        <v>37.299999999999997</v>
      </c>
      <c r="W9">
        <v>35</v>
      </c>
      <c r="X9">
        <v>73.8</v>
      </c>
      <c r="Y9">
        <v>37.9</v>
      </c>
      <c r="Z9">
        <v>35.9</v>
      </c>
      <c r="AA9" s="16">
        <f t="shared" si="3"/>
        <v>4.8737442302470813</v>
      </c>
      <c r="AB9">
        <v>74.900000000000006</v>
      </c>
      <c r="AC9">
        <v>38.299999999999997</v>
      </c>
      <c r="AD9">
        <v>36.6</v>
      </c>
      <c r="AE9">
        <v>75.5</v>
      </c>
      <c r="AF9">
        <v>38.4</v>
      </c>
      <c r="AG9">
        <v>37.1</v>
      </c>
      <c r="AH9">
        <v>75.7</v>
      </c>
      <c r="AI9">
        <v>38.299999999999997</v>
      </c>
      <c r="AJ9">
        <v>37.4</v>
      </c>
      <c r="AK9" s="16">
        <f t="shared" si="4"/>
        <v>4.774671262606919</v>
      </c>
      <c r="AL9" s="32">
        <f t="shared" si="5"/>
        <v>8.3234851586871912</v>
      </c>
    </row>
    <row r="10" spans="2:38" x14ac:dyDescent="0.3">
      <c r="B10" s="10" t="s">
        <v>7</v>
      </c>
      <c r="C10" s="23">
        <v>4.6230640000000003</v>
      </c>
      <c r="D10" s="16">
        <f t="shared" si="0"/>
        <v>1.9392345755394125</v>
      </c>
      <c r="E10" s="23">
        <v>4.174677</v>
      </c>
      <c r="F10" s="23">
        <v>4.5599170000000004</v>
      </c>
      <c r="G10" s="23">
        <v>4.5599170000000004</v>
      </c>
      <c r="H10" s="23">
        <v>5.2728289999999998</v>
      </c>
      <c r="I10" s="23">
        <v>5.673597</v>
      </c>
      <c r="J10" s="16">
        <f t="shared" si="1"/>
        <v>1.5712501068645048</v>
      </c>
      <c r="K10" s="23">
        <v>7.5905240000000003</v>
      </c>
      <c r="L10" s="23">
        <v>10.036431</v>
      </c>
      <c r="M10" s="23">
        <v>12.922119</v>
      </c>
      <c r="N10" s="23">
        <v>16.463647999999999</v>
      </c>
      <c r="O10" s="21">
        <v>21.144563999999999</v>
      </c>
      <c r="P10" s="21">
        <v>25.351462000000001</v>
      </c>
      <c r="Q10" s="16">
        <f t="shared" si="2"/>
        <v>2.0936827680892458</v>
      </c>
      <c r="R10">
        <v>29.6</v>
      </c>
      <c r="S10">
        <v>15.7</v>
      </c>
      <c r="T10">
        <v>13.9</v>
      </c>
      <c r="U10">
        <v>30.4</v>
      </c>
      <c r="V10">
        <v>16.100000000000001</v>
      </c>
      <c r="W10">
        <v>14.3</v>
      </c>
      <c r="X10">
        <v>31.1</v>
      </c>
      <c r="Y10">
        <v>16.399999999999999</v>
      </c>
      <c r="Z10">
        <v>14.7</v>
      </c>
      <c r="AA10" s="16">
        <f t="shared" si="3"/>
        <v>1.9956557154493619</v>
      </c>
      <c r="AB10">
        <v>31.6</v>
      </c>
      <c r="AC10">
        <v>16.600000000000001</v>
      </c>
      <c r="AD10">
        <v>15</v>
      </c>
      <c r="AE10">
        <v>31.9</v>
      </c>
      <c r="AF10">
        <v>16.7</v>
      </c>
      <c r="AG10">
        <v>15.2</v>
      </c>
      <c r="AH10">
        <v>32</v>
      </c>
      <c r="AI10">
        <v>16.7</v>
      </c>
      <c r="AJ10">
        <v>15.3</v>
      </c>
      <c r="AK10" s="16">
        <f t="shared" si="4"/>
        <v>1.9532746074301037</v>
      </c>
      <c r="AL10" s="32">
        <f t="shared" si="5"/>
        <v>6.9218163538294082</v>
      </c>
    </row>
    <row r="11" spans="2:38" x14ac:dyDescent="0.3">
      <c r="B11" s="10" t="s">
        <v>8</v>
      </c>
      <c r="C11" s="23">
        <v>1.9202939999999999</v>
      </c>
      <c r="D11" s="16">
        <f t="shared" si="0"/>
        <v>0.80550485998049792</v>
      </c>
      <c r="E11" s="23">
        <v>1.896944</v>
      </c>
      <c r="F11" s="23">
        <v>2.0291130000000002</v>
      </c>
      <c r="G11" s="23">
        <v>2.0291130000000002</v>
      </c>
      <c r="H11" s="23">
        <v>2.263245</v>
      </c>
      <c r="I11" s="23">
        <v>2.3859810000000001</v>
      </c>
      <c r="J11" s="16">
        <f t="shared" si="1"/>
        <v>0.66077532493525337</v>
      </c>
      <c r="K11" s="23">
        <v>2.8124630000000002</v>
      </c>
      <c r="L11" s="23">
        <v>3.4604339999999998</v>
      </c>
      <c r="M11" s="23">
        <v>4.280818</v>
      </c>
      <c r="N11" s="23">
        <v>5.1708769999999999</v>
      </c>
      <c r="O11" s="21">
        <v>6.0778999999999996</v>
      </c>
      <c r="P11" s="23">
        <v>6.8646019999999996</v>
      </c>
      <c r="Q11" s="16">
        <f t="shared" si="2"/>
        <v>0.56692189654351977</v>
      </c>
      <c r="R11">
        <v>7.5</v>
      </c>
      <c r="S11">
        <v>3.8</v>
      </c>
      <c r="T11">
        <v>3.7</v>
      </c>
      <c r="U11">
        <v>7.6</v>
      </c>
      <c r="V11">
        <v>3.8</v>
      </c>
      <c r="W11">
        <v>3.8</v>
      </c>
      <c r="X11">
        <v>7.7</v>
      </c>
      <c r="Y11">
        <v>3.9</v>
      </c>
      <c r="Z11">
        <v>3.8</v>
      </c>
      <c r="AA11" s="16">
        <f t="shared" si="3"/>
        <v>0.51588379038827048</v>
      </c>
      <c r="AB11">
        <v>7.8</v>
      </c>
      <c r="AC11">
        <v>3.9</v>
      </c>
      <c r="AD11">
        <v>3.9</v>
      </c>
      <c r="AE11">
        <v>7.8</v>
      </c>
      <c r="AF11">
        <v>3.9</v>
      </c>
      <c r="AG11">
        <v>3.9</v>
      </c>
      <c r="AH11">
        <v>7.8</v>
      </c>
      <c r="AI11">
        <v>3.9</v>
      </c>
      <c r="AJ11">
        <v>3.9</v>
      </c>
      <c r="AK11" s="16">
        <f t="shared" si="4"/>
        <v>0.49789352738414405</v>
      </c>
      <c r="AL11" s="32">
        <f t="shared" si="5"/>
        <v>4.0618780249274327</v>
      </c>
    </row>
    <row r="12" spans="2:38" x14ac:dyDescent="0.3">
      <c r="B12" s="10" t="s">
        <v>10</v>
      </c>
      <c r="C12" s="22">
        <v>6.0682330000000002</v>
      </c>
      <c r="D12" s="16">
        <f t="shared" si="0"/>
        <v>2.5454389655927878</v>
      </c>
      <c r="E12" s="22">
        <v>6.7471220000000001</v>
      </c>
      <c r="F12" s="22">
        <v>7.9087370000000004</v>
      </c>
      <c r="G12" s="22">
        <v>7.9087370000000004</v>
      </c>
      <c r="H12" s="22">
        <v>8.8680690000000002</v>
      </c>
      <c r="I12" s="22">
        <v>9.6972539999999992</v>
      </c>
      <c r="J12" s="16">
        <f t="shared" si="1"/>
        <v>2.6855646221950988</v>
      </c>
      <c r="K12" s="22">
        <v>11.606489</v>
      </c>
      <c r="L12" s="22">
        <v>14.227133</v>
      </c>
      <c r="M12" s="22">
        <v>17.612069000000002</v>
      </c>
      <c r="N12" s="22">
        <v>21.843910999999999</v>
      </c>
      <c r="O12" s="22">
        <v>26.945829</v>
      </c>
      <c r="P12" s="27">
        <v>32.988134000000002</v>
      </c>
      <c r="Q12" s="16">
        <f t="shared" si="2"/>
        <v>2.7243670486230327</v>
      </c>
      <c r="R12">
        <v>40.4</v>
      </c>
      <c r="S12">
        <v>20.8</v>
      </c>
      <c r="T12">
        <v>19.600000000000001</v>
      </c>
      <c r="U12">
        <v>42.5</v>
      </c>
      <c r="V12">
        <v>21.8</v>
      </c>
      <c r="W12">
        <v>20.7</v>
      </c>
      <c r="X12">
        <v>44.2</v>
      </c>
      <c r="Y12">
        <v>22.7</v>
      </c>
      <c r="Z12">
        <v>21.5</v>
      </c>
      <c r="AA12" s="16">
        <f t="shared" si="3"/>
        <v>2.9188161824599512</v>
      </c>
      <c r="AB12">
        <v>45.6</v>
      </c>
      <c r="AC12">
        <v>23.4</v>
      </c>
      <c r="AD12">
        <v>22.2</v>
      </c>
      <c r="AE12">
        <v>46.6</v>
      </c>
      <c r="AF12">
        <v>23.9</v>
      </c>
      <c r="AG12">
        <v>22.7</v>
      </c>
      <c r="AH12">
        <v>47.6</v>
      </c>
      <c r="AI12">
        <v>24.4</v>
      </c>
      <c r="AJ12">
        <v>23.2</v>
      </c>
      <c r="AK12" s="16">
        <f t="shared" si="4"/>
        <v>2.9618281629005492</v>
      </c>
      <c r="AL12" s="32">
        <f t="shared" si="5"/>
        <v>7.844128595589523</v>
      </c>
    </row>
    <row r="13" spans="2:38" x14ac:dyDescent="0.3">
      <c r="B13" s="10" t="s">
        <v>11</v>
      </c>
      <c r="C13" s="22">
        <v>13.054754000000001</v>
      </c>
      <c r="D13" s="16">
        <f t="shared" si="0"/>
        <v>5.4760717852838399</v>
      </c>
      <c r="E13" s="22">
        <v>13.525251000000001</v>
      </c>
      <c r="F13" s="22">
        <v>14.632992</v>
      </c>
      <c r="G13" s="22">
        <v>14.632992</v>
      </c>
      <c r="H13" s="22">
        <v>16.255368000000001</v>
      </c>
      <c r="I13" s="22">
        <v>19.401955999999998</v>
      </c>
      <c r="J13" s="16">
        <f t="shared" si="1"/>
        <v>5.3731918989629364</v>
      </c>
      <c r="K13" s="22">
        <v>23.586772</v>
      </c>
      <c r="L13" s="22">
        <v>29.299014</v>
      </c>
      <c r="M13" s="22">
        <v>37.135714</v>
      </c>
      <c r="N13" s="22">
        <v>44.977201000000001</v>
      </c>
      <c r="O13" s="22">
        <v>52.850561999999996</v>
      </c>
      <c r="P13" s="22">
        <v>61.095297000000002</v>
      </c>
      <c r="Q13" s="16">
        <f t="shared" si="2"/>
        <v>5.0456328925012137</v>
      </c>
      <c r="R13">
        <v>67.5</v>
      </c>
      <c r="S13">
        <v>34</v>
      </c>
      <c r="T13">
        <v>33.5</v>
      </c>
      <c r="U13">
        <v>68.5</v>
      </c>
      <c r="V13">
        <v>34.4</v>
      </c>
      <c r="W13">
        <v>34.1</v>
      </c>
      <c r="X13">
        <v>69.3</v>
      </c>
      <c r="Y13">
        <v>34.6</v>
      </c>
      <c r="Z13">
        <v>34.700000000000003</v>
      </c>
      <c r="AA13" s="16">
        <f t="shared" si="3"/>
        <v>4.7108335595981536</v>
      </c>
      <c r="AB13">
        <v>69.599999999999994</v>
      </c>
      <c r="AC13">
        <v>34.700000000000003</v>
      </c>
      <c r="AD13">
        <v>34.9</v>
      </c>
      <c r="AE13">
        <v>69.5</v>
      </c>
      <c r="AF13">
        <v>34.5</v>
      </c>
      <c r="AG13">
        <v>35</v>
      </c>
      <c r="AH13">
        <v>69.099999999999994</v>
      </c>
      <c r="AI13">
        <v>34.1</v>
      </c>
      <c r="AJ13">
        <v>35</v>
      </c>
      <c r="AK13" s="16">
        <f t="shared" si="4"/>
        <v>4.4682752457551382</v>
      </c>
      <c r="AL13" s="32">
        <f t="shared" si="5"/>
        <v>5.2930909307061622</v>
      </c>
    </row>
    <row r="14" spans="2:38" x14ac:dyDescent="0.3">
      <c r="B14" s="10" t="s">
        <v>12</v>
      </c>
      <c r="C14" s="22">
        <v>6.3962620000000001</v>
      </c>
      <c r="D14" s="16">
        <f t="shared" si="0"/>
        <v>2.6830371425982582</v>
      </c>
      <c r="E14" s="22">
        <v>7.1476730000000002</v>
      </c>
      <c r="F14" s="22">
        <v>9.5070499999999996</v>
      </c>
      <c r="G14" s="22">
        <v>9.5070499999999996</v>
      </c>
      <c r="H14" s="22">
        <v>11.031541000000001</v>
      </c>
      <c r="I14" s="22">
        <v>13.549118</v>
      </c>
      <c r="J14" s="16">
        <f t="shared" si="1"/>
        <v>3.7523026583347017</v>
      </c>
      <c r="K14" s="22">
        <v>16.903714999999998</v>
      </c>
      <c r="L14" s="22">
        <v>21.347375</v>
      </c>
      <c r="M14" s="22">
        <v>25.453679999999999</v>
      </c>
      <c r="N14" s="22">
        <v>29.098517999999999</v>
      </c>
      <c r="O14" s="22">
        <v>31.841373999999998</v>
      </c>
      <c r="P14" s="22">
        <v>33.406061000000001</v>
      </c>
      <c r="Q14" s="16">
        <f t="shared" si="2"/>
        <v>2.7588820820447437</v>
      </c>
      <c r="R14">
        <v>35.799999999999997</v>
      </c>
      <c r="S14">
        <v>17.100000000000001</v>
      </c>
      <c r="T14">
        <v>18.7</v>
      </c>
      <c r="U14">
        <v>36.1</v>
      </c>
      <c r="V14">
        <v>17.2</v>
      </c>
      <c r="W14">
        <v>18.899999999999999</v>
      </c>
      <c r="X14">
        <v>36.1</v>
      </c>
      <c r="Y14">
        <v>17.2</v>
      </c>
      <c r="Z14">
        <v>18.899999999999999</v>
      </c>
      <c r="AA14" s="16">
        <f t="shared" si="3"/>
        <v>2.5658430627206079</v>
      </c>
      <c r="AB14">
        <v>36.200000000000003</v>
      </c>
      <c r="AC14">
        <v>17.2</v>
      </c>
      <c r="AD14">
        <v>19</v>
      </c>
      <c r="AE14">
        <v>35.9</v>
      </c>
      <c r="AF14">
        <v>17.100000000000001</v>
      </c>
      <c r="AG14">
        <v>18.8</v>
      </c>
      <c r="AH14">
        <v>35.5</v>
      </c>
      <c r="AI14">
        <v>16.899999999999999</v>
      </c>
      <c r="AJ14">
        <v>18.600000000000001</v>
      </c>
      <c r="AK14" s="16">
        <f t="shared" si="4"/>
        <v>2.3745691306013028</v>
      </c>
      <c r="AL14" s="32">
        <f t="shared" si="5"/>
        <v>5.5501166149854395</v>
      </c>
    </row>
    <row r="15" spans="2:38" x14ac:dyDescent="0.3">
      <c r="B15" s="10" t="s">
        <v>23</v>
      </c>
      <c r="C15" s="22">
        <v>12.679214</v>
      </c>
      <c r="D15" s="16">
        <f t="shared" si="0"/>
        <v>5.3185441904899813</v>
      </c>
      <c r="E15" s="22">
        <v>14.249382000000001</v>
      </c>
      <c r="F15" s="22">
        <v>15.326879</v>
      </c>
      <c r="G15" s="22">
        <v>15.326879</v>
      </c>
      <c r="H15" s="22">
        <v>17.175722</v>
      </c>
      <c r="I15" s="22">
        <v>18.614930999999999</v>
      </c>
      <c r="J15" s="16">
        <f t="shared" si="1"/>
        <v>5.1552326192758109</v>
      </c>
      <c r="K15" s="22">
        <v>23.21791</v>
      </c>
      <c r="L15" s="22">
        <v>30.016625000000001</v>
      </c>
      <c r="M15" s="22">
        <v>38.168506999999998</v>
      </c>
      <c r="N15" s="22">
        <v>48.566242000000003</v>
      </c>
      <c r="O15" s="22">
        <v>60.348022999999998</v>
      </c>
      <c r="P15" s="22">
        <v>72.626808999999994</v>
      </c>
      <c r="Q15" s="16">
        <f t="shared" si="2"/>
        <v>5.997977493550823</v>
      </c>
      <c r="R15">
        <v>89.4</v>
      </c>
      <c r="S15">
        <v>46</v>
      </c>
      <c r="T15">
        <v>43.4</v>
      </c>
      <c r="U15">
        <v>94.1</v>
      </c>
      <c r="V15">
        <v>48.3</v>
      </c>
      <c r="W15">
        <v>45.8</v>
      </c>
      <c r="X15">
        <v>98</v>
      </c>
      <c r="Y15">
        <v>50.1</v>
      </c>
      <c r="Z15">
        <v>47.9</v>
      </c>
      <c r="AA15" s="16">
        <f t="shared" si="3"/>
        <v>6.5028509367363556</v>
      </c>
      <c r="AB15">
        <v>101.3</v>
      </c>
      <c r="AC15">
        <v>51.6</v>
      </c>
      <c r="AD15">
        <v>49.7</v>
      </c>
      <c r="AE15">
        <v>104.1</v>
      </c>
      <c r="AF15">
        <v>52.9</v>
      </c>
      <c r="AG15">
        <v>51.2</v>
      </c>
      <c r="AH15">
        <v>106.3</v>
      </c>
      <c r="AI15">
        <v>53.8</v>
      </c>
      <c r="AJ15">
        <v>52.5</v>
      </c>
      <c r="AK15" s="16">
        <f t="shared" si="4"/>
        <v>6.7024128686327078</v>
      </c>
      <c r="AL15" s="32">
        <f t="shared" si="5"/>
        <v>8.3838004469362222</v>
      </c>
    </row>
    <row r="16" spans="2:38" x14ac:dyDescent="0.3">
      <c r="B16" s="10" t="s">
        <v>24</v>
      </c>
      <c r="C16" s="22">
        <v>19.391642999999998</v>
      </c>
      <c r="D16" s="16">
        <f t="shared" si="0"/>
        <v>8.1342037622920245</v>
      </c>
      <c r="E16" s="22">
        <v>21.474523000000001</v>
      </c>
      <c r="F16" s="22">
        <v>23.959299999999999</v>
      </c>
      <c r="G16" s="22">
        <v>23.959299999999999</v>
      </c>
      <c r="H16" s="22">
        <v>26.832757999999998</v>
      </c>
      <c r="I16" s="22">
        <v>32.002564</v>
      </c>
      <c r="J16" s="16">
        <f t="shared" si="1"/>
        <v>8.8628135034860875</v>
      </c>
      <c r="K16" s="22">
        <v>39.553718000000003</v>
      </c>
      <c r="L16" s="22">
        <v>50.412235000000003</v>
      </c>
      <c r="M16" s="22">
        <v>62.782817999999999</v>
      </c>
      <c r="N16" s="22">
        <v>78.937186999999994</v>
      </c>
      <c r="O16" s="22">
        <v>96.878626999999994</v>
      </c>
      <c r="P16" s="22">
        <v>112.37433299999999</v>
      </c>
      <c r="Q16" s="16">
        <f t="shared" si="2"/>
        <v>9.2805773717359052</v>
      </c>
      <c r="R16">
        <v>124.1</v>
      </c>
      <c r="S16">
        <v>64.099999999999994</v>
      </c>
      <c r="T16">
        <v>60</v>
      </c>
      <c r="U16">
        <v>126</v>
      </c>
      <c r="V16">
        <v>64.900000000000006</v>
      </c>
      <c r="W16">
        <v>61.1</v>
      </c>
      <c r="X16">
        <v>127.4</v>
      </c>
      <c r="Y16">
        <v>65.400000000000006</v>
      </c>
      <c r="Z16">
        <v>62</v>
      </c>
      <c r="AA16" s="16">
        <f t="shared" si="3"/>
        <v>8.4170513168612544</v>
      </c>
      <c r="AB16">
        <v>128.1</v>
      </c>
      <c r="AC16">
        <v>65.5</v>
      </c>
      <c r="AD16">
        <v>62.6</v>
      </c>
      <c r="AE16">
        <v>127.9</v>
      </c>
      <c r="AF16">
        <v>65.099999999999994</v>
      </c>
      <c r="AG16">
        <v>62.8</v>
      </c>
      <c r="AH16">
        <v>126.9</v>
      </c>
      <c r="AI16">
        <v>64.3</v>
      </c>
      <c r="AJ16">
        <v>62.6</v>
      </c>
      <c r="AK16" s="16">
        <f t="shared" si="4"/>
        <v>7.99182943955062</v>
      </c>
      <c r="AL16" s="32">
        <f t="shared" si="5"/>
        <v>6.5440561173697356</v>
      </c>
    </row>
    <row r="17" spans="1:38" x14ac:dyDescent="0.3">
      <c r="A17" s="19"/>
      <c r="B17" s="17" t="s">
        <v>25</v>
      </c>
      <c r="C17" s="24">
        <v>10.302917000000001</v>
      </c>
      <c r="D17" s="18">
        <f t="shared" si="0"/>
        <v>4.3217599573167922</v>
      </c>
      <c r="E17" s="24">
        <v>11.378875000000001</v>
      </c>
      <c r="F17" s="24">
        <v>12.491056</v>
      </c>
      <c r="G17" s="24">
        <v>12.491056</v>
      </c>
      <c r="H17" s="24">
        <v>13.767988000000001</v>
      </c>
      <c r="I17" s="24">
        <v>14.645946</v>
      </c>
      <c r="J17" s="18">
        <f t="shared" si="1"/>
        <v>4.0560590076510135</v>
      </c>
      <c r="K17" s="24">
        <v>17.548846000000001</v>
      </c>
      <c r="L17" s="24">
        <v>21.944614999999999</v>
      </c>
      <c r="M17" s="24">
        <v>26.370270999999999</v>
      </c>
      <c r="N17" s="24">
        <v>31.659735999999999</v>
      </c>
      <c r="O17" s="24">
        <v>36.804659999999998</v>
      </c>
      <c r="P17" s="24">
        <v>41.974218</v>
      </c>
      <c r="Q17" s="18">
        <f t="shared" si="2"/>
        <v>3.4664942373193881</v>
      </c>
      <c r="R17" s="19">
        <v>47.6</v>
      </c>
      <c r="S17" s="19">
        <v>23.9</v>
      </c>
      <c r="T17" s="19">
        <v>23.7</v>
      </c>
      <c r="U17" s="19">
        <v>48.8</v>
      </c>
      <c r="V17" s="19">
        <v>24.5</v>
      </c>
      <c r="W17" s="19">
        <v>24.3</v>
      </c>
      <c r="X17" s="19">
        <v>49.7</v>
      </c>
      <c r="Y17" s="19">
        <v>24.9</v>
      </c>
      <c r="Z17" s="19">
        <v>24.8</v>
      </c>
      <c r="AA17" s="18">
        <f t="shared" si="3"/>
        <v>3.3668205267445019</v>
      </c>
      <c r="AB17" s="19">
        <v>50.2</v>
      </c>
      <c r="AC17" s="19">
        <v>25.1</v>
      </c>
      <c r="AD17" s="19">
        <v>25.1</v>
      </c>
      <c r="AE17" s="19">
        <v>50.4</v>
      </c>
      <c r="AF17" s="19">
        <v>25.1</v>
      </c>
      <c r="AG17" s="19">
        <v>25.3</v>
      </c>
      <c r="AH17" s="19">
        <v>50.4</v>
      </c>
      <c r="AI17" s="19">
        <v>25</v>
      </c>
      <c r="AJ17" s="19">
        <v>25.4</v>
      </c>
      <c r="AK17" s="18">
        <f t="shared" si="4"/>
        <v>3.2426911783480152</v>
      </c>
      <c r="AL17" s="33">
        <f t="shared" si="5"/>
        <v>4.8918185014981672</v>
      </c>
    </row>
    <row r="18" spans="1:38" x14ac:dyDescent="0.3">
      <c r="B18" s="10" t="s">
        <v>26</v>
      </c>
      <c r="C18" s="23">
        <v>7.5447899999999999</v>
      </c>
      <c r="D18" s="16">
        <f t="shared" si="0"/>
        <v>3.1648096658804645</v>
      </c>
      <c r="E18" s="23">
        <v>6.7315100000000001</v>
      </c>
      <c r="F18" s="23">
        <v>8.0123250000000006</v>
      </c>
      <c r="G18" s="23">
        <v>8.0123250000000006</v>
      </c>
      <c r="H18" s="23">
        <v>9.6002360000000007</v>
      </c>
      <c r="I18" s="23">
        <v>9.1605000000000008</v>
      </c>
      <c r="J18" s="16">
        <f t="shared" si="1"/>
        <v>2.5369155764733198</v>
      </c>
      <c r="K18" s="23">
        <v>11.135069</v>
      </c>
      <c r="L18" s="23">
        <v>13.55106</v>
      </c>
      <c r="M18" s="23">
        <v>16.788914999999999</v>
      </c>
      <c r="N18" s="23">
        <v>20.281969</v>
      </c>
      <c r="O18" s="21">
        <v>24.358999000000001</v>
      </c>
      <c r="P18" s="21">
        <v>27.743338000000001</v>
      </c>
      <c r="Q18" s="16">
        <f t="shared" si="2"/>
        <v>2.2912188930119912</v>
      </c>
      <c r="R18">
        <v>29.9</v>
      </c>
      <c r="S18">
        <v>15.7</v>
      </c>
      <c r="T18">
        <v>14.2</v>
      </c>
      <c r="U18">
        <v>30.1</v>
      </c>
      <c r="V18">
        <v>15.7</v>
      </c>
      <c r="W18">
        <v>14.4</v>
      </c>
      <c r="X18">
        <v>30.2</v>
      </c>
      <c r="Y18">
        <v>15.7</v>
      </c>
      <c r="Z18">
        <v>14.5</v>
      </c>
      <c r="AA18" s="16">
        <f t="shared" si="3"/>
        <v>1.9685039370078741</v>
      </c>
      <c r="AB18">
        <v>30.1</v>
      </c>
      <c r="AC18">
        <v>15.6</v>
      </c>
      <c r="AD18">
        <v>14.5</v>
      </c>
      <c r="AE18">
        <v>29.8</v>
      </c>
      <c r="AF18">
        <v>15.4</v>
      </c>
      <c r="AG18">
        <v>14.5</v>
      </c>
      <c r="AH18">
        <v>29.9</v>
      </c>
      <c r="AI18">
        <v>15.1</v>
      </c>
      <c r="AJ18">
        <v>14.3</v>
      </c>
      <c r="AK18" s="16">
        <f t="shared" si="4"/>
        <v>1.8256096004085283</v>
      </c>
      <c r="AL18" s="32">
        <f t="shared" si="5"/>
        <v>3.9629996328592312</v>
      </c>
    </row>
    <row r="19" spans="1:38" x14ac:dyDescent="0.3">
      <c r="A19" s="19"/>
      <c r="B19" s="17" t="s">
        <v>27</v>
      </c>
      <c r="C19" s="24">
        <v>10.294090000000001</v>
      </c>
      <c r="D19" s="18">
        <f t="shared" si="0"/>
        <v>4.3180572995992508</v>
      </c>
      <c r="E19" s="24">
        <v>10.983509</v>
      </c>
      <c r="F19" s="24">
        <v>11.747973999999999</v>
      </c>
      <c r="G19" s="24">
        <v>11.747973999999999</v>
      </c>
      <c r="H19" s="24">
        <v>13.863859</v>
      </c>
      <c r="I19" s="24">
        <v>15.970774</v>
      </c>
      <c r="J19" s="18">
        <f t="shared" si="1"/>
        <v>4.4229578438879003</v>
      </c>
      <c r="K19" s="24">
        <v>20.155601999999998</v>
      </c>
      <c r="L19" s="24">
        <v>25.765806000000001</v>
      </c>
      <c r="M19" s="24">
        <v>34.261862000000001</v>
      </c>
      <c r="N19" s="24">
        <v>44.005989999999997</v>
      </c>
      <c r="O19" s="24">
        <v>56.507187999999999</v>
      </c>
      <c r="P19" s="24">
        <v>68.548437000000007</v>
      </c>
      <c r="Q19" s="18">
        <f t="shared" si="2"/>
        <v>5.6611599491323732</v>
      </c>
      <c r="R19" s="19">
        <v>85.1</v>
      </c>
      <c r="S19" s="19">
        <v>44.1</v>
      </c>
      <c r="T19" s="19">
        <v>41</v>
      </c>
      <c r="U19" s="19">
        <v>89.7</v>
      </c>
      <c r="V19" s="19">
        <v>46.4</v>
      </c>
      <c r="W19" s="19">
        <v>43.3</v>
      </c>
      <c r="X19" s="19">
        <v>93.5</v>
      </c>
      <c r="Y19" s="19">
        <v>48.3</v>
      </c>
      <c r="Z19" s="19">
        <v>45.2</v>
      </c>
      <c r="AA19" s="18">
        <f t="shared" si="3"/>
        <v>6.1363019277762696</v>
      </c>
      <c r="AB19" s="19">
        <v>96.5</v>
      </c>
      <c r="AC19" s="19">
        <v>49.7</v>
      </c>
      <c r="AD19" s="19">
        <v>46.8</v>
      </c>
      <c r="AE19" s="19">
        <v>99.3</v>
      </c>
      <c r="AF19" s="19">
        <v>51</v>
      </c>
      <c r="AG19" s="19">
        <v>48.3</v>
      </c>
      <c r="AH19" s="19">
        <v>101.4</v>
      </c>
      <c r="AI19" s="19">
        <v>52</v>
      </c>
      <c r="AJ19" s="19">
        <v>49.4</v>
      </c>
      <c r="AK19" s="18">
        <f t="shared" si="4"/>
        <v>6.3066513468658245</v>
      </c>
      <c r="AL19" s="33">
        <f t="shared" si="5"/>
        <v>9.8503121694098272</v>
      </c>
    </row>
    <row r="20" spans="1:38" x14ac:dyDescent="0.3">
      <c r="B20" s="10" t="s">
        <v>28</v>
      </c>
      <c r="C20" s="22">
        <v>19.25263</v>
      </c>
      <c r="D20" s="16">
        <f t="shared" si="0"/>
        <v>8.0758920417427404</v>
      </c>
      <c r="E20" s="22">
        <v>20.902615999999998</v>
      </c>
      <c r="F20" s="22">
        <v>23.472099</v>
      </c>
      <c r="G20" s="22">
        <v>23.472099</v>
      </c>
      <c r="H20" s="22">
        <v>26.267506999999998</v>
      </c>
      <c r="I20" s="22">
        <v>30.119046999999998</v>
      </c>
      <c r="J20" s="16">
        <f t="shared" si="1"/>
        <v>8.3411909265686379</v>
      </c>
      <c r="K20" s="22">
        <v>33.686953000000003</v>
      </c>
      <c r="L20" s="22">
        <v>41.199168</v>
      </c>
      <c r="M20" s="22">
        <v>48.408076999999999</v>
      </c>
      <c r="N20" s="22">
        <v>55.858946000000003</v>
      </c>
      <c r="O20" s="29">
        <v>62.405678999999999</v>
      </c>
      <c r="P20" s="22">
        <v>72.147030000000001</v>
      </c>
      <c r="Q20" s="16">
        <f t="shared" si="2"/>
        <v>5.9583543339558824</v>
      </c>
      <c r="R20">
        <v>77.8</v>
      </c>
      <c r="S20">
        <v>38.700000000000003</v>
      </c>
      <c r="T20">
        <v>39.1</v>
      </c>
      <c r="U20">
        <v>78.400000000000006</v>
      </c>
      <c r="V20">
        <v>38.9</v>
      </c>
      <c r="W20">
        <v>39.5</v>
      </c>
      <c r="X20">
        <v>78.7</v>
      </c>
      <c r="Y20">
        <v>38.9</v>
      </c>
      <c r="Z20">
        <v>39.799999999999997</v>
      </c>
      <c r="AA20" s="16">
        <f t="shared" si="3"/>
        <v>5.4032039098560949</v>
      </c>
      <c r="AB20">
        <v>78.7</v>
      </c>
      <c r="AC20">
        <v>38.799999999999997</v>
      </c>
      <c r="AD20">
        <v>39.9</v>
      </c>
      <c r="AE20">
        <v>78.099999999999994</v>
      </c>
      <c r="AF20">
        <v>38.4</v>
      </c>
      <c r="AG20">
        <v>39.700000000000003</v>
      </c>
      <c r="AH20">
        <v>77</v>
      </c>
      <c r="AI20">
        <v>37.799999999999997</v>
      </c>
      <c r="AJ20">
        <v>39.200000000000003</v>
      </c>
      <c r="AK20" s="16">
        <f t="shared" si="4"/>
        <v>5.0044682752457552</v>
      </c>
      <c r="AL20" s="32">
        <f t="shared" si="5"/>
        <v>3.9994535811470953</v>
      </c>
    </row>
    <row r="21" spans="1:38" x14ac:dyDescent="0.3">
      <c r="B21" s="10" t="s">
        <v>29</v>
      </c>
      <c r="C21" s="25">
        <v>0</v>
      </c>
      <c r="D21" s="16">
        <f t="shared" si="0"/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16">
        <f t="shared" si="1"/>
        <v>0</v>
      </c>
      <c r="K21" s="25">
        <v>0</v>
      </c>
      <c r="L21" s="25">
        <v>0</v>
      </c>
      <c r="M21" s="25">
        <v>0</v>
      </c>
      <c r="N21" s="25">
        <v>0</v>
      </c>
      <c r="O21" s="25">
        <v>0</v>
      </c>
      <c r="P21" s="25">
        <v>0</v>
      </c>
      <c r="Q21" s="16">
        <f t="shared" si="2"/>
        <v>0</v>
      </c>
      <c r="R21">
        <v>39.6</v>
      </c>
      <c r="S21">
        <v>19.899999999999999</v>
      </c>
      <c r="T21">
        <v>19.7</v>
      </c>
      <c r="U21">
        <v>40.5</v>
      </c>
      <c r="V21">
        <v>20.3</v>
      </c>
      <c r="W21">
        <v>20.2</v>
      </c>
      <c r="X21">
        <v>41</v>
      </c>
      <c r="Y21">
        <v>20.6</v>
      </c>
      <c r="Z21">
        <v>20.399999999999999</v>
      </c>
      <c r="AA21" s="16">
        <f t="shared" si="3"/>
        <v>2.7694814010317672</v>
      </c>
      <c r="AB21">
        <v>41.3</v>
      </c>
      <c r="AC21">
        <v>20.7</v>
      </c>
      <c r="AD21">
        <v>20.6</v>
      </c>
      <c r="AE21">
        <v>41.5</v>
      </c>
      <c r="AF21">
        <v>20.8</v>
      </c>
      <c r="AG21">
        <v>20.7</v>
      </c>
      <c r="AH21">
        <v>41.3</v>
      </c>
      <c r="AI21">
        <v>20.7</v>
      </c>
      <c r="AJ21">
        <v>20.6</v>
      </c>
      <c r="AK21" s="16">
        <f t="shared" si="4"/>
        <v>2.6298991446444533</v>
      </c>
      <c r="AL21" s="32"/>
    </row>
    <row r="22" spans="1:38" x14ac:dyDescent="0.3">
      <c r="B22" s="10" t="s">
        <v>30</v>
      </c>
      <c r="C22" s="21">
        <v>46.647804000000001</v>
      </c>
      <c r="D22" s="16">
        <f t="shared" si="0"/>
        <v>19.567333350735726</v>
      </c>
      <c r="E22" s="21">
        <v>46.012663000000003</v>
      </c>
      <c r="F22" s="21">
        <v>47.478532999999999</v>
      </c>
      <c r="G22" s="21">
        <v>47.478532999999999</v>
      </c>
      <c r="H22" s="21">
        <v>53.920630000000003</v>
      </c>
      <c r="I22" s="21">
        <v>60.273743000000003</v>
      </c>
      <c r="J22" s="16">
        <f t="shared" si="1"/>
        <v>16.692254513296188</v>
      </c>
      <c r="K22" s="21">
        <v>70.143635000000003</v>
      </c>
      <c r="L22" s="21">
        <v>83.848797000000005</v>
      </c>
      <c r="M22" s="21">
        <v>105.13654</v>
      </c>
      <c r="N22" s="21">
        <v>132.06165300000001</v>
      </c>
      <c r="O22" s="21">
        <v>166.19792100000001</v>
      </c>
      <c r="P22" s="21">
        <v>199.812341</v>
      </c>
      <c r="Q22" s="16">
        <f t="shared" si="2"/>
        <v>16.501756593101902</v>
      </c>
      <c r="R22">
        <v>251.9</v>
      </c>
      <c r="S22">
        <v>131.4</v>
      </c>
      <c r="T22">
        <v>120.5</v>
      </c>
      <c r="U22">
        <v>266.60000000000002</v>
      </c>
      <c r="V22">
        <v>139</v>
      </c>
      <c r="W22">
        <v>127.6</v>
      </c>
      <c r="X22">
        <v>278.39999999999998</v>
      </c>
      <c r="Y22">
        <v>145</v>
      </c>
      <c r="Z22">
        <v>133.4</v>
      </c>
      <c r="AA22" s="16">
        <f t="shared" si="3"/>
        <v>18.110236220472441</v>
      </c>
      <c r="AB22">
        <v>288.7</v>
      </c>
      <c r="AC22">
        <v>150.19999999999999</v>
      </c>
      <c r="AD22">
        <v>138.5</v>
      </c>
      <c r="AE22">
        <v>298.39999999999998</v>
      </c>
      <c r="AF22">
        <v>155</v>
      </c>
      <c r="AG22">
        <v>143.4</v>
      </c>
      <c r="AH22">
        <v>307.3</v>
      </c>
      <c r="AI22">
        <v>159.4</v>
      </c>
      <c r="AJ22">
        <v>147.9</v>
      </c>
      <c r="AK22" s="16">
        <f t="shared" si="4"/>
        <v>18.881654538491002</v>
      </c>
      <c r="AL22" s="32">
        <f t="shared" si="5"/>
        <v>6.5876627332767903</v>
      </c>
    </row>
    <row r="23" spans="1:38" x14ac:dyDescent="0.3">
      <c r="B23" s="10" t="s">
        <v>31</v>
      </c>
      <c r="C23" s="23">
        <v>1.9798659999999999</v>
      </c>
      <c r="D23" s="16">
        <f t="shared" si="0"/>
        <v>0.83049350001101296</v>
      </c>
      <c r="E23" s="23">
        <v>2.142258</v>
      </c>
      <c r="F23" s="23">
        <v>2.3010190000000001</v>
      </c>
      <c r="G23" s="23">
        <v>2.3010190000000001</v>
      </c>
      <c r="H23" s="23">
        <v>2.6145399999999999</v>
      </c>
      <c r="I23" s="23">
        <v>2.945929</v>
      </c>
      <c r="J23" s="16">
        <f t="shared" si="1"/>
        <v>0.81584773399754063</v>
      </c>
      <c r="K23" s="23">
        <v>3.610938</v>
      </c>
      <c r="L23" s="23">
        <v>4.4927239999999999</v>
      </c>
      <c r="M23" s="23">
        <v>5.7259719999999996</v>
      </c>
      <c r="N23" s="23">
        <v>7.0506339999999996</v>
      </c>
      <c r="O23" s="30">
        <v>8.4893490000000007</v>
      </c>
      <c r="P23" s="23">
        <v>10.086292</v>
      </c>
      <c r="Q23" s="16">
        <f t="shared" si="2"/>
        <v>0.83298926721924027</v>
      </c>
      <c r="R23">
        <v>11.6</v>
      </c>
      <c r="S23">
        <v>5.9</v>
      </c>
      <c r="T23">
        <v>5.7</v>
      </c>
      <c r="U23">
        <v>11.9</v>
      </c>
      <c r="V23">
        <v>6.1</v>
      </c>
      <c r="W23">
        <v>5.8</v>
      </c>
      <c r="X23">
        <v>12.2</v>
      </c>
      <c r="Y23">
        <v>6.2</v>
      </c>
      <c r="Z23">
        <v>6</v>
      </c>
      <c r="AA23" s="16">
        <f t="shared" si="3"/>
        <v>0.81455335324463751</v>
      </c>
      <c r="AB23">
        <v>12.3</v>
      </c>
      <c r="AC23">
        <v>6.3</v>
      </c>
      <c r="AD23">
        <v>6</v>
      </c>
      <c r="AE23">
        <v>12.4</v>
      </c>
      <c r="AF23">
        <v>6.3</v>
      </c>
      <c r="AG23">
        <v>6.1</v>
      </c>
      <c r="AH23">
        <v>12.4</v>
      </c>
      <c r="AI23">
        <v>6.3</v>
      </c>
      <c r="AJ23">
        <v>6.1</v>
      </c>
      <c r="AK23" s="16">
        <f t="shared" si="4"/>
        <v>0.77875654283160989</v>
      </c>
      <c r="AL23" s="32">
        <f t="shared" si="5"/>
        <v>6.2630501256145621</v>
      </c>
    </row>
    <row r="24" spans="1:38" x14ac:dyDescent="0.3">
      <c r="B24" s="10" t="s">
        <v>32</v>
      </c>
      <c r="C24" s="22">
        <v>16.940087999999999</v>
      </c>
      <c r="D24" s="16">
        <f t="shared" si="0"/>
        <v>7.1058510897275688</v>
      </c>
      <c r="E24" s="22">
        <v>17.998768999999999</v>
      </c>
      <c r="F24" s="22">
        <v>18.897036</v>
      </c>
      <c r="G24" s="22">
        <v>18.897036</v>
      </c>
      <c r="H24" s="22">
        <v>23.229552000000002</v>
      </c>
      <c r="I24" s="22">
        <v>26.299980000000001</v>
      </c>
      <c r="J24" s="16">
        <f t="shared" si="1"/>
        <v>7.2835357156199754</v>
      </c>
      <c r="K24" s="22">
        <v>34.926279000000001</v>
      </c>
      <c r="L24" s="22">
        <v>44.312010999999998</v>
      </c>
      <c r="M24" s="22">
        <v>54.580646999999999</v>
      </c>
      <c r="N24" s="22">
        <v>68.077965000000006</v>
      </c>
      <c r="O24" s="22">
        <v>80.176197000000002</v>
      </c>
      <c r="P24" s="22">
        <v>91.276115000000004</v>
      </c>
      <c r="Q24" s="16">
        <f t="shared" si="2"/>
        <v>7.5381541748413703</v>
      </c>
      <c r="R24">
        <v>100.5</v>
      </c>
      <c r="S24">
        <v>51.2</v>
      </c>
      <c r="T24">
        <v>49.3</v>
      </c>
      <c r="U24">
        <v>102.3</v>
      </c>
      <c r="V24">
        <v>52</v>
      </c>
      <c r="W24">
        <v>50.3</v>
      </c>
      <c r="X24">
        <v>103.5</v>
      </c>
      <c r="Y24">
        <v>52.4</v>
      </c>
      <c r="Z24">
        <v>51.1</v>
      </c>
      <c r="AA24" s="16">
        <f t="shared" si="3"/>
        <v>6.9372793918001632</v>
      </c>
      <c r="AB24">
        <v>103.9</v>
      </c>
      <c r="AC24">
        <v>52.4</v>
      </c>
      <c r="AD24">
        <v>51.5</v>
      </c>
      <c r="AE24">
        <v>103.7</v>
      </c>
      <c r="AF24">
        <v>52.1</v>
      </c>
      <c r="AG24">
        <v>51.6</v>
      </c>
      <c r="AH24">
        <v>102.9</v>
      </c>
      <c r="AI24">
        <v>51.6</v>
      </c>
      <c r="AJ24">
        <v>51.3</v>
      </c>
      <c r="AK24" s="16">
        <f t="shared" si="4"/>
        <v>6.549214860206817</v>
      </c>
      <c r="AL24" s="32">
        <f t="shared" si="5"/>
        <v>6.0743486102315414</v>
      </c>
    </row>
    <row r="25" spans="1:38" x14ac:dyDescent="0.3">
      <c r="B25" s="10" t="s">
        <v>33</v>
      </c>
      <c r="C25" s="26">
        <v>238.39632700000001</v>
      </c>
      <c r="D25" s="16">
        <f t="shared" si="0"/>
        <v>100</v>
      </c>
      <c r="E25" s="26">
        <v>252.09339</v>
      </c>
      <c r="F25" s="26">
        <v>278.977238</v>
      </c>
      <c r="G25" s="26">
        <v>278.977238</v>
      </c>
      <c r="H25" s="26">
        <v>318.66057999999998</v>
      </c>
      <c r="I25" s="26">
        <v>361.08809000000002</v>
      </c>
      <c r="J25" s="16">
        <f t="shared" si="1"/>
        <v>100</v>
      </c>
      <c r="K25" s="26">
        <v>439.23477100000002</v>
      </c>
      <c r="L25" s="26">
        <v>548.15965200000005</v>
      </c>
      <c r="M25" s="26">
        <v>683.32909700000005</v>
      </c>
      <c r="N25" s="28">
        <v>846.42103899999995</v>
      </c>
      <c r="O25" s="26">
        <v>1028.7374359999999</v>
      </c>
      <c r="P25" s="31">
        <v>1210.854977</v>
      </c>
      <c r="Q25" s="16">
        <f t="shared" si="2"/>
        <v>100</v>
      </c>
      <c r="R25">
        <v>1415.1</v>
      </c>
      <c r="S25">
        <v>726.2</v>
      </c>
      <c r="T25">
        <v>688.9</v>
      </c>
      <c r="U25">
        <v>1465.3</v>
      </c>
      <c r="V25">
        <v>750.6</v>
      </c>
      <c r="W25">
        <v>714.7</v>
      </c>
      <c r="X25">
        <v>1506.7</v>
      </c>
      <c r="Y25">
        <v>770.1</v>
      </c>
      <c r="Z25">
        <v>736.6</v>
      </c>
      <c r="AA25" s="16">
        <f t="shared" si="3"/>
        <v>100</v>
      </c>
      <c r="AB25">
        <v>1541.6</v>
      </c>
      <c r="AC25">
        <v>786</v>
      </c>
      <c r="AD25">
        <v>755.6</v>
      </c>
      <c r="AE25">
        <v>1569.6</v>
      </c>
      <c r="AF25">
        <v>798.3</v>
      </c>
      <c r="AG25">
        <v>771.3</v>
      </c>
      <c r="AH25">
        <v>1590.1</v>
      </c>
      <c r="AI25">
        <v>806.8</v>
      </c>
      <c r="AJ25">
        <v>783.3</v>
      </c>
      <c r="AK25" s="16">
        <f t="shared" si="4"/>
        <v>100</v>
      </c>
      <c r="AL25" s="32">
        <f t="shared" si="5"/>
        <v>6.6699853139935321</v>
      </c>
    </row>
    <row r="27" spans="1:38" ht="14.4" customHeight="1" x14ac:dyDescent="0.3"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AA27" s="9"/>
      <c r="AK27" s="9"/>
    </row>
    <row r="28" spans="1:38" x14ac:dyDescent="0.3">
      <c r="F28" s="20"/>
      <c r="G28" s="20"/>
      <c r="H28" s="20"/>
      <c r="J28" s="20"/>
      <c r="K28" s="20"/>
      <c r="L28" s="20"/>
      <c r="N28" s="20"/>
      <c r="O28" s="20"/>
      <c r="P28" s="20"/>
      <c r="Q28" s="20"/>
      <c r="R28" s="20"/>
      <c r="U28" s="20"/>
      <c r="X28" s="20"/>
    </row>
    <row r="29" spans="1:38" x14ac:dyDescent="0.3">
      <c r="B29" s="12" t="s">
        <v>231</v>
      </c>
      <c r="C29" s="12"/>
      <c r="D29" s="12"/>
      <c r="E29" s="12"/>
      <c r="F29" s="20"/>
      <c r="G29" s="20"/>
      <c r="H29" s="20"/>
      <c r="I29" s="12"/>
      <c r="J29" s="20"/>
      <c r="K29" s="20"/>
      <c r="L29" s="20"/>
      <c r="M29" s="12"/>
      <c r="N29" s="20"/>
      <c r="O29" s="20"/>
      <c r="P29" s="20"/>
      <c r="Q29" s="20"/>
      <c r="R29" s="20"/>
      <c r="U29" s="20"/>
      <c r="X29" s="20"/>
      <c r="AA29" s="12"/>
      <c r="AK29" s="12"/>
    </row>
    <row r="30" spans="1:38" x14ac:dyDescent="0.3">
      <c r="F30" s="20"/>
      <c r="G30" s="20"/>
      <c r="H30" s="20"/>
      <c r="J30" s="20"/>
      <c r="K30" s="20"/>
      <c r="L30" s="20"/>
      <c r="N30" s="20"/>
      <c r="O30" s="20"/>
      <c r="P30" s="20"/>
      <c r="Q30" s="20"/>
      <c r="R30" s="20"/>
      <c r="U30" s="20"/>
      <c r="X30" s="20"/>
    </row>
    <row r="31" spans="1:38" x14ac:dyDescent="0.3">
      <c r="B31" s="10" t="s">
        <v>232</v>
      </c>
      <c r="F31" s="20"/>
      <c r="G31" s="20"/>
      <c r="H31" s="20"/>
      <c r="J31" s="20"/>
      <c r="K31" s="20"/>
      <c r="L31" s="20"/>
      <c r="N31" s="20"/>
      <c r="O31" s="20"/>
      <c r="P31" s="20"/>
      <c r="Q31" s="20"/>
      <c r="R31" s="20"/>
      <c r="U31" s="20"/>
      <c r="X31" s="20"/>
    </row>
    <row r="32" spans="1:38" x14ac:dyDescent="0.3">
      <c r="F32" s="20"/>
      <c r="G32" s="20"/>
      <c r="H32" s="20"/>
      <c r="J32" s="20"/>
      <c r="K32" s="20"/>
      <c r="L32" s="20"/>
      <c r="N32" s="20"/>
      <c r="O32" s="20"/>
      <c r="P32" s="20"/>
      <c r="Q32" s="20"/>
      <c r="R32" s="20"/>
      <c r="U32" s="20"/>
      <c r="X32" s="20"/>
    </row>
    <row r="33" spans="6:24" x14ac:dyDescent="0.3">
      <c r="F33" s="20"/>
      <c r="G33" s="20"/>
      <c r="H33" s="20"/>
      <c r="J33" s="20"/>
      <c r="K33" s="20"/>
      <c r="L33" s="20"/>
      <c r="N33" s="20"/>
      <c r="O33" s="20"/>
      <c r="P33" s="20"/>
      <c r="Q33" s="20"/>
      <c r="R33" s="20"/>
      <c r="U33" s="20"/>
      <c r="X33" s="20"/>
    </row>
    <row r="34" spans="6:24" x14ac:dyDescent="0.3">
      <c r="F34" s="20"/>
      <c r="G34" s="20"/>
      <c r="H34" s="20"/>
      <c r="J34" s="20"/>
      <c r="K34" s="20"/>
      <c r="L34" s="20"/>
      <c r="N34" s="20"/>
      <c r="O34" s="20"/>
      <c r="P34" s="20"/>
      <c r="Q34" s="20"/>
      <c r="R34" s="20"/>
      <c r="U34" s="20"/>
      <c r="X34" s="20"/>
    </row>
    <row r="35" spans="6:24" x14ac:dyDescent="0.3">
      <c r="F35" s="20"/>
      <c r="G35" s="20"/>
      <c r="H35" s="20"/>
      <c r="J35" s="20"/>
      <c r="K35" s="20"/>
      <c r="L35" s="20"/>
      <c r="N35" s="20"/>
      <c r="O35" s="20"/>
      <c r="P35" s="20"/>
      <c r="Q35" s="20"/>
      <c r="R35" s="20"/>
      <c r="U35" s="20"/>
      <c r="X35" s="20"/>
    </row>
    <row r="36" spans="6:24" x14ac:dyDescent="0.3">
      <c r="F36" s="20"/>
      <c r="G36" s="20"/>
      <c r="H36" s="20"/>
      <c r="J36" s="20"/>
      <c r="K36" s="20"/>
      <c r="L36" s="20"/>
      <c r="N36" s="20"/>
      <c r="O36" s="20"/>
      <c r="P36" s="20"/>
      <c r="Q36" s="20"/>
      <c r="R36" s="20"/>
      <c r="U36" s="20"/>
      <c r="X36" s="20"/>
    </row>
    <row r="37" spans="6:24" x14ac:dyDescent="0.3">
      <c r="F37" s="20"/>
      <c r="G37" s="20"/>
      <c r="H37" s="20"/>
      <c r="J37" s="20"/>
      <c r="K37" s="20"/>
      <c r="L37" s="20"/>
      <c r="N37" s="20"/>
      <c r="O37" s="20"/>
      <c r="P37" s="20"/>
      <c r="Q37" s="20"/>
      <c r="R37" s="20"/>
      <c r="U37" s="20"/>
      <c r="X37" s="20"/>
    </row>
    <row r="38" spans="6:24" x14ac:dyDescent="0.3">
      <c r="F38" s="20"/>
      <c r="G38" s="20"/>
      <c r="H38" s="20"/>
      <c r="J38" s="20"/>
      <c r="K38" s="20"/>
      <c r="L38" s="20"/>
      <c r="N38" s="20"/>
      <c r="O38" s="20"/>
      <c r="P38" s="20"/>
      <c r="Q38" s="20"/>
      <c r="R38" s="20"/>
      <c r="U38" s="20"/>
      <c r="X38" s="20"/>
    </row>
    <row r="39" spans="6:24" x14ac:dyDescent="0.3">
      <c r="F39" s="20"/>
      <c r="G39" s="20"/>
      <c r="H39" s="20"/>
      <c r="J39" s="20"/>
      <c r="K39" s="20"/>
      <c r="L39" s="20"/>
      <c r="N39" s="20"/>
      <c r="O39" s="20"/>
      <c r="P39" s="20"/>
      <c r="Q39" s="20"/>
      <c r="R39" s="20"/>
      <c r="U39" s="20"/>
      <c r="X39" s="20"/>
    </row>
    <row r="40" spans="6:24" x14ac:dyDescent="0.3">
      <c r="F40" s="20"/>
      <c r="G40" s="20"/>
      <c r="H40" s="20"/>
      <c r="J40" s="20"/>
      <c r="K40" s="20"/>
      <c r="L40" s="20"/>
      <c r="N40" s="20"/>
      <c r="O40" s="20"/>
      <c r="P40" s="20"/>
      <c r="Q40" s="20"/>
      <c r="R40" s="20"/>
      <c r="U40" s="20"/>
      <c r="X40" s="20"/>
    </row>
    <row r="41" spans="6:24" x14ac:dyDescent="0.3">
      <c r="F41" s="20"/>
      <c r="G41" s="20"/>
      <c r="H41" s="20"/>
      <c r="J41" s="20"/>
      <c r="K41" s="20"/>
      <c r="L41" s="20"/>
      <c r="N41" s="20"/>
      <c r="O41" s="20"/>
      <c r="P41" s="20"/>
      <c r="Q41" s="20"/>
      <c r="R41" s="20"/>
      <c r="U41" s="20"/>
      <c r="X41" s="20"/>
    </row>
    <row r="42" spans="6:24" x14ac:dyDescent="0.3">
      <c r="F42" s="20"/>
      <c r="G42" s="20"/>
      <c r="H42" s="20"/>
      <c r="J42" s="20"/>
      <c r="K42" s="20"/>
      <c r="L42" s="20"/>
      <c r="N42" s="20"/>
      <c r="O42" s="20"/>
      <c r="P42" s="20"/>
      <c r="Q42" s="20"/>
      <c r="R42" s="20"/>
      <c r="U42" s="20"/>
      <c r="X42" s="20"/>
    </row>
    <row r="43" spans="6:24" x14ac:dyDescent="0.3">
      <c r="F43" s="20"/>
      <c r="G43" s="20"/>
      <c r="H43" s="20"/>
      <c r="J43" s="20"/>
      <c r="K43" s="20"/>
      <c r="L43" s="20"/>
      <c r="N43" s="20"/>
      <c r="O43" s="20"/>
      <c r="P43" s="20"/>
      <c r="Q43" s="20"/>
      <c r="R43" s="20"/>
      <c r="U43" s="20"/>
      <c r="X43" s="20"/>
    </row>
    <row r="44" spans="6:24" x14ac:dyDescent="0.3">
      <c r="F44" s="20"/>
      <c r="G44" s="20"/>
      <c r="H44" s="20"/>
      <c r="J44" s="20"/>
      <c r="K44" s="20"/>
      <c r="L44" s="20"/>
      <c r="N44" s="20"/>
      <c r="O44" s="20"/>
      <c r="P44" s="20"/>
      <c r="Q44" s="20"/>
      <c r="R44" s="20"/>
      <c r="U44" s="20"/>
      <c r="X44" s="20"/>
    </row>
    <row r="45" spans="6:24" x14ac:dyDescent="0.3">
      <c r="F45" s="20"/>
      <c r="G45" s="20"/>
      <c r="H45" s="20"/>
      <c r="J45" s="20"/>
      <c r="K45" s="20"/>
      <c r="L45" s="20"/>
      <c r="N45" s="20"/>
      <c r="O45" s="20"/>
      <c r="P45" s="20"/>
      <c r="Q45" s="20"/>
      <c r="R45" s="20"/>
      <c r="U45" s="20"/>
      <c r="X45" s="20"/>
    </row>
    <row r="46" spans="6:24" x14ac:dyDescent="0.3">
      <c r="F46" s="20"/>
      <c r="G46" s="20"/>
      <c r="H46" s="20"/>
      <c r="J46" s="20"/>
      <c r="K46" s="20"/>
      <c r="L46" s="20"/>
      <c r="N46" s="20"/>
      <c r="O46" s="20"/>
      <c r="P46" s="20"/>
      <c r="Q46" s="20"/>
      <c r="R46" s="20"/>
      <c r="U46" s="20"/>
      <c r="X46" s="20"/>
    </row>
    <row r="47" spans="6:24" x14ac:dyDescent="0.3">
      <c r="F47" s="20"/>
      <c r="G47" s="20"/>
      <c r="H47" s="20"/>
      <c r="J47" s="20"/>
      <c r="K47" s="20"/>
      <c r="L47" s="20"/>
      <c r="N47" s="20"/>
      <c r="O47" s="20"/>
      <c r="P47" s="20"/>
      <c r="Q47" s="20"/>
      <c r="R47" s="20"/>
      <c r="U47" s="20"/>
      <c r="X47" s="20"/>
    </row>
    <row r="48" spans="6:24" x14ac:dyDescent="0.3">
      <c r="F48" s="20"/>
      <c r="G48" s="20"/>
      <c r="H48" s="20"/>
      <c r="J48" s="20"/>
      <c r="K48" s="20"/>
      <c r="L48" s="20"/>
      <c r="N48" s="20"/>
      <c r="O48" s="20"/>
      <c r="P48" s="20"/>
      <c r="Q48" s="20"/>
      <c r="R48" s="20"/>
      <c r="U48" s="20"/>
      <c r="X48" s="20"/>
    </row>
    <row r="49" spans="6:24" x14ac:dyDescent="0.3">
      <c r="F49" s="20"/>
      <c r="G49" s="20"/>
      <c r="H49" s="20"/>
      <c r="J49" s="20"/>
      <c r="K49" s="20"/>
      <c r="L49" s="20"/>
      <c r="N49" s="20"/>
      <c r="O49" s="20"/>
      <c r="P49" s="20"/>
      <c r="Q49" s="20"/>
      <c r="R49" s="20"/>
      <c r="U49" s="20"/>
      <c r="X49" s="20"/>
    </row>
    <row r="50" spans="6:24" x14ac:dyDescent="0.3">
      <c r="F50" s="20"/>
      <c r="X50" s="20"/>
    </row>
    <row r="51" spans="6:24" x14ac:dyDescent="0.3">
      <c r="F51" s="20"/>
      <c r="X51" s="20"/>
    </row>
    <row r="52" spans="6:24" x14ac:dyDescent="0.3">
      <c r="F52" s="20"/>
      <c r="X52" s="20"/>
    </row>
    <row r="53" spans="6:24" x14ac:dyDescent="0.3">
      <c r="F53" s="20"/>
      <c r="X53" s="20"/>
    </row>
    <row r="54" spans="6:24" x14ac:dyDescent="0.3">
      <c r="F54" s="20"/>
      <c r="X54" s="20"/>
    </row>
    <row r="55" spans="6:24" x14ac:dyDescent="0.3">
      <c r="F55" s="20"/>
      <c r="X55" s="20"/>
    </row>
    <row r="56" spans="6:24" x14ac:dyDescent="0.3">
      <c r="F56" s="20"/>
      <c r="X56" s="20"/>
    </row>
    <row r="57" spans="6:24" x14ac:dyDescent="0.3">
      <c r="F57" s="20"/>
      <c r="X57" s="20"/>
    </row>
    <row r="58" spans="6:24" x14ac:dyDescent="0.3">
      <c r="F58" s="20"/>
      <c r="X58" s="20"/>
    </row>
    <row r="59" spans="6:24" x14ac:dyDescent="0.3">
      <c r="F59" s="20"/>
      <c r="X59" s="20"/>
    </row>
    <row r="60" spans="6:24" x14ac:dyDescent="0.3">
      <c r="F60" s="20"/>
      <c r="X60" s="20"/>
    </row>
    <row r="61" spans="6:24" x14ac:dyDescent="0.3">
      <c r="F61" s="20"/>
      <c r="X61" s="20"/>
    </row>
    <row r="62" spans="6:24" x14ac:dyDescent="0.3">
      <c r="F62" s="20"/>
      <c r="X62" s="20"/>
    </row>
    <row r="63" spans="6:24" x14ac:dyDescent="0.3">
      <c r="F63" s="20"/>
      <c r="X63" s="20"/>
    </row>
    <row r="64" spans="6:24" x14ac:dyDescent="0.3">
      <c r="F64" s="20"/>
      <c r="X64" s="20"/>
    </row>
    <row r="65" spans="6:24" x14ac:dyDescent="0.3">
      <c r="F65" s="20"/>
      <c r="X65" s="20"/>
    </row>
    <row r="66" spans="6:24" x14ac:dyDescent="0.3">
      <c r="F66" s="20"/>
      <c r="X66" s="20"/>
    </row>
    <row r="67" spans="6:24" x14ac:dyDescent="0.3">
      <c r="F67" s="20"/>
      <c r="X67" s="20"/>
    </row>
    <row r="68" spans="6:24" x14ac:dyDescent="0.3">
      <c r="F68" s="20"/>
      <c r="X68" s="20"/>
    </row>
    <row r="69" spans="6:24" x14ac:dyDescent="0.3">
      <c r="F69" s="20"/>
      <c r="X69" s="20"/>
    </row>
    <row r="70" spans="6:24" x14ac:dyDescent="0.3">
      <c r="F70" s="20"/>
      <c r="X70" s="20"/>
    </row>
    <row r="71" spans="6:24" x14ac:dyDescent="0.3">
      <c r="F71" s="20"/>
      <c r="X71" s="20"/>
    </row>
    <row r="72" spans="6:24" x14ac:dyDescent="0.3">
      <c r="F72" s="20"/>
      <c r="X72" s="20"/>
    </row>
    <row r="73" spans="6:24" x14ac:dyDescent="0.3">
      <c r="F73" s="20"/>
      <c r="X73" s="20"/>
    </row>
    <row r="74" spans="6:24" x14ac:dyDescent="0.3">
      <c r="F74" s="20"/>
      <c r="X74" s="20"/>
    </row>
    <row r="75" spans="6:24" x14ac:dyDescent="0.3">
      <c r="F75" s="20"/>
      <c r="X75" s="20"/>
    </row>
    <row r="76" spans="6:24" x14ac:dyDescent="0.3">
      <c r="F76" s="20"/>
      <c r="X76" s="20"/>
    </row>
    <row r="77" spans="6:24" x14ac:dyDescent="0.3">
      <c r="F77" s="20"/>
      <c r="X77" s="20"/>
    </row>
    <row r="78" spans="6:24" x14ac:dyDescent="0.3">
      <c r="F78" s="20"/>
      <c r="X78" s="20"/>
    </row>
    <row r="79" spans="6:24" x14ac:dyDescent="0.3">
      <c r="F79" s="20"/>
      <c r="X79" s="20"/>
    </row>
    <row r="80" spans="6:24" x14ac:dyDescent="0.3">
      <c r="F80" s="20"/>
      <c r="X80" s="20"/>
    </row>
    <row r="81" spans="6:24" x14ac:dyDescent="0.3">
      <c r="F81" s="20"/>
      <c r="X81" s="20"/>
    </row>
    <row r="82" spans="6:24" x14ac:dyDescent="0.3">
      <c r="F82" s="20"/>
      <c r="X82" s="20"/>
    </row>
    <row r="83" spans="6:24" x14ac:dyDescent="0.3">
      <c r="F83" s="20"/>
      <c r="X83" s="20"/>
    </row>
    <row r="84" spans="6:24" x14ac:dyDescent="0.3">
      <c r="F84" s="20"/>
      <c r="X84" s="20"/>
    </row>
    <row r="85" spans="6:24" x14ac:dyDescent="0.3">
      <c r="F85" s="20"/>
      <c r="X85" s="20"/>
    </row>
    <row r="86" spans="6:24" x14ac:dyDescent="0.3">
      <c r="F86" s="20"/>
      <c r="X86" s="20"/>
    </row>
    <row r="87" spans="6:24" x14ac:dyDescent="0.3">
      <c r="F87" s="20"/>
      <c r="X87" s="20"/>
    </row>
    <row r="88" spans="6:24" x14ac:dyDescent="0.3">
      <c r="F88" s="20"/>
      <c r="X88" s="20"/>
    </row>
    <row r="89" spans="6:24" x14ac:dyDescent="0.3">
      <c r="F89" s="20"/>
      <c r="X89" s="20"/>
    </row>
    <row r="90" spans="6:24" x14ac:dyDescent="0.3">
      <c r="F90" s="20"/>
      <c r="X90" s="20"/>
    </row>
    <row r="91" spans="6:24" x14ac:dyDescent="0.3">
      <c r="F91" s="20"/>
      <c r="X91" s="20"/>
    </row>
    <row r="92" spans="6:24" x14ac:dyDescent="0.3">
      <c r="F92" s="20"/>
      <c r="X92" s="20"/>
    </row>
    <row r="93" spans="6:24" x14ac:dyDescent="0.3">
      <c r="F93" s="20"/>
      <c r="X93" s="20"/>
    </row>
    <row r="94" spans="6:24" x14ac:dyDescent="0.3">
      <c r="F94" s="20"/>
      <c r="X94" s="20"/>
    </row>
    <row r="95" spans="6:24" x14ac:dyDescent="0.3">
      <c r="F95" s="20"/>
      <c r="X95" s="20"/>
    </row>
    <row r="96" spans="6:24" x14ac:dyDescent="0.3">
      <c r="F96" s="20"/>
      <c r="X96" s="20"/>
    </row>
    <row r="97" spans="6:24" x14ac:dyDescent="0.3">
      <c r="F97" s="20"/>
      <c r="X97" s="20"/>
    </row>
    <row r="98" spans="6:24" x14ac:dyDescent="0.3">
      <c r="F98" s="20"/>
      <c r="X98" s="20"/>
    </row>
    <row r="99" spans="6:24" x14ac:dyDescent="0.3">
      <c r="F99" s="20"/>
      <c r="X99" s="20"/>
    </row>
    <row r="100" spans="6:24" x14ac:dyDescent="0.3">
      <c r="F100" s="20"/>
      <c r="X100" s="20"/>
    </row>
    <row r="101" spans="6:24" x14ac:dyDescent="0.3">
      <c r="F101" s="20"/>
      <c r="X101" s="20"/>
    </row>
    <row r="102" spans="6:24" x14ac:dyDescent="0.3">
      <c r="F102" s="20"/>
      <c r="X102" s="20"/>
    </row>
    <row r="103" spans="6:24" x14ac:dyDescent="0.3">
      <c r="F103" s="20"/>
      <c r="X103" s="20"/>
    </row>
    <row r="104" spans="6:24" x14ac:dyDescent="0.3">
      <c r="F104" s="20"/>
      <c r="X104" s="20"/>
    </row>
    <row r="105" spans="6:24" x14ac:dyDescent="0.3">
      <c r="F105" s="20"/>
      <c r="X105" s="20"/>
    </row>
    <row r="106" spans="6:24" x14ac:dyDescent="0.3">
      <c r="F106" s="20"/>
      <c r="X106" s="20"/>
    </row>
    <row r="107" spans="6:24" x14ac:dyDescent="0.3">
      <c r="F107" s="20"/>
      <c r="X107" s="20"/>
    </row>
    <row r="108" spans="6:24" x14ac:dyDescent="0.3">
      <c r="F108" s="20"/>
      <c r="X108" s="20"/>
    </row>
    <row r="109" spans="6:24" x14ac:dyDescent="0.3">
      <c r="F109" s="20"/>
      <c r="X109" s="20"/>
    </row>
    <row r="110" spans="6:24" x14ac:dyDescent="0.3">
      <c r="F110" s="20"/>
      <c r="X110" s="20"/>
    </row>
    <row r="111" spans="6:24" x14ac:dyDescent="0.3">
      <c r="F111" s="20"/>
      <c r="X111" s="20"/>
    </row>
    <row r="112" spans="6:24" x14ac:dyDescent="0.3">
      <c r="F112" s="20"/>
      <c r="X112" s="20"/>
    </row>
    <row r="113" spans="6:24" x14ac:dyDescent="0.3">
      <c r="F113" s="20"/>
      <c r="X113" s="20"/>
    </row>
    <row r="114" spans="6:24" x14ac:dyDescent="0.3">
      <c r="F114" s="20"/>
      <c r="X114" s="20"/>
    </row>
    <row r="115" spans="6:24" x14ac:dyDescent="0.3">
      <c r="F115" s="20"/>
      <c r="X115" s="20"/>
    </row>
    <row r="116" spans="6:24" x14ac:dyDescent="0.3">
      <c r="F116" s="20"/>
      <c r="X116" s="20"/>
    </row>
    <row r="117" spans="6:24" x14ac:dyDescent="0.3">
      <c r="F117" s="20"/>
      <c r="X117" s="20"/>
    </row>
    <row r="118" spans="6:24" x14ac:dyDescent="0.3">
      <c r="F118" s="20"/>
      <c r="X118" s="20"/>
    </row>
    <row r="119" spans="6:24" x14ac:dyDescent="0.3">
      <c r="F119" s="20"/>
      <c r="X119" s="20"/>
    </row>
    <row r="120" spans="6:24" x14ac:dyDescent="0.3">
      <c r="F120" s="20"/>
      <c r="X120" s="20"/>
    </row>
    <row r="121" spans="6:24" x14ac:dyDescent="0.3">
      <c r="F121" s="20"/>
      <c r="X121" s="20"/>
    </row>
    <row r="122" spans="6:24" x14ac:dyDescent="0.3">
      <c r="F122" s="20"/>
      <c r="X122" s="20"/>
    </row>
    <row r="123" spans="6:24" x14ac:dyDescent="0.3">
      <c r="F123" s="20"/>
      <c r="X123" s="20"/>
    </row>
    <row r="124" spans="6:24" x14ac:dyDescent="0.3">
      <c r="F124" s="20"/>
      <c r="X124" s="20"/>
    </row>
    <row r="125" spans="6:24" x14ac:dyDescent="0.3">
      <c r="F125" s="20"/>
      <c r="X125" s="20"/>
    </row>
    <row r="126" spans="6:24" x14ac:dyDescent="0.3">
      <c r="F126" s="20"/>
      <c r="X126" s="20"/>
    </row>
    <row r="127" spans="6:24" x14ac:dyDescent="0.3">
      <c r="F127" s="20"/>
      <c r="X127" s="20"/>
    </row>
    <row r="128" spans="6:24" x14ac:dyDescent="0.3">
      <c r="F128" s="20"/>
      <c r="X128" s="20"/>
    </row>
    <row r="129" spans="6:24" x14ac:dyDescent="0.3">
      <c r="F129" s="20"/>
      <c r="X129" s="20"/>
    </row>
    <row r="130" spans="6:24" x14ac:dyDescent="0.3">
      <c r="F130" s="20"/>
      <c r="X130" s="20"/>
    </row>
    <row r="131" spans="6:24" x14ac:dyDescent="0.3">
      <c r="F131" s="20"/>
      <c r="X131" s="20"/>
    </row>
    <row r="132" spans="6:24" x14ac:dyDescent="0.3">
      <c r="F132" s="20"/>
      <c r="X132" s="20"/>
    </row>
    <row r="133" spans="6:24" x14ac:dyDescent="0.3">
      <c r="F133" s="20"/>
      <c r="X133" s="20"/>
    </row>
    <row r="134" spans="6:24" x14ac:dyDescent="0.3">
      <c r="F134" s="20"/>
      <c r="X134" s="20"/>
    </row>
    <row r="135" spans="6:24" x14ac:dyDescent="0.3">
      <c r="F135" s="20"/>
      <c r="X135" s="20"/>
    </row>
    <row r="136" spans="6:24" x14ac:dyDescent="0.3">
      <c r="F136" s="20"/>
      <c r="X136" s="20"/>
    </row>
    <row r="137" spans="6:24" x14ac:dyDescent="0.3">
      <c r="F137" s="20"/>
      <c r="X137" s="20"/>
    </row>
    <row r="138" spans="6:24" x14ac:dyDescent="0.3">
      <c r="F138" s="20"/>
      <c r="X138" s="20"/>
    </row>
    <row r="139" spans="6:24" x14ac:dyDescent="0.3">
      <c r="F139" s="20"/>
      <c r="X139" s="20"/>
    </row>
    <row r="140" spans="6:24" x14ac:dyDescent="0.3">
      <c r="F140" s="20"/>
      <c r="X140" s="20"/>
    </row>
    <row r="141" spans="6:24" x14ac:dyDescent="0.3">
      <c r="F141" s="20"/>
      <c r="X141" s="20"/>
    </row>
    <row r="142" spans="6:24" x14ac:dyDescent="0.3">
      <c r="F142" s="20"/>
      <c r="X142" s="20"/>
    </row>
    <row r="143" spans="6:24" x14ac:dyDescent="0.3">
      <c r="F143" s="20"/>
      <c r="X143" s="20"/>
    </row>
    <row r="144" spans="6:24" x14ac:dyDescent="0.3">
      <c r="F144" s="20"/>
      <c r="X144" s="20"/>
    </row>
    <row r="145" spans="6:24" x14ac:dyDescent="0.3">
      <c r="F145" s="20"/>
      <c r="X145" s="20"/>
    </row>
    <row r="146" spans="6:24" x14ac:dyDescent="0.3">
      <c r="F146" s="20"/>
      <c r="X146" s="20"/>
    </row>
    <row r="147" spans="6:24" x14ac:dyDescent="0.3">
      <c r="F147" s="20"/>
      <c r="X147" s="20"/>
    </row>
    <row r="148" spans="6:24" x14ac:dyDescent="0.3">
      <c r="F148" s="20"/>
      <c r="X148" s="20"/>
    </row>
    <row r="149" spans="6:24" x14ac:dyDescent="0.3">
      <c r="F149" s="20"/>
      <c r="X149" s="20"/>
    </row>
    <row r="150" spans="6:24" x14ac:dyDescent="0.3">
      <c r="F150" s="20"/>
      <c r="X150" s="20"/>
    </row>
    <row r="151" spans="6:24" x14ac:dyDescent="0.3">
      <c r="F151" s="20"/>
      <c r="X151" s="20"/>
    </row>
    <row r="152" spans="6:24" x14ac:dyDescent="0.3">
      <c r="F152" s="20"/>
      <c r="X152" s="20"/>
    </row>
    <row r="153" spans="6:24" x14ac:dyDescent="0.3">
      <c r="F153" s="20"/>
      <c r="X153" s="20"/>
    </row>
    <row r="154" spans="6:24" x14ac:dyDescent="0.3">
      <c r="F154" s="20"/>
      <c r="X154" s="20"/>
    </row>
    <row r="155" spans="6:24" x14ac:dyDescent="0.3">
      <c r="F155" s="20"/>
    </row>
    <row r="156" spans="6:24" x14ac:dyDescent="0.3">
      <c r="F156" s="20"/>
    </row>
    <row r="157" spans="6:24" x14ac:dyDescent="0.3">
      <c r="F157" s="20"/>
    </row>
    <row r="158" spans="6:24" x14ac:dyDescent="0.3">
      <c r="F158" s="20"/>
    </row>
    <row r="159" spans="6:24" x14ac:dyDescent="0.3">
      <c r="F159" s="20"/>
    </row>
    <row r="160" spans="6:24" x14ac:dyDescent="0.3">
      <c r="F160" s="20"/>
    </row>
    <row r="161" spans="6:6" x14ac:dyDescent="0.3">
      <c r="F161" s="20"/>
    </row>
    <row r="162" spans="6:6" x14ac:dyDescent="0.3">
      <c r="F162" s="20"/>
    </row>
    <row r="163" spans="6:6" x14ac:dyDescent="0.3">
      <c r="F163" s="20"/>
    </row>
    <row r="164" spans="6:6" x14ac:dyDescent="0.3">
      <c r="F164" s="20"/>
    </row>
    <row r="165" spans="6:6" x14ac:dyDescent="0.3">
      <c r="F165" s="20"/>
    </row>
    <row r="166" spans="6:6" x14ac:dyDescent="0.3">
      <c r="F166" s="20"/>
    </row>
    <row r="167" spans="6:6" x14ac:dyDescent="0.3">
      <c r="F167" s="20"/>
    </row>
    <row r="168" spans="6:6" x14ac:dyDescent="0.3">
      <c r="F168" s="20"/>
    </row>
    <row r="169" spans="6:6" x14ac:dyDescent="0.3">
      <c r="F169" s="20"/>
    </row>
    <row r="170" spans="6:6" x14ac:dyDescent="0.3">
      <c r="F170" s="20"/>
    </row>
    <row r="171" spans="6:6" x14ac:dyDescent="0.3">
      <c r="F171" s="20"/>
    </row>
    <row r="172" spans="6:6" x14ac:dyDescent="0.3">
      <c r="F172" s="20"/>
    </row>
    <row r="173" spans="6:6" x14ac:dyDescent="0.3">
      <c r="F173" s="20"/>
    </row>
    <row r="174" spans="6:6" x14ac:dyDescent="0.3">
      <c r="F174" s="20"/>
    </row>
    <row r="175" spans="6:6" x14ac:dyDescent="0.3">
      <c r="F175" s="20"/>
    </row>
    <row r="176" spans="6:6" x14ac:dyDescent="0.3">
      <c r="F176" s="20"/>
    </row>
    <row r="177" spans="6:6" x14ac:dyDescent="0.3">
      <c r="F177" s="20"/>
    </row>
    <row r="178" spans="6:6" x14ac:dyDescent="0.3">
      <c r="F178" s="20"/>
    </row>
  </sheetData>
  <mergeCells count="9">
    <mergeCell ref="I2:J2"/>
    <mergeCell ref="C2:D2"/>
    <mergeCell ref="P2:Q2"/>
    <mergeCell ref="AH2:AK2"/>
    <mergeCell ref="X2:AA2"/>
    <mergeCell ref="R2:T2"/>
    <mergeCell ref="U2:W2"/>
    <mergeCell ref="AB2:AD2"/>
    <mergeCell ref="AE2:A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I25"/>
  <sheetViews>
    <sheetView workbookViewId="0">
      <selection activeCell="A4" sqref="A4:XFD4"/>
    </sheetView>
  </sheetViews>
  <sheetFormatPr defaultRowHeight="14.4" x14ac:dyDescent="0.3"/>
  <cols>
    <col min="1" max="1" width="21.5546875" bestFit="1" customWidth="1"/>
    <col min="4" max="4" width="24.88671875" customWidth="1"/>
    <col min="5" max="6" width="8.88671875" style="6"/>
    <col min="7" max="7" width="24" customWidth="1"/>
    <col min="8" max="9" width="8.88671875" style="6"/>
  </cols>
  <sheetData>
    <row r="1" spans="1:9" x14ac:dyDescent="0.3">
      <c r="D1" s="2" t="s">
        <v>169</v>
      </c>
      <c r="E1" s="1"/>
      <c r="F1" s="1"/>
      <c r="G1" s="1"/>
      <c r="H1" s="1"/>
      <c r="I1" s="1"/>
    </row>
    <row r="2" spans="1:9" s="3" customFormat="1" x14ac:dyDescent="0.3">
      <c r="A2" s="34" t="s">
        <v>233</v>
      </c>
      <c r="B2" s="34"/>
      <c r="C2" s="34"/>
      <c r="D2" s="34" t="s">
        <v>170</v>
      </c>
      <c r="E2" s="34"/>
      <c r="F2" s="34"/>
      <c r="G2" s="34" t="s">
        <v>175</v>
      </c>
      <c r="H2" s="34"/>
      <c r="I2" s="34"/>
    </row>
    <row r="3" spans="1:9" s="3" customFormat="1" x14ac:dyDescent="0.3">
      <c r="A3" s="3" t="s">
        <v>171</v>
      </c>
      <c r="B3" s="3" t="s">
        <v>173</v>
      </c>
      <c r="C3" s="3" t="s">
        <v>174</v>
      </c>
      <c r="D3" s="3" t="s">
        <v>171</v>
      </c>
      <c r="E3" s="3" t="s">
        <v>173</v>
      </c>
      <c r="F3" s="3" t="s">
        <v>174</v>
      </c>
      <c r="G3" s="3" t="s">
        <v>171</v>
      </c>
      <c r="H3" s="3" t="s">
        <v>173</v>
      </c>
      <c r="I3" s="3" t="s">
        <v>174</v>
      </c>
    </row>
    <row r="4" spans="1:9" x14ac:dyDescent="0.3">
      <c r="A4" s="10" t="s">
        <v>30</v>
      </c>
      <c r="B4" s="21">
        <v>60.273743000000003</v>
      </c>
      <c r="C4" s="6">
        <v>1</v>
      </c>
      <c r="D4" t="s">
        <v>30</v>
      </c>
      <c r="E4" s="6">
        <v>199.8</v>
      </c>
      <c r="F4" s="6">
        <v>1</v>
      </c>
      <c r="G4" t="s">
        <v>30</v>
      </c>
      <c r="H4" s="6">
        <v>307.2</v>
      </c>
      <c r="I4" s="6">
        <v>1</v>
      </c>
    </row>
    <row r="5" spans="1:9" x14ac:dyDescent="0.3">
      <c r="A5" s="10" t="s">
        <v>24</v>
      </c>
      <c r="B5" s="22">
        <v>32.002564</v>
      </c>
      <c r="C5" s="6">
        <v>2</v>
      </c>
      <c r="D5" t="s">
        <v>24</v>
      </c>
      <c r="E5" s="6">
        <v>112.4</v>
      </c>
      <c r="F5" s="6">
        <v>2</v>
      </c>
      <c r="G5" t="s">
        <v>3</v>
      </c>
      <c r="H5" s="6">
        <v>170.5</v>
      </c>
      <c r="I5" s="6">
        <v>2</v>
      </c>
    </row>
    <row r="6" spans="1:9" x14ac:dyDescent="0.3">
      <c r="A6" s="10" t="s">
        <v>45</v>
      </c>
      <c r="B6" s="27">
        <v>31.115259000000002</v>
      </c>
      <c r="C6" s="6">
        <v>3</v>
      </c>
      <c r="D6" t="s">
        <v>3</v>
      </c>
      <c r="E6" s="6">
        <v>104.1</v>
      </c>
      <c r="F6" s="6">
        <v>3</v>
      </c>
      <c r="G6" t="s">
        <v>24</v>
      </c>
      <c r="H6" s="6">
        <v>126.9</v>
      </c>
      <c r="I6" s="6">
        <v>3</v>
      </c>
    </row>
    <row r="7" spans="1:9" x14ac:dyDescent="0.3">
      <c r="A7" s="10" t="s">
        <v>28</v>
      </c>
      <c r="B7" s="22">
        <v>30.119046999999998</v>
      </c>
      <c r="C7" s="6">
        <v>4</v>
      </c>
      <c r="D7" t="s">
        <v>32</v>
      </c>
      <c r="E7" s="6">
        <v>91.3</v>
      </c>
      <c r="F7" s="6">
        <v>4</v>
      </c>
      <c r="G7" t="s">
        <v>23</v>
      </c>
      <c r="H7" s="6">
        <v>106.3</v>
      </c>
      <c r="I7" s="6">
        <v>4</v>
      </c>
    </row>
    <row r="8" spans="1:9" x14ac:dyDescent="0.3">
      <c r="A8" s="10" t="s">
        <v>3</v>
      </c>
      <c r="B8" s="21">
        <v>29.085017000000001</v>
      </c>
      <c r="C8" s="6">
        <v>5</v>
      </c>
      <c r="D8" t="s">
        <v>23</v>
      </c>
      <c r="E8" s="6">
        <v>72.599999999999994</v>
      </c>
      <c r="F8" s="6">
        <v>5</v>
      </c>
      <c r="G8" t="s">
        <v>32</v>
      </c>
      <c r="H8" s="6">
        <v>102.9</v>
      </c>
      <c r="I8" s="6">
        <v>5</v>
      </c>
    </row>
    <row r="9" spans="1:9" x14ac:dyDescent="0.3">
      <c r="A9" s="10" t="s">
        <v>32</v>
      </c>
      <c r="B9" s="22">
        <v>26.299980000000001</v>
      </c>
      <c r="C9" s="6">
        <v>6</v>
      </c>
      <c r="D9" t="s">
        <v>28</v>
      </c>
      <c r="E9" s="6">
        <v>72.099999999999994</v>
      </c>
      <c r="F9" s="6">
        <v>6</v>
      </c>
      <c r="G9" t="s">
        <v>27</v>
      </c>
      <c r="H9" s="6">
        <v>101.4</v>
      </c>
      <c r="I9" s="6">
        <v>6</v>
      </c>
    </row>
    <row r="10" spans="1:9" x14ac:dyDescent="0.3">
      <c r="A10" s="10" t="s">
        <v>11</v>
      </c>
      <c r="B10" s="22">
        <v>19.401955999999998</v>
      </c>
      <c r="C10" s="6">
        <v>7</v>
      </c>
      <c r="D10" t="s">
        <v>27</v>
      </c>
      <c r="E10" s="6">
        <v>68.5</v>
      </c>
      <c r="F10" s="6">
        <v>7</v>
      </c>
      <c r="G10" t="s">
        <v>28</v>
      </c>
      <c r="H10" s="6">
        <v>77</v>
      </c>
      <c r="I10" s="6">
        <v>7</v>
      </c>
    </row>
    <row r="11" spans="1:9" x14ac:dyDescent="0.3">
      <c r="A11" s="10" t="s">
        <v>23</v>
      </c>
      <c r="B11" s="22">
        <v>18.614930999999999</v>
      </c>
      <c r="C11" s="6">
        <v>8</v>
      </c>
      <c r="D11" t="s">
        <v>11</v>
      </c>
      <c r="E11" s="6">
        <v>61.1</v>
      </c>
      <c r="F11" s="6">
        <v>8</v>
      </c>
      <c r="G11" t="s">
        <v>6</v>
      </c>
      <c r="H11" s="6">
        <v>75.7</v>
      </c>
      <c r="I11" s="6">
        <v>8</v>
      </c>
    </row>
    <row r="12" spans="1:9" x14ac:dyDescent="0.3">
      <c r="A12" s="10" t="s">
        <v>6</v>
      </c>
      <c r="B12" s="22">
        <v>16.262657000000001</v>
      </c>
      <c r="C12" s="6">
        <v>9</v>
      </c>
      <c r="D12" t="s">
        <v>6</v>
      </c>
      <c r="E12" s="6">
        <v>60.4</v>
      </c>
      <c r="F12" s="6">
        <v>9</v>
      </c>
      <c r="G12" t="s">
        <v>11</v>
      </c>
      <c r="H12" s="6">
        <v>69.099999999999994</v>
      </c>
      <c r="I12" s="6">
        <v>9</v>
      </c>
    </row>
    <row r="13" spans="1:9" x14ac:dyDescent="0.3">
      <c r="A13" s="17" t="s">
        <v>27</v>
      </c>
      <c r="B13" s="24">
        <v>15.970774</v>
      </c>
      <c r="C13" s="6">
        <v>10</v>
      </c>
      <c r="D13" t="s">
        <v>45</v>
      </c>
      <c r="E13" s="6">
        <v>49.4</v>
      </c>
      <c r="F13" s="6">
        <v>10</v>
      </c>
      <c r="G13" t="s">
        <v>45</v>
      </c>
      <c r="H13" s="6">
        <v>53.2</v>
      </c>
      <c r="I13" s="6">
        <v>10</v>
      </c>
    </row>
    <row r="14" spans="1:9" x14ac:dyDescent="0.3">
      <c r="A14" s="17" t="s">
        <v>25</v>
      </c>
      <c r="B14" s="24">
        <v>14.645946</v>
      </c>
      <c r="C14" s="6">
        <v>11</v>
      </c>
      <c r="D14" t="s">
        <v>25</v>
      </c>
      <c r="E14" s="6">
        <v>42</v>
      </c>
      <c r="F14" s="6">
        <v>11</v>
      </c>
      <c r="G14" t="s">
        <v>25</v>
      </c>
      <c r="H14" s="6">
        <v>50.4</v>
      </c>
      <c r="I14" s="6">
        <v>11</v>
      </c>
    </row>
    <row r="15" spans="1:9" x14ac:dyDescent="0.3">
      <c r="A15" s="10" t="s">
        <v>12</v>
      </c>
      <c r="B15" s="22">
        <v>13.549118</v>
      </c>
      <c r="C15" s="6">
        <v>12</v>
      </c>
      <c r="D15" t="s">
        <v>29</v>
      </c>
      <c r="E15" s="6">
        <v>35.200000000000003</v>
      </c>
      <c r="F15" s="6">
        <v>12</v>
      </c>
      <c r="G15" t="s">
        <v>26</v>
      </c>
      <c r="H15" s="6">
        <v>50.4</v>
      </c>
      <c r="I15" s="6">
        <v>12</v>
      </c>
    </row>
    <row r="16" spans="1:9" x14ac:dyDescent="0.3">
      <c r="A16" s="10" t="s">
        <v>10</v>
      </c>
      <c r="B16" s="22">
        <v>9.6972539999999992</v>
      </c>
      <c r="C16" s="6">
        <v>13</v>
      </c>
      <c r="D16" t="s">
        <v>12</v>
      </c>
      <c r="E16" s="6">
        <v>33.4</v>
      </c>
      <c r="F16" s="6">
        <v>13</v>
      </c>
      <c r="G16" t="s">
        <v>10</v>
      </c>
      <c r="H16" s="6">
        <v>47.6</v>
      </c>
      <c r="I16" s="6">
        <v>13</v>
      </c>
    </row>
    <row r="17" spans="1:9" x14ac:dyDescent="0.3">
      <c r="A17" s="10" t="s">
        <v>26</v>
      </c>
      <c r="B17" s="23">
        <v>9.1605000000000008</v>
      </c>
      <c r="C17" s="6">
        <v>14</v>
      </c>
      <c r="D17" t="s">
        <v>10</v>
      </c>
      <c r="E17" s="6">
        <v>33</v>
      </c>
      <c r="F17" s="6">
        <v>14</v>
      </c>
      <c r="G17" t="s">
        <v>2</v>
      </c>
      <c r="H17" s="6">
        <v>42.1</v>
      </c>
      <c r="I17" s="6">
        <v>14</v>
      </c>
    </row>
    <row r="18" spans="1:9" x14ac:dyDescent="0.3">
      <c r="A18" s="10" t="s">
        <v>2</v>
      </c>
      <c r="B18" s="21">
        <v>8.0288559999999993</v>
      </c>
      <c r="C18" s="6">
        <v>15</v>
      </c>
      <c r="D18" t="s">
        <v>2</v>
      </c>
      <c r="E18" s="6">
        <v>31.2</v>
      </c>
      <c r="F18" s="6">
        <v>15</v>
      </c>
      <c r="G18" t="s">
        <v>29</v>
      </c>
      <c r="H18" s="6">
        <v>41.3</v>
      </c>
      <c r="I18" s="6">
        <v>15</v>
      </c>
    </row>
    <row r="19" spans="1:9" x14ac:dyDescent="0.3">
      <c r="A19" s="10" t="s">
        <v>4</v>
      </c>
      <c r="B19" s="22">
        <v>7.4567059999999996</v>
      </c>
      <c r="C19" s="6">
        <v>16</v>
      </c>
      <c r="D19" t="s">
        <v>26</v>
      </c>
      <c r="E19" s="6">
        <v>27.7</v>
      </c>
      <c r="F19" s="6">
        <v>16</v>
      </c>
      <c r="G19" t="s">
        <v>12</v>
      </c>
      <c r="H19" s="6">
        <v>35.5</v>
      </c>
      <c r="I19" s="6">
        <v>16</v>
      </c>
    </row>
    <row r="20" spans="1:9" x14ac:dyDescent="0.3">
      <c r="A20" s="10" t="s">
        <v>7</v>
      </c>
      <c r="B20" s="23">
        <v>5.673597</v>
      </c>
      <c r="C20" s="6">
        <v>17</v>
      </c>
      <c r="D20" t="s">
        <v>4</v>
      </c>
      <c r="E20" s="6">
        <v>25.5</v>
      </c>
      <c r="F20" s="6">
        <v>17</v>
      </c>
      <c r="G20" t="s">
        <v>4</v>
      </c>
      <c r="H20" s="6">
        <v>33.799999999999997</v>
      </c>
      <c r="I20" s="6">
        <v>17</v>
      </c>
    </row>
    <row r="21" spans="1:9" x14ac:dyDescent="0.3">
      <c r="A21" s="10" t="s">
        <v>31</v>
      </c>
      <c r="B21" s="23">
        <v>2.945929</v>
      </c>
      <c r="C21" s="6">
        <v>18</v>
      </c>
      <c r="D21" t="s">
        <v>7</v>
      </c>
      <c r="E21" s="6">
        <v>25.4</v>
      </c>
      <c r="F21" s="6">
        <v>18</v>
      </c>
      <c r="G21" t="s">
        <v>7</v>
      </c>
      <c r="H21" s="6">
        <v>32</v>
      </c>
      <c r="I21" s="6">
        <v>18</v>
      </c>
    </row>
    <row r="22" spans="1:9" x14ac:dyDescent="0.3">
      <c r="A22" s="10" t="s">
        <v>8</v>
      </c>
      <c r="B22" s="23">
        <v>2.3859810000000001</v>
      </c>
      <c r="C22" s="6">
        <v>19</v>
      </c>
      <c r="D22" t="s">
        <v>5</v>
      </c>
      <c r="E22" s="6">
        <v>16.8</v>
      </c>
      <c r="F22" s="6">
        <v>19</v>
      </c>
      <c r="G22" t="s">
        <v>5</v>
      </c>
      <c r="H22" s="6">
        <v>20.5</v>
      </c>
      <c r="I22" s="6">
        <v>19</v>
      </c>
    </row>
    <row r="23" spans="1:9" x14ac:dyDescent="0.3">
      <c r="A23" s="10" t="s">
        <v>5</v>
      </c>
      <c r="B23" s="23">
        <v>1.7440720000000001</v>
      </c>
      <c r="C23" s="6">
        <v>20</v>
      </c>
      <c r="D23" t="s">
        <v>172</v>
      </c>
      <c r="E23" s="6">
        <v>12.3</v>
      </c>
      <c r="F23" s="6">
        <v>20</v>
      </c>
      <c r="G23" t="s">
        <v>172</v>
      </c>
      <c r="H23" s="6">
        <v>15.5</v>
      </c>
      <c r="I23" s="6">
        <v>20</v>
      </c>
    </row>
    <row r="24" spans="1:9" x14ac:dyDescent="0.3">
      <c r="A24" s="10" t="s">
        <v>29</v>
      </c>
      <c r="B24" s="25">
        <v>0</v>
      </c>
      <c r="C24" s="6">
        <v>21</v>
      </c>
      <c r="D24" t="s">
        <v>31</v>
      </c>
      <c r="E24" s="6">
        <v>10.1</v>
      </c>
      <c r="F24" s="6">
        <v>21</v>
      </c>
      <c r="G24" t="s">
        <v>31</v>
      </c>
      <c r="H24" s="6">
        <v>12.4</v>
      </c>
      <c r="I24" s="6">
        <v>21</v>
      </c>
    </row>
    <row r="25" spans="1:9" x14ac:dyDescent="0.3">
      <c r="C25" s="6">
        <v>22</v>
      </c>
      <c r="D25" t="s">
        <v>8</v>
      </c>
      <c r="E25" s="6">
        <v>6.9</v>
      </c>
      <c r="F25" s="6">
        <v>22</v>
      </c>
      <c r="G25" t="s">
        <v>8</v>
      </c>
      <c r="H25" s="6">
        <v>7.7</v>
      </c>
      <c r="I25" s="6">
        <v>22</v>
      </c>
    </row>
  </sheetData>
  <sortState xmlns:xlrd2="http://schemas.microsoft.com/office/spreadsheetml/2017/richdata2" ref="A4:B25">
    <sortCondition descending="1" ref="B4:B25"/>
  </sortState>
  <mergeCells count="3">
    <mergeCell ref="D2:F2"/>
    <mergeCell ref="G2:I2"/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F233"/>
  <sheetViews>
    <sheetView workbookViewId="0">
      <selection activeCell="H8" sqref="H8"/>
    </sheetView>
  </sheetViews>
  <sheetFormatPr defaultRowHeight="14.4" x14ac:dyDescent="0.3"/>
  <cols>
    <col min="1" max="1" width="17.88671875" customWidth="1"/>
  </cols>
  <sheetData>
    <row r="1" spans="1:6" x14ac:dyDescent="0.3">
      <c r="A1" s="2" t="s">
        <v>229</v>
      </c>
      <c r="B1" s="1"/>
      <c r="C1" s="1"/>
      <c r="D1" s="1"/>
      <c r="E1" s="1"/>
      <c r="F1" s="1"/>
    </row>
    <row r="2" spans="1:6" x14ac:dyDescent="0.3">
      <c r="A2" t="s">
        <v>171</v>
      </c>
      <c r="B2" s="35" t="s">
        <v>173</v>
      </c>
      <c r="C2" s="35"/>
      <c r="D2" s="35"/>
      <c r="E2" s="35" t="s">
        <v>204</v>
      </c>
      <c r="F2" s="35"/>
    </row>
    <row r="3" spans="1:6" x14ac:dyDescent="0.3">
      <c r="B3" t="s">
        <v>73</v>
      </c>
      <c r="C3" t="s">
        <v>202</v>
      </c>
      <c r="D3" t="s">
        <v>203</v>
      </c>
      <c r="E3" t="s">
        <v>202</v>
      </c>
      <c r="F3" t="s">
        <v>203</v>
      </c>
    </row>
    <row r="4" spans="1:6" x14ac:dyDescent="0.3">
      <c r="A4" t="s">
        <v>45</v>
      </c>
    </row>
    <row r="5" spans="1:6" x14ac:dyDescent="0.3">
      <c r="A5">
        <v>2011</v>
      </c>
      <c r="B5">
        <v>49.3</v>
      </c>
      <c r="C5">
        <v>14.6</v>
      </c>
      <c r="D5">
        <v>34.700000000000003</v>
      </c>
      <c r="E5">
        <v>29.6</v>
      </c>
      <c r="F5">
        <v>70.400000000000006</v>
      </c>
    </row>
    <row r="6" spans="1:6" x14ac:dyDescent="0.3">
      <c r="A6">
        <v>2016</v>
      </c>
      <c r="B6">
        <v>51.7</v>
      </c>
      <c r="C6">
        <v>16.8</v>
      </c>
      <c r="D6">
        <v>34.9</v>
      </c>
      <c r="E6">
        <v>32.5</v>
      </c>
      <c r="F6">
        <v>67.5</v>
      </c>
    </row>
    <row r="7" spans="1:6" x14ac:dyDescent="0.3">
      <c r="A7">
        <v>2021</v>
      </c>
      <c r="B7">
        <v>53.2</v>
      </c>
      <c r="C7">
        <v>18.899999999999999</v>
      </c>
      <c r="D7">
        <v>34.299999999999997</v>
      </c>
      <c r="E7">
        <v>35.6</v>
      </c>
      <c r="F7">
        <v>64.400000000000006</v>
      </c>
    </row>
    <row r="8" spans="1:6" x14ac:dyDescent="0.3">
      <c r="A8">
        <v>2026</v>
      </c>
      <c r="B8">
        <v>54.1</v>
      </c>
      <c r="C8">
        <v>21</v>
      </c>
      <c r="D8">
        <v>33.1</v>
      </c>
      <c r="E8">
        <v>38.9</v>
      </c>
      <c r="F8">
        <v>61.1</v>
      </c>
    </row>
    <row r="9" spans="1:6" x14ac:dyDescent="0.3">
      <c r="A9">
        <v>2031</v>
      </c>
      <c r="B9">
        <v>54.6</v>
      </c>
      <c r="C9">
        <v>23</v>
      </c>
      <c r="D9">
        <v>31.6</v>
      </c>
      <c r="E9">
        <v>42.2</v>
      </c>
      <c r="F9">
        <v>57.8</v>
      </c>
    </row>
    <row r="10" spans="1:6" x14ac:dyDescent="0.3">
      <c r="A10">
        <v>2036</v>
      </c>
      <c r="B10">
        <v>54.7</v>
      </c>
      <c r="C10">
        <v>24.9</v>
      </c>
      <c r="D10">
        <v>29.8</v>
      </c>
      <c r="E10">
        <v>45.6</v>
      </c>
      <c r="F10">
        <v>54.4</v>
      </c>
    </row>
    <row r="11" spans="1:6" x14ac:dyDescent="0.3">
      <c r="A11">
        <v>2041</v>
      </c>
      <c r="B11">
        <v>54.4</v>
      </c>
      <c r="C11">
        <v>26.7</v>
      </c>
      <c r="D11">
        <v>27.7</v>
      </c>
      <c r="E11">
        <v>49.1</v>
      </c>
      <c r="F11">
        <v>50.9</v>
      </c>
    </row>
    <row r="12" spans="1:6" x14ac:dyDescent="0.3">
      <c r="A12">
        <v>2046</v>
      </c>
      <c r="B12">
        <v>53.9</v>
      </c>
      <c r="C12">
        <v>28.3</v>
      </c>
      <c r="D12">
        <v>25.6</v>
      </c>
      <c r="E12">
        <v>52.5</v>
      </c>
      <c r="F12">
        <v>47.5</v>
      </c>
    </row>
    <row r="13" spans="1:6" x14ac:dyDescent="0.3">
      <c r="A13">
        <v>2051</v>
      </c>
      <c r="B13">
        <v>53.2</v>
      </c>
      <c r="C13">
        <v>29.8</v>
      </c>
      <c r="D13">
        <v>23.4</v>
      </c>
      <c r="E13">
        <v>56</v>
      </c>
      <c r="F13">
        <v>44</v>
      </c>
    </row>
    <row r="14" spans="1:6" x14ac:dyDescent="0.3">
      <c r="A14" t="s">
        <v>2</v>
      </c>
    </row>
    <row r="15" spans="1:6" x14ac:dyDescent="0.3">
      <c r="A15">
        <v>2011</v>
      </c>
      <c r="B15">
        <v>31.2</v>
      </c>
      <c r="C15">
        <v>4.4000000000000004</v>
      </c>
      <c r="D15">
        <v>26.8</v>
      </c>
      <c r="E15">
        <v>14.1</v>
      </c>
      <c r="F15">
        <v>85.9</v>
      </c>
    </row>
    <row r="16" spans="1:6" x14ac:dyDescent="0.3">
      <c r="A16">
        <v>2016</v>
      </c>
      <c r="B16">
        <v>33.299999999999997</v>
      </c>
      <c r="C16">
        <v>5.0999999999999996</v>
      </c>
      <c r="D16">
        <v>28.2</v>
      </c>
      <c r="E16">
        <v>15.4</v>
      </c>
      <c r="F16">
        <v>84.6</v>
      </c>
    </row>
    <row r="17" spans="1:6" x14ac:dyDescent="0.3">
      <c r="A17">
        <v>2021</v>
      </c>
      <c r="B17">
        <v>35.4</v>
      </c>
      <c r="C17">
        <v>5.9</v>
      </c>
      <c r="D17">
        <v>29.5</v>
      </c>
      <c r="E17">
        <v>16.7</v>
      </c>
      <c r="F17">
        <v>83.3</v>
      </c>
    </row>
    <row r="18" spans="1:6" x14ac:dyDescent="0.3">
      <c r="A18">
        <v>2026</v>
      </c>
      <c r="B18">
        <v>37.200000000000003</v>
      </c>
      <c r="C18">
        <v>6.8</v>
      </c>
      <c r="D18">
        <v>30.4</v>
      </c>
      <c r="E18">
        <v>18.2</v>
      </c>
      <c r="F18">
        <v>81.8</v>
      </c>
    </row>
    <row r="19" spans="1:6" x14ac:dyDescent="0.3">
      <c r="A19">
        <v>2031</v>
      </c>
      <c r="B19">
        <v>38.799999999999997</v>
      </c>
      <c r="C19">
        <v>7.7</v>
      </c>
      <c r="D19">
        <v>31.1</v>
      </c>
      <c r="E19">
        <v>19.8</v>
      </c>
      <c r="F19">
        <v>80.2</v>
      </c>
    </row>
    <row r="20" spans="1:6" x14ac:dyDescent="0.3">
      <c r="A20">
        <v>2036</v>
      </c>
      <c r="B20">
        <v>40.1</v>
      </c>
      <c r="C20">
        <v>8.6</v>
      </c>
      <c r="D20">
        <v>31.5</v>
      </c>
      <c r="E20">
        <v>21.4</v>
      </c>
      <c r="F20">
        <v>78.599999999999994</v>
      </c>
    </row>
    <row r="21" spans="1:6" x14ac:dyDescent="0.3">
      <c r="A21">
        <v>2041</v>
      </c>
      <c r="B21">
        <v>41.1</v>
      </c>
      <c r="C21">
        <v>9.5</v>
      </c>
      <c r="D21">
        <v>31.6</v>
      </c>
      <c r="E21">
        <v>23.2</v>
      </c>
      <c r="F21">
        <v>76.8</v>
      </c>
    </row>
    <row r="22" spans="1:6" x14ac:dyDescent="0.3">
      <c r="A22">
        <v>2046</v>
      </c>
      <c r="B22">
        <v>41.8</v>
      </c>
      <c r="C22">
        <v>10.5</v>
      </c>
      <c r="D22">
        <v>31.4</v>
      </c>
      <c r="E22">
        <v>25</v>
      </c>
      <c r="F22">
        <v>75</v>
      </c>
    </row>
    <row r="23" spans="1:6" x14ac:dyDescent="0.3">
      <c r="A23">
        <v>2051</v>
      </c>
      <c r="B23">
        <v>42.1</v>
      </c>
      <c r="C23">
        <v>11.4</v>
      </c>
      <c r="D23">
        <v>30.7</v>
      </c>
      <c r="E23">
        <v>27</v>
      </c>
      <c r="F23">
        <v>73</v>
      </c>
    </row>
    <row r="24" spans="1:6" x14ac:dyDescent="0.3">
      <c r="A24" t="s">
        <v>3</v>
      </c>
    </row>
    <row r="25" spans="1:6" x14ac:dyDescent="0.3">
      <c r="A25">
        <v>2011</v>
      </c>
      <c r="B25">
        <v>104.1</v>
      </c>
      <c r="C25">
        <v>11.8</v>
      </c>
      <c r="D25">
        <v>92.3</v>
      </c>
      <c r="E25">
        <v>11.3</v>
      </c>
      <c r="F25">
        <v>88.7</v>
      </c>
    </row>
    <row r="26" spans="1:6" x14ac:dyDescent="0.3">
      <c r="A26">
        <v>2016</v>
      </c>
      <c r="B26">
        <v>113.2</v>
      </c>
      <c r="C26">
        <v>13.9</v>
      </c>
      <c r="D26">
        <v>99.3</v>
      </c>
      <c r="E26">
        <v>12.3</v>
      </c>
      <c r="F26">
        <v>87.7</v>
      </c>
    </row>
    <row r="27" spans="1:6" x14ac:dyDescent="0.3">
      <c r="A27">
        <v>2021</v>
      </c>
      <c r="B27">
        <v>122.9</v>
      </c>
      <c r="C27">
        <v>16.5</v>
      </c>
      <c r="D27">
        <v>106.4</v>
      </c>
      <c r="E27">
        <v>13.4</v>
      </c>
      <c r="F27">
        <v>86.6</v>
      </c>
    </row>
    <row r="28" spans="1:6" x14ac:dyDescent="0.3">
      <c r="A28">
        <v>2026</v>
      </c>
      <c r="B28">
        <v>132.9</v>
      </c>
      <c r="C28">
        <v>19.399999999999999</v>
      </c>
      <c r="D28">
        <v>113.5</v>
      </c>
      <c r="E28">
        <v>14.6</v>
      </c>
      <c r="F28">
        <v>85.4</v>
      </c>
    </row>
    <row r="29" spans="1:6" x14ac:dyDescent="0.3">
      <c r="A29">
        <v>2031</v>
      </c>
      <c r="B29">
        <v>142.80000000000001</v>
      </c>
      <c r="C29">
        <v>22.7</v>
      </c>
      <c r="D29">
        <v>120.1</v>
      </c>
      <c r="E29">
        <v>15.9</v>
      </c>
      <c r="F29">
        <v>84.1</v>
      </c>
    </row>
    <row r="30" spans="1:6" x14ac:dyDescent="0.3">
      <c r="A30">
        <v>2036</v>
      </c>
      <c r="B30">
        <v>151.19999999999999</v>
      </c>
      <c r="C30">
        <v>26.2</v>
      </c>
      <c r="D30">
        <v>125</v>
      </c>
      <c r="E30">
        <v>17.3</v>
      </c>
      <c r="F30">
        <v>82.7</v>
      </c>
    </row>
    <row r="31" spans="1:6" x14ac:dyDescent="0.3">
      <c r="A31">
        <v>2041</v>
      </c>
      <c r="B31">
        <v>158.19999999999999</v>
      </c>
      <c r="C31">
        <v>29.6</v>
      </c>
      <c r="D31">
        <v>128.6</v>
      </c>
      <c r="E31">
        <v>18.7</v>
      </c>
      <c r="F31">
        <v>81.3</v>
      </c>
    </row>
    <row r="32" spans="1:6" x14ac:dyDescent="0.3">
      <c r="A32">
        <v>2046</v>
      </c>
      <c r="B32">
        <v>164.5</v>
      </c>
      <c r="C32">
        <v>33.200000000000003</v>
      </c>
      <c r="D32">
        <v>131.30000000000001</v>
      </c>
      <c r="E32">
        <v>20.2</v>
      </c>
      <c r="F32">
        <v>79.8</v>
      </c>
    </row>
    <row r="33" spans="1:6" x14ac:dyDescent="0.3">
      <c r="A33">
        <v>2051</v>
      </c>
      <c r="B33">
        <v>170.5</v>
      </c>
      <c r="C33">
        <v>37.299999999999997</v>
      </c>
      <c r="D33">
        <v>133.19999999999999</v>
      </c>
      <c r="E33">
        <v>21.9</v>
      </c>
      <c r="F33">
        <v>78.099999999999994</v>
      </c>
    </row>
    <row r="34" spans="1:6" x14ac:dyDescent="0.3">
      <c r="A34" t="s">
        <v>4</v>
      </c>
    </row>
    <row r="35" spans="1:6" x14ac:dyDescent="0.3">
      <c r="A35">
        <v>2011</v>
      </c>
      <c r="B35">
        <v>25.5</v>
      </c>
      <c r="C35">
        <v>5.9</v>
      </c>
      <c r="D35">
        <v>19.600000000000001</v>
      </c>
      <c r="E35">
        <v>23.2</v>
      </c>
      <c r="F35">
        <v>76.8</v>
      </c>
    </row>
    <row r="36" spans="1:6" x14ac:dyDescent="0.3">
      <c r="A36">
        <v>2016</v>
      </c>
      <c r="B36">
        <v>27.5</v>
      </c>
      <c r="C36">
        <v>7</v>
      </c>
      <c r="D36">
        <v>20.5</v>
      </c>
      <c r="E36">
        <v>25.4</v>
      </c>
      <c r="F36">
        <v>74.599999999999994</v>
      </c>
    </row>
    <row r="37" spans="1:6" x14ac:dyDescent="0.3">
      <c r="A37">
        <v>2021</v>
      </c>
      <c r="B37">
        <v>29.2</v>
      </c>
      <c r="C37">
        <v>8.1</v>
      </c>
      <c r="D37">
        <v>21.1</v>
      </c>
      <c r="E37">
        <v>27.8</v>
      </c>
      <c r="F37">
        <v>72.2</v>
      </c>
    </row>
    <row r="38" spans="1:6" x14ac:dyDescent="0.3">
      <c r="A38">
        <v>2026</v>
      </c>
      <c r="B38">
        <v>30.5</v>
      </c>
      <c r="C38">
        <v>9.1999999999999993</v>
      </c>
      <c r="D38">
        <v>21.3</v>
      </c>
      <c r="E38">
        <v>30.2</v>
      </c>
      <c r="F38">
        <v>69.8</v>
      </c>
    </row>
    <row r="39" spans="1:6" x14ac:dyDescent="0.3">
      <c r="A39">
        <v>2031</v>
      </c>
      <c r="B39">
        <v>31.6</v>
      </c>
      <c r="C39">
        <v>10.4</v>
      </c>
      <c r="D39">
        <v>21.2</v>
      </c>
      <c r="E39">
        <v>32.799999999999997</v>
      </c>
      <c r="F39">
        <v>67.2</v>
      </c>
    </row>
    <row r="40" spans="1:6" x14ac:dyDescent="0.3">
      <c r="A40">
        <v>2036</v>
      </c>
      <c r="B40">
        <v>32.5</v>
      </c>
      <c r="C40">
        <v>11.5</v>
      </c>
      <c r="D40">
        <v>21</v>
      </c>
      <c r="E40">
        <v>35.4</v>
      </c>
      <c r="F40">
        <v>64.599999999999994</v>
      </c>
    </row>
    <row r="41" spans="1:6" x14ac:dyDescent="0.3">
      <c r="A41">
        <v>2041</v>
      </c>
      <c r="B41">
        <v>33.1</v>
      </c>
      <c r="C41">
        <v>12.6</v>
      </c>
      <c r="D41">
        <v>20.5</v>
      </c>
      <c r="E41">
        <v>38.200000000000003</v>
      </c>
      <c r="F41">
        <v>61.8</v>
      </c>
    </row>
    <row r="42" spans="1:6" x14ac:dyDescent="0.3">
      <c r="A42">
        <v>2046</v>
      </c>
      <c r="B42">
        <v>33.5</v>
      </c>
      <c r="C42">
        <v>13.7</v>
      </c>
      <c r="D42">
        <v>19.8</v>
      </c>
      <c r="E42">
        <v>41</v>
      </c>
      <c r="F42">
        <v>59</v>
      </c>
    </row>
    <row r="43" spans="1:6" x14ac:dyDescent="0.3">
      <c r="A43">
        <v>2051</v>
      </c>
      <c r="B43">
        <v>33.799999999999997</v>
      </c>
      <c r="C43">
        <v>14.9</v>
      </c>
      <c r="D43">
        <v>18.899999999999999</v>
      </c>
      <c r="E43">
        <v>44</v>
      </c>
      <c r="F43">
        <v>56</v>
      </c>
    </row>
    <row r="44" spans="1:6" x14ac:dyDescent="0.3">
      <c r="A44" t="s">
        <v>5</v>
      </c>
    </row>
    <row r="45" spans="1:6" x14ac:dyDescent="0.3">
      <c r="A45">
        <v>2011</v>
      </c>
      <c r="B45">
        <v>16.8</v>
      </c>
      <c r="C45">
        <v>16.399999999999999</v>
      </c>
      <c r="D45">
        <v>0.4</v>
      </c>
      <c r="E45">
        <v>97.5</v>
      </c>
      <c r="F45">
        <v>2.5</v>
      </c>
    </row>
    <row r="46" spans="1:6" x14ac:dyDescent="0.3">
      <c r="A46">
        <v>2016</v>
      </c>
      <c r="B46">
        <v>17.899999999999999</v>
      </c>
      <c r="C46">
        <v>17.600000000000001</v>
      </c>
      <c r="D46">
        <v>0.3</v>
      </c>
      <c r="E46">
        <v>98.2</v>
      </c>
      <c r="F46">
        <v>1.8</v>
      </c>
    </row>
    <row r="47" spans="1:6" x14ac:dyDescent="0.3">
      <c r="A47">
        <v>2021</v>
      </c>
      <c r="B47">
        <v>18.7</v>
      </c>
      <c r="C47">
        <v>18.399999999999999</v>
      </c>
      <c r="D47">
        <v>0.3</v>
      </c>
      <c r="E47">
        <v>98.6</v>
      </c>
      <c r="F47">
        <v>1.4</v>
      </c>
    </row>
    <row r="48" spans="1:6" x14ac:dyDescent="0.3">
      <c r="A48">
        <v>2026</v>
      </c>
      <c r="B48">
        <v>19.3</v>
      </c>
      <c r="C48">
        <v>19.100000000000001</v>
      </c>
      <c r="D48">
        <v>0.2</v>
      </c>
      <c r="E48">
        <v>99</v>
      </c>
      <c r="F48">
        <v>1</v>
      </c>
    </row>
    <row r="49" spans="1:6" x14ac:dyDescent="0.3">
      <c r="A49">
        <v>2031</v>
      </c>
      <c r="B49">
        <v>19.8</v>
      </c>
      <c r="C49">
        <v>19.7</v>
      </c>
      <c r="D49">
        <v>0.1</v>
      </c>
      <c r="E49">
        <v>99.3</v>
      </c>
      <c r="F49">
        <v>0.7</v>
      </c>
    </row>
    <row r="50" spans="1:6" x14ac:dyDescent="0.3">
      <c r="A50">
        <v>2036</v>
      </c>
      <c r="B50">
        <v>20.2</v>
      </c>
      <c r="C50">
        <v>20.100000000000001</v>
      </c>
      <c r="D50">
        <v>0.1</v>
      </c>
      <c r="E50">
        <v>99.5</v>
      </c>
      <c r="F50">
        <v>0.5</v>
      </c>
    </row>
    <row r="51" spans="1:6" x14ac:dyDescent="0.3">
      <c r="A51">
        <v>2041</v>
      </c>
      <c r="B51">
        <v>20.5</v>
      </c>
      <c r="C51">
        <v>20.399999999999999</v>
      </c>
      <c r="D51">
        <v>0.1</v>
      </c>
      <c r="E51">
        <v>99.6</v>
      </c>
      <c r="F51">
        <v>0.4</v>
      </c>
    </row>
    <row r="52" spans="1:6" x14ac:dyDescent="0.3">
      <c r="A52">
        <v>2046</v>
      </c>
      <c r="B52">
        <v>20.5</v>
      </c>
      <c r="C52">
        <v>20.399999999999999</v>
      </c>
      <c r="D52">
        <v>0.1</v>
      </c>
      <c r="E52">
        <v>99.7</v>
      </c>
      <c r="F52">
        <v>0.3</v>
      </c>
    </row>
    <row r="53" spans="1:6" x14ac:dyDescent="0.3">
      <c r="A53">
        <v>2051</v>
      </c>
      <c r="B53">
        <v>20.5</v>
      </c>
      <c r="C53">
        <v>20.5</v>
      </c>
      <c r="D53">
        <v>0</v>
      </c>
      <c r="E53">
        <v>99.8</v>
      </c>
      <c r="F53">
        <v>0.2</v>
      </c>
    </row>
    <row r="54" spans="1:6" x14ac:dyDescent="0.3">
      <c r="A54" t="s">
        <v>6</v>
      </c>
    </row>
    <row r="55" spans="1:6" x14ac:dyDescent="0.3">
      <c r="A55">
        <v>2011</v>
      </c>
      <c r="B55">
        <v>60.4</v>
      </c>
      <c r="C55">
        <v>25.8</v>
      </c>
      <c r="D55">
        <v>34.700000000000003</v>
      </c>
      <c r="E55">
        <v>42.6</v>
      </c>
      <c r="F55">
        <v>57.4</v>
      </c>
    </row>
    <row r="56" spans="1:6" x14ac:dyDescent="0.3">
      <c r="A56">
        <v>2016</v>
      </c>
      <c r="B56">
        <v>64.400000000000006</v>
      </c>
      <c r="C56">
        <v>29.3</v>
      </c>
      <c r="D56">
        <v>35.1</v>
      </c>
      <c r="E56">
        <v>45.5</v>
      </c>
      <c r="F56">
        <v>54.5</v>
      </c>
    </row>
    <row r="57" spans="1:6" x14ac:dyDescent="0.3">
      <c r="A57">
        <v>2021</v>
      </c>
      <c r="B57">
        <v>67.8</v>
      </c>
      <c r="C57">
        <v>32.9</v>
      </c>
      <c r="D57">
        <v>34.9</v>
      </c>
      <c r="E57">
        <v>48.5</v>
      </c>
      <c r="F57">
        <v>51.5</v>
      </c>
    </row>
    <row r="58" spans="1:6" x14ac:dyDescent="0.3">
      <c r="A58">
        <v>2026</v>
      </c>
      <c r="B58">
        <v>70.3</v>
      </c>
      <c r="C58">
        <v>36.200000000000003</v>
      </c>
      <c r="D58">
        <v>34.1</v>
      </c>
      <c r="E58">
        <v>51.5</v>
      </c>
      <c r="F58">
        <v>48.5</v>
      </c>
    </row>
    <row r="59" spans="1:6" x14ac:dyDescent="0.3">
      <c r="A59">
        <v>2031</v>
      </c>
      <c r="B59">
        <v>72.3</v>
      </c>
      <c r="C59">
        <v>39.4</v>
      </c>
      <c r="D59">
        <v>32.9</v>
      </c>
      <c r="E59">
        <v>54.5</v>
      </c>
      <c r="F59">
        <v>45.5</v>
      </c>
    </row>
    <row r="60" spans="1:6" x14ac:dyDescent="0.3">
      <c r="A60">
        <v>2036</v>
      </c>
      <c r="B60">
        <v>73.8</v>
      </c>
      <c r="C60">
        <v>42.4</v>
      </c>
      <c r="D60">
        <v>31.4</v>
      </c>
      <c r="E60">
        <v>57.4</v>
      </c>
      <c r="F60">
        <v>42.6</v>
      </c>
    </row>
    <row r="61" spans="1:6" x14ac:dyDescent="0.3">
      <c r="A61">
        <v>2041</v>
      </c>
      <c r="B61">
        <v>74.900000000000006</v>
      </c>
      <c r="C61">
        <v>45.2</v>
      </c>
      <c r="D61">
        <v>29.7</v>
      </c>
      <c r="E61">
        <v>60.3</v>
      </c>
      <c r="F61">
        <v>39.700000000000003</v>
      </c>
    </row>
    <row r="62" spans="1:6" x14ac:dyDescent="0.3">
      <c r="A62">
        <v>2046</v>
      </c>
      <c r="B62">
        <v>75.5</v>
      </c>
      <c r="C62">
        <v>47.7</v>
      </c>
      <c r="D62">
        <v>27.8</v>
      </c>
      <c r="E62">
        <v>63.2</v>
      </c>
      <c r="F62">
        <v>36.799999999999997</v>
      </c>
    </row>
    <row r="63" spans="1:6" x14ac:dyDescent="0.3">
      <c r="A63">
        <v>2051</v>
      </c>
      <c r="B63">
        <v>75.7</v>
      </c>
      <c r="C63">
        <v>49.9</v>
      </c>
      <c r="D63">
        <v>25.8</v>
      </c>
      <c r="E63">
        <v>65.900000000000006</v>
      </c>
      <c r="F63">
        <v>34.1</v>
      </c>
    </row>
    <row r="64" spans="1:6" x14ac:dyDescent="0.3">
      <c r="A64" t="s">
        <v>7</v>
      </c>
    </row>
    <row r="65" spans="1:6" x14ac:dyDescent="0.3">
      <c r="A65">
        <v>2011</v>
      </c>
      <c r="B65">
        <v>25.4</v>
      </c>
      <c r="C65">
        <v>8.8000000000000007</v>
      </c>
      <c r="D65">
        <v>16.5</v>
      </c>
      <c r="E65">
        <v>34.9</v>
      </c>
      <c r="F65">
        <v>65.099999999999994</v>
      </c>
    </row>
    <row r="66" spans="1:6" x14ac:dyDescent="0.3">
      <c r="A66">
        <v>2016</v>
      </c>
      <c r="B66">
        <v>27.1</v>
      </c>
      <c r="C66">
        <v>10.3</v>
      </c>
      <c r="D66">
        <v>16.8</v>
      </c>
      <c r="E66">
        <v>38</v>
      </c>
      <c r="F66">
        <v>62</v>
      </c>
    </row>
    <row r="67" spans="1:6" x14ac:dyDescent="0.3">
      <c r="A67">
        <v>2021</v>
      </c>
      <c r="B67">
        <v>28.5</v>
      </c>
      <c r="C67">
        <v>11.8</v>
      </c>
      <c r="D67">
        <v>16.7</v>
      </c>
      <c r="E67">
        <v>41.3</v>
      </c>
      <c r="F67">
        <v>58.7</v>
      </c>
    </row>
    <row r="68" spans="1:6" x14ac:dyDescent="0.3">
      <c r="A68">
        <v>2026</v>
      </c>
      <c r="B68">
        <v>29.6</v>
      </c>
      <c r="C68">
        <v>13.2</v>
      </c>
      <c r="D68">
        <v>16.399999999999999</v>
      </c>
      <c r="E68">
        <v>44.7</v>
      </c>
      <c r="F68">
        <v>55.3</v>
      </c>
    </row>
    <row r="69" spans="1:6" x14ac:dyDescent="0.3">
      <c r="A69">
        <v>2031</v>
      </c>
      <c r="B69">
        <v>30.4</v>
      </c>
      <c r="C69">
        <v>14.6</v>
      </c>
      <c r="D69">
        <v>15.8</v>
      </c>
      <c r="E69">
        <v>48.1</v>
      </c>
      <c r="F69">
        <v>51.9</v>
      </c>
    </row>
    <row r="70" spans="1:6" x14ac:dyDescent="0.3">
      <c r="A70">
        <v>2036</v>
      </c>
      <c r="B70">
        <v>31.1</v>
      </c>
      <c r="C70">
        <v>16</v>
      </c>
      <c r="D70">
        <v>15.1</v>
      </c>
      <c r="E70">
        <v>51.5</v>
      </c>
      <c r="F70">
        <v>48.5</v>
      </c>
    </row>
    <row r="71" spans="1:6" x14ac:dyDescent="0.3">
      <c r="A71">
        <v>2041</v>
      </c>
      <c r="B71">
        <v>31.6</v>
      </c>
      <c r="C71">
        <v>17.3</v>
      </c>
      <c r="D71">
        <v>14.3</v>
      </c>
      <c r="E71">
        <v>54.9</v>
      </c>
      <c r="F71">
        <v>45.1</v>
      </c>
    </row>
    <row r="72" spans="1:6" x14ac:dyDescent="0.3">
      <c r="A72">
        <v>2046</v>
      </c>
      <c r="B72">
        <v>31.9</v>
      </c>
      <c r="C72">
        <v>18.600000000000001</v>
      </c>
      <c r="D72">
        <v>13.3</v>
      </c>
      <c r="E72">
        <v>58.2</v>
      </c>
      <c r="F72">
        <v>41.8</v>
      </c>
    </row>
    <row r="73" spans="1:6" x14ac:dyDescent="0.3">
      <c r="A73">
        <v>2051</v>
      </c>
      <c r="B73">
        <v>32</v>
      </c>
      <c r="C73">
        <v>19.7</v>
      </c>
      <c r="D73">
        <v>12.3</v>
      </c>
      <c r="E73">
        <v>61.5</v>
      </c>
      <c r="F73">
        <v>38.5</v>
      </c>
    </row>
    <row r="74" spans="1:6" x14ac:dyDescent="0.3">
      <c r="A74" t="s">
        <v>8</v>
      </c>
    </row>
    <row r="75" spans="1:6" x14ac:dyDescent="0.3">
      <c r="A75">
        <v>2011</v>
      </c>
      <c r="B75">
        <v>6.9</v>
      </c>
      <c r="C75">
        <v>0.7</v>
      </c>
      <c r="D75">
        <v>6.2</v>
      </c>
      <c r="E75">
        <v>10</v>
      </c>
      <c r="F75">
        <v>90</v>
      </c>
    </row>
    <row r="76" spans="1:6" x14ac:dyDescent="0.3">
      <c r="A76">
        <v>2016</v>
      </c>
      <c r="B76">
        <v>7.1</v>
      </c>
      <c r="C76">
        <v>0.8</v>
      </c>
      <c r="D76">
        <v>6.3</v>
      </c>
      <c r="E76">
        <v>10.8</v>
      </c>
      <c r="F76">
        <v>89.2</v>
      </c>
    </row>
    <row r="77" spans="1:6" x14ac:dyDescent="0.3">
      <c r="A77">
        <v>2021</v>
      </c>
      <c r="B77">
        <v>7.3</v>
      </c>
      <c r="C77">
        <v>0.9</v>
      </c>
      <c r="D77">
        <v>6.4</v>
      </c>
      <c r="E77">
        <v>11.7</v>
      </c>
      <c r="F77">
        <v>88.3</v>
      </c>
    </row>
    <row r="78" spans="1:6" x14ac:dyDescent="0.3">
      <c r="A78">
        <v>2026</v>
      </c>
      <c r="B78">
        <v>7.5</v>
      </c>
      <c r="C78">
        <v>0.9</v>
      </c>
      <c r="D78">
        <v>6.6</v>
      </c>
      <c r="E78">
        <v>12.5</v>
      </c>
      <c r="F78">
        <v>87.5</v>
      </c>
    </row>
    <row r="79" spans="1:6" x14ac:dyDescent="0.3">
      <c r="A79">
        <v>2031</v>
      </c>
      <c r="B79">
        <v>7.6</v>
      </c>
      <c r="C79">
        <v>1</v>
      </c>
      <c r="D79">
        <v>6.6</v>
      </c>
      <c r="E79">
        <v>13.5</v>
      </c>
      <c r="F79">
        <v>86.5</v>
      </c>
    </row>
    <row r="80" spans="1:6" x14ac:dyDescent="0.3">
      <c r="A80">
        <v>2036</v>
      </c>
      <c r="B80">
        <v>7.7</v>
      </c>
      <c r="C80">
        <v>1.1000000000000001</v>
      </c>
      <c r="D80">
        <v>6.6</v>
      </c>
      <c r="E80">
        <v>14.5</v>
      </c>
      <c r="F80">
        <v>85.5</v>
      </c>
    </row>
    <row r="81" spans="1:6" x14ac:dyDescent="0.3">
      <c r="A81">
        <v>2041</v>
      </c>
      <c r="B81">
        <v>7.8</v>
      </c>
      <c r="C81">
        <v>1.2</v>
      </c>
      <c r="D81">
        <v>6.6</v>
      </c>
      <c r="E81">
        <v>15.6</v>
      </c>
      <c r="F81">
        <v>84.4</v>
      </c>
    </row>
    <row r="82" spans="1:6" x14ac:dyDescent="0.3">
      <c r="A82">
        <v>2046</v>
      </c>
      <c r="B82">
        <v>7.8</v>
      </c>
      <c r="C82">
        <v>1.3</v>
      </c>
      <c r="D82">
        <v>6.5</v>
      </c>
      <c r="E82">
        <v>16.7</v>
      </c>
      <c r="F82">
        <v>83.3</v>
      </c>
    </row>
    <row r="83" spans="1:6" x14ac:dyDescent="0.3">
      <c r="A83">
        <v>2051</v>
      </c>
      <c r="B83">
        <v>7.7</v>
      </c>
      <c r="C83">
        <v>1.4</v>
      </c>
      <c r="D83">
        <v>6.3</v>
      </c>
      <c r="E83">
        <v>17.899999999999999</v>
      </c>
      <c r="F83">
        <v>82.1</v>
      </c>
    </row>
    <row r="84" spans="1:6" x14ac:dyDescent="0.3">
      <c r="A84" t="s">
        <v>205</v>
      </c>
    </row>
    <row r="85" spans="1:6" x14ac:dyDescent="0.3">
      <c r="A85">
        <v>2011</v>
      </c>
      <c r="B85">
        <v>12.5</v>
      </c>
      <c r="C85">
        <v>3.4</v>
      </c>
      <c r="D85">
        <v>9.1</v>
      </c>
      <c r="E85">
        <v>27.4</v>
      </c>
      <c r="F85">
        <v>72.599999999999994</v>
      </c>
    </row>
    <row r="86" spans="1:6" x14ac:dyDescent="0.3">
      <c r="A86">
        <v>2016</v>
      </c>
      <c r="B86">
        <v>13.1</v>
      </c>
      <c r="C86">
        <v>3.9</v>
      </c>
      <c r="D86">
        <v>9.1999999999999993</v>
      </c>
      <c r="E86">
        <v>29.5</v>
      </c>
      <c r="F86">
        <v>70.5</v>
      </c>
    </row>
    <row r="87" spans="1:6" x14ac:dyDescent="0.3">
      <c r="A87">
        <v>2021</v>
      </c>
      <c r="B87">
        <v>13.7</v>
      </c>
      <c r="C87">
        <v>4.3</v>
      </c>
      <c r="D87">
        <v>9.4</v>
      </c>
      <c r="E87">
        <v>31.7</v>
      </c>
      <c r="F87">
        <v>68.3</v>
      </c>
    </row>
    <row r="88" spans="1:6" x14ac:dyDescent="0.3">
      <c r="A88">
        <v>2026</v>
      </c>
      <c r="B88">
        <v>14.2</v>
      </c>
      <c r="C88">
        <v>4.8</v>
      </c>
      <c r="D88">
        <v>9.4</v>
      </c>
      <c r="E88">
        <v>34</v>
      </c>
      <c r="F88">
        <v>66</v>
      </c>
    </row>
    <row r="89" spans="1:6" x14ac:dyDescent="0.3">
      <c r="A89">
        <v>2031</v>
      </c>
      <c r="B89">
        <v>14.7</v>
      </c>
      <c r="C89">
        <v>5.4</v>
      </c>
      <c r="D89">
        <v>9.3000000000000007</v>
      </c>
      <c r="E89">
        <v>36.4</v>
      </c>
      <c r="F89">
        <v>63.6</v>
      </c>
    </row>
    <row r="90" spans="1:6" x14ac:dyDescent="0.3">
      <c r="A90">
        <v>2036</v>
      </c>
      <c r="B90">
        <v>15.1</v>
      </c>
      <c r="C90">
        <v>5.9</v>
      </c>
      <c r="D90">
        <v>9.1999999999999993</v>
      </c>
      <c r="E90">
        <v>38.799999999999997</v>
      </c>
      <c r="F90">
        <v>61.2</v>
      </c>
    </row>
    <row r="91" spans="1:6" x14ac:dyDescent="0.3">
      <c r="A91">
        <v>2041</v>
      </c>
      <c r="B91">
        <v>15.4</v>
      </c>
      <c r="C91">
        <v>6.4</v>
      </c>
      <c r="D91">
        <v>9</v>
      </c>
      <c r="E91">
        <v>41.3</v>
      </c>
      <c r="F91">
        <v>58.7</v>
      </c>
    </row>
    <row r="92" spans="1:6" x14ac:dyDescent="0.3">
      <c r="A92">
        <v>2046</v>
      </c>
      <c r="B92">
        <v>15.5</v>
      </c>
      <c r="C92">
        <v>6.8</v>
      </c>
      <c r="D92">
        <v>8.6999999999999993</v>
      </c>
      <c r="E92">
        <v>43.9</v>
      </c>
      <c r="F92">
        <v>56.1</v>
      </c>
    </row>
    <row r="93" spans="1:6" x14ac:dyDescent="0.3">
      <c r="A93">
        <v>2051</v>
      </c>
      <c r="B93">
        <v>15.4</v>
      </c>
      <c r="C93">
        <v>7.1</v>
      </c>
      <c r="D93">
        <v>8.3000000000000007</v>
      </c>
      <c r="E93">
        <v>46.4</v>
      </c>
      <c r="F93">
        <v>53.6</v>
      </c>
    </row>
    <row r="94" spans="1:6" x14ac:dyDescent="0.3">
      <c r="A94" t="s">
        <v>10</v>
      </c>
    </row>
    <row r="95" spans="1:6" x14ac:dyDescent="0.3">
      <c r="A95">
        <v>2011</v>
      </c>
      <c r="B95">
        <v>33</v>
      </c>
      <c r="C95">
        <v>7.9</v>
      </c>
      <c r="D95">
        <v>25.1</v>
      </c>
      <c r="E95">
        <v>24</v>
      </c>
      <c r="F95">
        <v>76</v>
      </c>
    </row>
    <row r="96" spans="1:6" x14ac:dyDescent="0.3">
      <c r="A96">
        <v>2016</v>
      </c>
      <c r="B96">
        <v>35.6</v>
      </c>
      <c r="C96">
        <v>9.1999999999999993</v>
      </c>
      <c r="D96">
        <v>26.4</v>
      </c>
      <c r="E96">
        <v>25.9</v>
      </c>
      <c r="F96">
        <v>74.099999999999994</v>
      </c>
    </row>
    <row r="97" spans="1:6" x14ac:dyDescent="0.3">
      <c r="A97">
        <v>2021</v>
      </c>
      <c r="B97">
        <v>38.1</v>
      </c>
      <c r="C97">
        <v>10.6</v>
      </c>
      <c r="D97">
        <v>27.5</v>
      </c>
      <c r="E97">
        <v>27.8</v>
      </c>
      <c r="F97">
        <v>72.2</v>
      </c>
    </row>
    <row r="98" spans="1:6" x14ac:dyDescent="0.3">
      <c r="A98">
        <v>2026</v>
      </c>
      <c r="B98">
        <v>40.4</v>
      </c>
      <c r="C98">
        <v>12</v>
      </c>
      <c r="D98">
        <v>28.4</v>
      </c>
      <c r="E98">
        <v>29.8</v>
      </c>
      <c r="F98">
        <v>70.2</v>
      </c>
    </row>
    <row r="99" spans="1:6" x14ac:dyDescent="0.3">
      <c r="A99">
        <v>2031</v>
      </c>
      <c r="B99">
        <v>42.5</v>
      </c>
      <c r="C99">
        <v>13.6</v>
      </c>
      <c r="D99">
        <v>28.9</v>
      </c>
      <c r="E99">
        <v>31.9</v>
      </c>
      <c r="F99">
        <v>68.099999999999994</v>
      </c>
    </row>
    <row r="100" spans="1:6" x14ac:dyDescent="0.3">
      <c r="A100">
        <v>2036</v>
      </c>
      <c r="B100">
        <v>44.2</v>
      </c>
      <c r="C100">
        <v>15</v>
      </c>
      <c r="D100">
        <v>29.2</v>
      </c>
      <c r="E100">
        <v>34</v>
      </c>
      <c r="F100">
        <v>66</v>
      </c>
    </row>
    <row r="101" spans="1:6" x14ac:dyDescent="0.3">
      <c r="A101">
        <v>2041</v>
      </c>
      <c r="B101">
        <v>45.6</v>
      </c>
      <c r="C101">
        <v>16.5</v>
      </c>
      <c r="D101">
        <v>29.1</v>
      </c>
      <c r="E101">
        <v>36.200000000000003</v>
      </c>
      <c r="F101">
        <v>63.8</v>
      </c>
    </row>
    <row r="102" spans="1:6" x14ac:dyDescent="0.3">
      <c r="A102">
        <v>2046</v>
      </c>
      <c r="B102">
        <v>46.7</v>
      </c>
      <c r="C102">
        <v>18</v>
      </c>
      <c r="D102">
        <v>28.7</v>
      </c>
      <c r="E102">
        <v>38.5</v>
      </c>
      <c r="F102">
        <v>61.5</v>
      </c>
    </row>
    <row r="103" spans="1:6" x14ac:dyDescent="0.3">
      <c r="A103">
        <v>2051</v>
      </c>
      <c r="B103">
        <v>47.6</v>
      </c>
      <c r="C103">
        <v>19.5</v>
      </c>
      <c r="D103">
        <v>28.1</v>
      </c>
      <c r="E103">
        <v>40.9</v>
      </c>
      <c r="F103">
        <v>59.1</v>
      </c>
    </row>
    <row r="104" spans="1:6" x14ac:dyDescent="0.3">
      <c r="A104" t="s">
        <v>11</v>
      </c>
    </row>
    <row r="105" spans="1:6" x14ac:dyDescent="0.3">
      <c r="A105">
        <v>2011</v>
      </c>
      <c r="B105">
        <v>61.1</v>
      </c>
      <c r="C105">
        <v>23.6</v>
      </c>
      <c r="D105">
        <v>37.5</v>
      </c>
      <c r="E105">
        <v>38.700000000000003</v>
      </c>
      <c r="F105">
        <v>61.3</v>
      </c>
    </row>
    <row r="106" spans="1:6" x14ac:dyDescent="0.3">
      <c r="A106">
        <v>2016</v>
      </c>
      <c r="B106">
        <v>64</v>
      </c>
      <c r="C106">
        <v>26.6</v>
      </c>
      <c r="D106">
        <v>37.4</v>
      </c>
      <c r="E106">
        <v>41.5</v>
      </c>
      <c r="F106">
        <v>58.5</v>
      </c>
    </row>
    <row r="107" spans="1:6" x14ac:dyDescent="0.3">
      <c r="A107">
        <v>2021</v>
      </c>
      <c r="B107">
        <v>66</v>
      </c>
      <c r="C107">
        <v>29.3</v>
      </c>
      <c r="D107">
        <v>36.700000000000003</v>
      </c>
      <c r="E107">
        <v>44.4</v>
      </c>
      <c r="F107">
        <v>55.6</v>
      </c>
    </row>
    <row r="108" spans="1:6" x14ac:dyDescent="0.3">
      <c r="A108">
        <v>2026</v>
      </c>
      <c r="B108">
        <v>67.5</v>
      </c>
      <c r="C108">
        <v>31.9</v>
      </c>
      <c r="D108">
        <v>35.6</v>
      </c>
      <c r="E108">
        <v>47.3</v>
      </c>
      <c r="F108">
        <v>52.7</v>
      </c>
    </row>
    <row r="109" spans="1:6" x14ac:dyDescent="0.3">
      <c r="A109">
        <v>2031</v>
      </c>
      <c r="B109">
        <v>68.5</v>
      </c>
      <c r="C109">
        <v>34.4</v>
      </c>
      <c r="D109">
        <v>34.1</v>
      </c>
      <c r="E109">
        <v>50.2</v>
      </c>
      <c r="F109">
        <v>49.8</v>
      </c>
    </row>
    <row r="110" spans="1:6" x14ac:dyDescent="0.3">
      <c r="A110">
        <v>2036</v>
      </c>
      <c r="B110">
        <v>69.3</v>
      </c>
      <c r="C110">
        <v>36.799999999999997</v>
      </c>
      <c r="D110">
        <v>32.5</v>
      </c>
      <c r="E110">
        <v>53.1</v>
      </c>
      <c r="F110">
        <v>46.9</v>
      </c>
    </row>
    <row r="111" spans="1:6" x14ac:dyDescent="0.3">
      <c r="A111">
        <v>2041</v>
      </c>
      <c r="B111">
        <v>69.599999999999994</v>
      </c>
      <c r="C111">
        <v>39</v>
      </c>
      <c r="D111">
        <v>30.6</v>
      </c>
      <c r="E111">
        <v>56</v>
      </c>
      <c r="F111">
        <v>44</v>
      </c>
    </row>
    <row r="112" spans="1:6" x14ac:dyDescent="0.3">
      <c r="A112">
        <v>2046</v>
      </c>
      <c r="B112">
        <v>69.599999999999994</v>
      </c>
      <c r="C112">
        <v>41</v>
      </c>
      <c r="D112">
        <v>28.6</v>
      </c>
      <c r="E112">
        <v>58.9</v>
      </c>
      <c r="F112">
        <v>41.1</v>
      </c>
    </row>
    <row r="113" spans="1:6" x14ac:dyDescent="0.3">
      <c r="A113">
        <v>2051</v>
      </c>
      <c r="B113">
        <v>69.2</v>
      </c>
      <c r="C113">
        <v>42.7</v>
      </c>
      <c r="D113">
        <v>26.5</v>
      </c>
      <c r="E113">
        <v>61.7</v>
      </c>
      <c r="F113">
        <v>38.299999999999997</v>
      </c>
    </row>
    <row r="114" spans="1:6" x14ac:dyDescent="0.3">
      <c r="A114" t="s">
        <v>12</v>
      </c>
    </row>
    <row r="115" spans="1:6" x14ac:dyDescent="0.3">
      <c r="A115">
        <v>2011</v>
      </c>
      <c r="B115">
        <v>33.4</v>
      </c>
      <c r="C115">
        <v>15.9</v>
      </c>
      <c r="D115">
        <v>17.5</v>
      </c>
      <c r="E115">
        <v>47.7</v>
      </c>
      <c r="F115">
        <v>52.3</v>
      </c>
    </row>
    <row r="116" spans="1:6" x14ac:dyDescent="0.3">
      <c r="A116">
        <v>2016</v>
      </c>
      <c r="B116">
        <v>34.6</v>
      </c>
      <c r="C116">
        <v>19.100000000000001</v>
      </c>
      <c r="D116">
        <v>15.5</v>
      </c>
      <c r="E116">
        <v>55.2</v>
      </c>
      <c r="F116">
        <v>44.8</v>
      </c>
    </row>
    <row r="117" spans="1:6" x14ac:dyDescent="0.3">
      <c r="A117">
        <v>2021</v>
      </c>
      <c r="B117">
        <v>35.5</v>
      </c>
      <c r="C117">
        <v>22.2</v>
      </c>
      <c r="D117">
        <v>13.3</v>
      </c>
      <c r="E117">
        <v>62.5</v>
      </c>
      <c r="F117">
        <v>37.5</v>
      </c>
    </row>
    <row r="118" spans="1:6" x14ac:dyDescent="0.3">
      <c r="A118">
        <v>2026</v>
      </c>
      <c r="B118">
        <v>35.799999999999997</v>
      </c>
      <c r="C118">
        <v>24.8</v>
      </c>
      <c r="D118">
        <v>11</v>
      </c>
      <c r="E118">
        <v>69.3</v>
      </c>
      <c r="F118">
        <v>30.7</v>
      </c>
    </row>
    <row r="119" spans="1:6" x14ac:dyDescent="0.3">
      <c r="A119">
        <v>2031</v>
      </c>
      <c r="B119">
        <v>36.1</v>
      </c>
      <c r="C119">
        <v>27.2</v>
      </c>
      <c r="D119">
        <v>8.9</v>
      </c>
      <c r="E119">
        <v>75.3</v>
      </c>
      <c r="F119">
        <v>24.7</v>
      </c>
    </row>
    <row r="120" spans="1:6" x14ac:dyDescent="0.3">
      <c r="A120">
        <v>2036</v>
      </c>
      <c r="B120">
        <v>36.1</v>
      </c>
      <c r="C120">
        <v>29.1</v>
      </c>
      <c r="D120">
        <v>7</v>
      </c>
      <c r="E120">
        <v>80.5</v>
      </c>
      <c r="F120">
        <v>19.5</v>
      </c>
    </row>
    <row r="121" spans="1:6" x14ac:dyDescent="0.3">
      <c r="A121">
        <v>2041</v>
      </c>
      <c r="B121">
        <v>36.200000000000003</v>
      </c>
      <c r="C121">
        <v>30.7</v>
      </c>
      <c r="D121">
        <v>5.5</v>
      </c>
      <c r="E121">
        <v>84.8</v>
      </c>
      <c r="F121">
        <v>15.2</v>
      </c>
    </row>
    <row r="122" spans="1:6" x14ac:dyDescent="0.3">
      <c r="A122">
        <v>2046</v>
      </c>
      <c r="B122">
        <v>35.9</v>
      </c>
      <c r="C122">
        <v>31.7</v>
      </c>
      <c r="D122">
        <v>4.2</v>
      </c>
      <c r="E122">
        <v>88.3</v>
      </c>
      <c r="F122">
        <v>11.7</v>
      </c>
    </row>
    <row r="123" spans="1:6" x14ac:dyDescent="0.3">
      <c r="A123">
        <v>2051</v>
      </c>
      <c r="B123">
        <v>35.5</v>
      </c>
      <c r="C123">
        <v>32.299999999999997</v>
      </c>
      <c r="D123">
        <v>3.2</v>
      </c>
      <c r="E123">
        <v>91.1</v>
      </c>
      <c r="F123">
        <v>8.9</v>
      </c>
    </row>
    <row r="124" spans="1:6" x14ac:dyDescent="0.3">
      <c r="A124" t="s">
        <v>23</v>
      </c>
    </row>
    <row r="125" spans="1:6" x14ac:dyDescent="0.3">
      <c r="A125">
        <v>2011</v>
      </c>
      <c r="B125">
        <v>72.599999999999994</v>
      </c>
      <c r="C125">
        <v>20.100000000000001</v>
      </c>
      <c r="D125">
        <v>52.5</v>
      </c>
      <c r="E125">
        <v>27.6</v>
      </c>
      <c r="F125">
        <v>72.400000000000006</v>
      </c>
    </row>
    <row r="126" spans="1:6" x14ac:dyDescent="0.3">
      <c r="A126">
        <v>2016</v>
      </c>
      <c r="B126">
        <v>78.3</v>
      </c>
      <c r="C126">
        <v>23</v>
      </c>
      <c r="D126">
        <v>55.3</v>
      </c>
      <c r="E126">
        <v>29.4</v>
      </c>
      <c r="F126">
        <v>70.599999999999994</v>
      </c>
    </row>
    <row r="127" spans="1:6" x14ac:dyDescent="0.3">
      <c r="A127">
        <v>2021</v>
      </c>
      <c r="B127">
        <v>84</v>
      </c>
      <c r="C127">
        <v>26.2</v>
      </c>
      <c r="D127">
        <v>57.8</v>
      </c>
      <c r="E127">
        <v>31.2</v>
      </c>
      <c r="F127">
        <v>68.8</v>
      </c>
    </row>
    <row r="128" spans="1:6" x14ac:dyDescent="0.3">
      <c r="A128">
        <v>2026</v>
      </c>
      <c r="B128">
        <v>89.4</v>
      </c>
      <c r="C128">
        <v>29.6</v>
      </c>
      <c r="D128">
        <v>59.8</v>
      </c>
      <c r="E128">
        <v>33.1</v>
      </c>
      <c r="F128">
        <v>66.900000000000006</v>
      </c>
    </row>
    <row r="129" spans="1:6" x14ac:dyDescent="0.3">
      <c r="A129">
        <v>2031</v>
      </c>
      <c r="B129">
        <v>94.1</v>
      </c>
      <c r="C129">
        <v>32.9</v>
      </c>
      <c r="D129">
        <v>61.2</v>
      </c>
      <c r="E129">
        <v>35</v>
      </c>
      <c r="F129">
        <v>65</v>
      </c>
    </row>
    <row r="130" spans="1:6" x14ac:dyDescent="0.3">
      <c r="A130">
        <v>2036</v>
      </c>
      <c r="B130">
        <v>98</v>
      </c>
      <c r="C130">
        <v>36.299999999999997</v>
      </c>
      <c r="D130">
        <v>61.7</v>
      </c>
      <c r="E130">
        <v>37</v>
      </c>
      <c r="F130">
        <v>63</v>
      </c>
    </row>
    <row r="131" spans="1:6" x14ac:dyDescent="0.3">
      <c r="A131">
        <v>2041</v>
      </c>
      <c r="B131">
        <v>101.3</v>
      </c>
      <c r="C131">
        <v>39.5</v>
      </c>
      <c r="D131">
        <v>61.8</v>
      </c>
      <c r="E131">
        <v>39</v>
      </c>
      <c r="F131">
        <v>61</v>
      </c>
    </row>
    <row r="132" spans="1:6" x14ac:dyDescent="0.3">
      <c r="A132">
        <v>2046</v>
      </c>
      <c r="B132">
        <v>104.1</v>
      </c>
      <c r="C132">
        <v>42.7</v>
      </c>
      <c r="D132">
        <v>61.4</v>
      </c>
      <c r="E132">
        <v>41</v>
      </c>
      <c r="F132">
        <v>59</v>
      </c>
    </row>
    <row r="133" spans="1:6" x14ac:dyDescent="0.3">
      <c r="A133">
        <v>2051</v>
      </c>
      <c r="B133">
        <v>106.3</v>
      </c>
      <c r="C133">
        <v>45.8</v>
      </c>
      <c r="D133">
        <v>60.5</v>
      </c>
      <c r="E133">
        <v>43.1</v>
      </c>
      <c r="F133">
        <v>56.9</v>
      </c>
    </row>
    <row r="134" spans="1:6" x14ac:dyDescent="0.3">
      <c r="A134" t="s">
        <v>24</v>
      </c>
    </row>
    <row r="135" spans="1:6" x14ac:dyDescent="0.3">
      <c r="A135">
        <v>2011</v>
      </c>
      <c r="B135">
        <v>112.3</v>
      </c>
      <c r="C135">
        <v>50.8</v>
      </c>
      <c r="D135">
        <v>61.5</v>
      </c>
      <c r="E135">
        <v>45.3</v>
      </c>
      <c r="F135">
        <v>54.7</v>
      </c>
    </row>
    <row r="136" spans="1:6" x14ac:dyDescent="0.3">
      <c r="A136">
        <v>2016</v>
      </c>
      <c r="B136">
        <v>117.8</v>
      </c>
      <c r="C136">
        <v>56</v>
      </c>
      <c r="D136">
        <v>61.8</v>
      </c>
      <c r="E136">
        <v>47.5</v>
      </c>
      <c r="F136">
        <v>52.5</v>
      </c>
    </row>
    <row r="137" spans="1:6" x14ac:dyDescent="0.3">
      <c r="A137">
        <v>2021</v>
      </c>
      <c r="B137">
        <v>121.6</v>
      </c>
      <c r="C137">
        <v>60.6</v>
      </c>
      <c r="D137">
        <v>61</v>
      </c>
      <c r="E137">
        <v>49.8</v>
      </c>
      <c r="F137">
        <v>50.2</v>
      </c>
    </row>
    <row r="138" spans="1:6" x14ac:dyDescent="0.3">
      <c r="A138">
        <v>2026</v>
      </c>
      <c r="B138">
        <v>124.1</v>
      </c>
      <c r="C138">
        <v>64.7</v>
      </c>
      <c r="D138">
        <v>59.4</v>
      </c>
      <c r="E138">
        <v>52.1</v>
      </c>
      <c r="F138">
        <v>47.9</v>
      </c>
    </row>
    <row r="139" spans="1:6" x14ac:dyDescent="0.3">
      <c r="A139">
        <v>2031</v>
      </c>
      <c r="B139">
        <v>126</v>
      </c>
      <c r="C139">
        <v>68.5</v>
      </c>
      <c r="D139">
        <v>57.5</v>
      </c>
      <c r="E139">
        <v>54.4</v>
      </c>
      <c r="F139">
        <v>45.6</v>
      </c>
    </row>
    <row r="140" spans="1:6" x14ac:dyDescent="0.3">
      <c r="A140">
        <v>2036</v>
      </c>
      <c r="B140">
        <v>127.4</v>
      </c>
      <c r="C140">
        <v>72.2</v>
      </c>
      <c r="D140">
        <v>55.2</v>
      </c>
      <c r="E140">
        <v>56.7</v>
      </c>
      <c r="F140">
        <v>43.3</v>
      </c>
    </row>
    <row r="141" spans="1:6" x14ac:dyDescent="0.3">
      <c r="A141">
        <v>2041</v>
      </c>
      <c r="B141">
        <v>128.1</v>
      </c>
      <c r="C141">
        <v>75.599999999999994</v>
      </c>
      <c r="D141">
        <v>52.5</v>
      </c>
      <c r="E141">
        <v>59</v>
      </c>
      <c r="F141">
        <v>41</v>
      </c>
    </row>
    <row r="142" spans="1:6" x14ac:dyDescent="0.3">
      <c r="A142">
        <v>2046</v>
      </c>
      <c r="B142">
        <v>127.9</v>
      </c>
      <c r="C142">
        <v>78.3</v>
      </c>
      <c r="D142">
        <v>49.6</v>
      </c>
      <c r="E142">
        <v>61.2</v>
      </c>
      <c r="F142">
        <v>38.799999999999997</v>
      </c>
    </row>
    <row r="143" spans="1:6" x14ac:dyDescent="0.3">
      <c r="A143">
        <v>2051</v>
      </c>
      <c r="B143">
        <v>126.9</v>
      </c>
      <c r="C143">
        <v>80.5</v>
      </c>
      <c r="D143">
        <v>46.4</v>
      </c>
      <c r="E143">
        <v>63.4</v>
      </c>
      <c r="F143">
        <v>36.6</v>
      </c>
    </row>
    <row r="144" spans="1:6" x14ac:dyDescent="0.3">
      <c r="A144" t="s">
        <v>25</v>
      </c>
    </row>
    <row r="145" spans="1:6" x14ac:dyDescent="0.3">
      <c r="A145">
        <v>2011</v>
      </c>
      <c r="B145">
        <v>42</v>
      </c>
      <c r="C145">
        <v>7</v>
      </c>
      <c r="D145">
        <v>35</v>
      </c>
      <c r="E145">
        <v>16.7</v>
      </c>
      <c r="F145">
        <v>83.3</v>
      </c>
    </row>
    <row r="146" spans="1:6" x14ac:dyDescent="0.3">
      <c r="A146">
        <v>2016</v>
      </c>
      <c r="B146">
        <v>44.2</v>
      </c>
      <c r="C146">
        <v>8</v>
      </c>
      <c r="D146">
        <v>36.200000000000003</v>
      </c>
      <c r="E146">
        <v>18.2</v>
      </c>
      <c r="F146">
        <v>81.8</v>
      </c>
    </row>
    <row r="147" spans="1:6" x14ac:dyDescent="0.3">
      <c r="A147">
        <v>2021</v>
      </c>
      <c r="B147">
        <v>46.1</v>
      </c>
      <c r="C147">
        <v>9.1999999999999993</v>
      </c>
      <c r="D147">
        <v>36.9</v>
      </c>
      <c r="E147">
        <v>19.899999999999999</v>
      </c>
      <c r="F147">
        <v>80.099999999999994</v>
      </c>
    </row>
    <row r="148" spans="1:6" x14ac:dyDescent="0.3">
      <c r="A148">
        <v>2026</v>
      </c>
      <c r="B148">
        <v>47.6</v>
      </c>
      <c r="C148">
        <v>10.3</v>
      </c>
      <c r="D148">
        <v>37.299999999999997</v>
      </c>
      <c r="E148">
        <v>21.6</v>
      </c>
      <c r="F148">
        <v>78.400000000000006</v>
      </c>
    </row>
    <row r="149" spans="1:6" x14ac:dyDescent="0.3">
      <c r="A149">
        <v>2031</v>
      </c>
      <c r="B149">
        <v>48.8</v>
      </c>
      <c r="C149">
        <v>11.5</v>
      </c>
      <c r="D149">
        <v>37.299999999999997</v>
      </c>
      <c r="E149">
        <v>23.5</v>
      </c>
      <c r="F149">
        <v>76.5</v>
      </c>
    </row>
    <row r="150" spans="1:6" x14ac:dyDescent="0.3">
      <c r="A150">
        <v>2036</v>
      </c>
      <c r="B150">
        <v>49.7</v>
      </c>
      <c r="C150">
        <v>12.7</v>
      </c>
      <c r="D150">
        <v>37</v>
      </c>
      <c r="E150">
        <v>25.5</v>
      </c>
      <c r="F150">
        <v>74.5</v>
      </c>
    </row>
    <row r="151" spans="1:6" x14ac:dyDescent="0.3">
      <c r="A151">
        <v>2041</v>
      </c>
      <c r="B151">
        <v>50.2</v>
      </c>
      <c r="C151">
        <v>13.8</v>
      </c>
      <c r="D151">
        <v>36.4</v>
      </c>
      <c r="E151">
        <v>27.5</v>
      </c>
      <c r="F151">
        <v>72.5</v>
      </c>
    </row>
    <row r="152" spans="1:6" x14ac:dyDescent="0.3">
      <c r="A152">
        <v>2046</v>
      </c>
      <c r="B152">
        <v>50.4</v>
      </c>
      <c r="C152">
        <v>15</v>
      </c>
      <c r="D152">
        <v>35.4</v>
      </c>
      <c r="E152">
        <v>29.7</v>
      </c>
      <c r="F152">
        <v>70.3</v>
      </c>
    </row>
    <row r="153" spans="1:6" x14ac:dyDescent="0.3">
      <c r="A153">
        <v>2051</v>
      </c>
      <c r="B153">
        <v>50.4</v>
      </c>
      <c r="C153">
        <v>16.100000000000001</v>
      </c>
      <c r="D153">
        <v>34.299999999999997</v>
      </c>
      <c r="E153">
        <v>32</v>
      </c>
      <c r="F153">
        <v>68</v>
      </c>
    </row>
    <row r="154" spans="1:6" x14ac:dyDescent="0.3">
      <c r="A154" t="s">
        <v>26</v>
      </c>
    </row>
    <row r="155" spans="1:6" x14ac:dyDescent="0.3">
      <c r="A155">
        <v>2011</v>
      </c>
      <c r="B155">
        <v>27.7</v>
      </c>
      <c r="C155">
        <v>10.4</v>
      </c>
      <c r="D155">
        <v>17.3</v>
      </c>
      <c r="E155">
        <v>37.5</v>
      </c>
      <c r="F155">
        <v>62.5</v>
      </c>
    </row>
    <row r="156" spans="1:6" x14ac:dyDescent="0.3">
      <c r="A156">
        <v>2016</v>
      </c>
      <c r="B156">
        <v>28.9</v>
      </c>
      <c r="C156">
        <v>11.6</v>
      </c>
      <c r="D156">
        <v>17.3</v>
      </c>
      <c r="E156">
        <v>40</v>
      </c>
      <c r="F156">
        <v>60</v>
      </c>
    </row>
    <row r="157" spans="1:6" x14ac:dyDescent="0.3">
      <c r="A157">
        <v>2021</v>
      </c>
      <c r="B157">
        <v>29.6</v>
      </c>
      <c r="C157">
        <v>12.6</v>
      </c>
      <c r="D157">
        <v>17</v>
      </c>
      <c r="E157">
        <v>42.6</v>
      </c>
      <c r="F157">
        <v>57.4</v>
      </c>
    </row>
    <row r="158" spans="1:6" x14ac:dyDescent="0.3">
      <c r="A158">
        <v>2026</v>
      </c>
      <c r="B158">
        <v>29.9</v>
      </c>
      <c r="C158">
        <v>13.5</v>
      </c>
      <c r="D158">
        <v>16.399999999999999</v>
      </c>
      <c r="E158">
        <v>45.2</v>
      </c>
      <c r="F158">
        <v>54.8</v>
      </c>
    </row>
    <row r="159" spans="1:6" x14ac:dyDescent="0.3">
      <c r="A159">
        <v>2031</v>
      </c>
      <c r="B159">
        <v>30.1</v>
      </c>
      <c r="C159">
        <v>14.4</v>
      </c>
      <c r="D159">
        <v>15.7</v>
      </c>
      <c r="E159">
        <v>47.8</v>
      </c>
      <c r="F159">
        <v>52.2</v>
      </c>
    </row>
    <row r="160" spans="1:6" x14ac:dyDescent="0.3">
      <c r="A160">
        <v>2036</v>
      </c>
      <c r="B160">
        <v>30.2</v>
      </c>
      <c r="C160">
        <v>15.2</v>
      </c>
      <c r="D160">
        <v>15</v>
      </c>
      <c r="E160">
        <v>50.4</v>
      </c>
      <c r="F160">
        <v>49.6</v>
      </c>
    </row>
    <row r="161" spans="1:6" x14ac:dyDescent="0.3">
      <c r="A161">
        <v>2041</v>
      </c>
      <c r="B161">
        <v>30.1</v>
      </c>
      <c r="C161">
        <v>16</v>
      </c>
      <c r="D161">
        <v>14.1</v>
      </c>
      <c r="E161">
        <v>53.1</v>
      </c>
      <c r="F161">
        <v>46.9</v>
      </c>
    </row>
    <row r="162" spans="1:6" x14ac:dyDescent="0.3">
      <c r="A162">
        <v>2046</v>
      </c>
      <c r="B162">
        <v>29.9</v>
      </c>
      <c r="C162">
        <v>16.7</v>
      </c>
      <c r="D162">
        <v>13.2</v>
      </c>
      <c r="E162">
        <v>55.7</v>
      </c>
      <c r="F162">
        <v>44.3</v>
      </c>
    </row>
    <row r="163" spans="1:6" x14ac:dyDescent="0.3">
      <c r="A163">
        <v>2051</v>
      </c>
      <c r="B163">
        <v>29.4</v>
      </c>
      <c r="C163">
        <v>17.100000000000001</v>
      </c>
      <c r="D163">
        <v>12.3</v>
      </c>
      <c r="E163">
        <v>58.3</v>
      </c>
      <c r="F163">
        <v>41.7</v>
      </c>
    </row>
    <row r="164" spans="1:6" x14ac:dyDescent="0.3">
      <c r="A164" t="s">
        <v>27</v>
      </c>
    </row>
    <row r="165" spans="1:6" x14ac:dyDescent="0.3">
      <c r="A165">
        <v>2011</v>
      </c>
      <c r="B165">
        <v>68.599999999999994</v>
      </c>
      <c r="C165">
        <v>17</v>
      </c>
      <c r="D165">
        <v>51.6</v>
      </c>
      <c r="E165">
        <v>24.9</v>
      </c>
      <c r="F165">
        <v>75.099999999999994</v>
      </c>
    </row>
    <row r="166" spans="1:6" x14ac:dyDescent="0.3">
      <c r="A166">
        <v>2016</v>
      </c>
      <c r="B166">
        <v>74.2</v>
      </c>
      <c r="C166">
        <v>19.7</v>
      </c>
      <c r="D166">
        <v>54.5</v>
      </c>
      <c r="E166">
        <v>26.6</v>
      </c>
      <c r="F166">
        <v>73.400000000000006</v>
      </c>
    </row>
    <row r="167" spans="1:6" x14ac:dyDescent="0.3">
      <c r="A167">
        <v>2021</v>
      </c>
      <c r="B167">
        <v>80</v>
      </c>
      <c r="C167">
        <v>22.8</v>
      </c>
      <c r="D167">
        <v>57.2</v>
      </c>
      <c r="E167">
        <v>28.5</v>
      </c>
      <c r="F167">
        <v>71.5</v>
      </c>
    </row>
    <row r="168" spans="1:6" x14ac:dyDescent="0.3">
      <c r="A168">
        <v>2026</v>
      </c>
      <c r="B168">
        <v>85.1</v>
      </c>
      <c r="C168">
        <v>25.9</v>
      </c>
      <c r="D168">
        <v>59.2</v>
      </c>
      <c r="E168">
        <v>30.4</v>
      </c>
      <c r="F168">
        <v>69.599999999999994</v>
      </c>
    </row>
    <row r="169" spans="1:6" x14ac:dyDescent="0.3">
      <c r="A169">
        <v>2031</v>
      </c>
      <c r="B169">
        <v>89.7</v>
      </c>
      <c r="C169">
        <v>29.1</v>
      </c>
      <c r="D169">
        <v>60.6</v>
      </c>
      <c r="E169">
        <v>32.4</v>
      </c>
      <c r="F169">
        <v>67.599999999999994</v>
      </c>
    </row>
    <row r="170" spans="1:6" x14ac:dyDescent="0.3">
      <c r="A170">
        <v>2036</v>
      </c>
      <c r="B170">
        <v>93.5</v>
      </c>
      <c r="C170">
        <v>32.200000000000003</v>
      </c>
      <c r="D170">
        <v>61.3</v>
      </c>
      <c r="E170">
        <v>34.4</v>
      </c>
      <c r="F170">
        <v>65.599999999999994</v>
      </c>
    </row>
    <row r="171" spans="1:6" x14ac:dyDescent="0.3">
      <c r="A171">
        <v>2041</v>
      </c>
      <c r="B171">
        <v>96.5</v>
      </c>
      <c r="C171">
        <v>35.200000000000003</v>
      </c>
      <c r="D171">
        <v>61.3</v>
      </c>
      <c r="E171">
        <v>36.5</v>
      </c>
      <c r="F171">
        <v>63.5</v>
      </c>
    </row>
    <row r="172" spans="1:6" x14ac:dyDescent="0.3">
      <c r="A172">
        <v>2046</v>
      </c>
      <c r="B172">
        <v>99.3</v>
      </c>
      <c r="C172">
        <v>38.4</v>
      </c>
      <c r="D172">
        <v>60.9</v>
      </c>
      <c r="E172">
        <v>38.700000000000003</v>
      </c>
      <c r="F172">
        <v>61.3</v>
      </c>
    </row>
    <row r="173" spans="1:6" x14ac:dyDescent="0.3">
      <c r="A173">
        <v>2051</v>
      </c>
      <c r="B173">
        <v>101.4</v>
      </c>
      <c r="C173">
        <v>41.5</v>
      </c>
      <c r="D173">
        <v>59.9</v>
      </c>
      <c r="E173">
        <v>40.9</v>
      </c>
      <c r="F173">
        <v>59.1</v>
      </c>
    </row>
    <row r="174" spans="1:6" x14ac:dyDescent="0.3">
      <c r="A174" t="s">
        <v>28</v>
      </c>
    </row>
    <row r="175" spans="1:6" x14ac:dyDescent="0.3">
      <c r="A175">
        <v>2011</v>
      </c>
      <c r="B175">
        <v>72.099999999999994</v>
      </c>
      <c r="C175">
        <v>34.9</v>
      </c>
      <c r="D175">
        <v>37.200000000000003</v>
      </c>
      <c r="E175">
        <v>48.4</v>
      </c>
      <c r="F175">
        <v>51.6</v>
      </c>
    </row>
    <row r="176" spans="1:6" x14ac:dyDescent="0.3">
      <c r="A176">
        <v>2016</v>
      </c>
      <c r="B176">
        <v>74.8</v>
      </c>
      <c r="C176">
        <v>38.200000000000003</v>
      </c>
      <c r="D176">
        <v>36.6</v>
      </c>
      <c r="E176">
        <v>51.1</v>
      </c>
      <c r="F176">
        <v>48.9</v>
      </c>
    </row>
    <row r="177" spans="1:6" x14ac:dyDescent="0.3">
      <c r="A177">
        <v>2021</v>
      </c>
      <c r="B177">
        <v>76.7</v>
      </c>
      <c r="C177">
        <v>41.2</v>
      </c>
      <c r="D177">
        <v>35.5</v>
      </c>
      <c r="E177">
        <v>53.7</v>
      </c>
      <c r="F177">
        <v>46.3</v>
      </c>
    </row>
    <row r="178" spans="1:6" x14ac:dyDescent="0.3">
      <c r="A178">
        <v>2026</v>
      </c>
      <c r="B178">
        <v>77.8</v>
      </c>
      <c r="C178">
        <v>43.9</v>
      </c>
      <c r="D178">
        <v>33.9</v>
      </c>
      <c r="E178">
        <v>56.4</v>
      </c>
      <c r="F178">
        <v>43.6</v>
      </c>
    </row>
    <row r="179" spans="1:6" x14ac:dyDescent="0.3">
      <c r="A179">
        <v>2031</v>
      </c>
      <c r="B179">
        <v>78.400000000000006</v>
      </c>
      <c r="C179">
        <v>46.3</v>
      </c>
      <c r="D179">
        <v>32.1</v>
      </c>
      <c r="E179">
        <v>59</v>
      </c>
      <c r="F179">
        <v>41</v>
      </c>
    </row>
    <row r="180" spans="1:6" x14ac:dyDescent="0.3">
      <c r="A180">
        <v>2036</v>
      </c>
      <c r="B180">
        <v>78.7</v>
      </c>
      <c r="C180">
        <v>48.4</v>
      </c>
      <c r="D180">
        <v>30.3</v>
      </c>
      <c r="E180">
        <v>61.5</v>
      </c>
      <c r="F180">
        <v>38.5</v>
      </c>
    </row>
    <row r="181" spans="1:6" x14ac:dyDescent="0.3">
      <c r="A181">
        <v>2041</v>
      </c>
      <c r="B181">
        <v>78.7</v>
      </c>
      <c r="C181">
        <v>50.4</v>
      </c>
      <c r="D181">
        <v>28.3</v>
      </c>
      <c r="E181">
        <v>64</v>
      </c>
      <c r="F181">
        <v>36</v>
      </c>
    </row>
    <row r="182" spans="1:6" x14ac:dyDescent="0.3">
      <c r="A182">
        <v>2046</v>
      </c>
      <c r="B182">
        <v>78.099999999999994</v>
      </c>
      <c r="C182">
        <v>51.9</v>
      </c>
      <c r="D182">
        <v>26.2</v>
      </c>
      <c r="E182">
        <v>66.400000000000006</v>
      </c>
      <c r="F182">
        <v>33.6</v>
      </c>
    </row>
    <row r="183" spans="1:6" x14ac:dyDescent="0.3">
      <c r="A183">
        <v>2051</v>
      </c>
      <c r="B183">
        <v>77</v>
      </c>
      <c r="C183">
        <v>53</v>
      </c>
      <c r="D183">
        <v>24</v>
      </c>
      <c r="E183">
        <v>68.8</v>
      </c>
      <c r="F183">
        <v>31.2</v>
      </c>
    </row>
    <row r="184" spans="1:6" x14ac:dyDescent="0.3">
      <c r="A184" t="s">
        <v>29</v>
      </c>
    </row>
    <row r="185" spans="1:6" x14ac:dyDescent="0.3">
      <c r="A185">
        <v>2011</v>
      </c>
      <c r="B185">
        <v>35.200000000000003</v>
      </c>
      <c r="C185">
        <v>13.6</v>
      </c>
      <c r="D185">
        <v>21.6</v>
      </c>
      <c r="E185">
        <v>38.700000000000003</v>
      </c>
      <c r="F185">
        <v>61.3</v>
      </c>
    </row>
    <row r="186" spans="1:6" x14ac:dyDescent="0.3">
      <c r="A186">
        <v>2016</v>
      </c>
      <c r="B186">
        <v>37</v>
      </c>
      <c r="C186">
        <v>15.6</v>
      </c>
      <c r="D186">
        <v>21.4</v>
      </c>
      <c r="E186">
        <v>42.1</v>
      </c>
      <c r="F186">
        <v>57.9</v>
      </c>
    </row>
    <row r="187" spans="1:6" x14ac:dyDescent="0.3">
      <c r="A187">
        <v>2021</v>
      </c>
      <c r="B187">
        <v>38.4</v>
      </c>
      <c r="C187">
        <v>17.5</v>
      </c>
      <c r="D187">
        <v>20.9</v>
      </c>
      <c r="E187">
        <v>45.6</v>
      </c>
      <c r="F187">
        <v>54.4</v>
      </c>
    </row>
    <row r="188" spans="1:6" x14ac:dyDescent="0.3">
      <c r="A188">
        <v>2026</v>
      </c>
      <c r="B188">
        <v>39.6</v>
      </c>
      <c r="C188">
        <v>19.399999999999999</v>
      </c>
      <c r="D188">
        <v>20.2</v>
      </c>
      <c r="E188">
        <v>49.1</v>
      </c>
      <c r="F188">
        <v>50.9</v>
      </c>
    </row>
    <row r="189" spans="1:6" x14ac:dyDescent="0.3">
      <c r="A189">
        <v>2031</v>
      </c>
      <c r="B189">
        <v>40.5</v>
      </c>
      <c r="C189">
        <v>21.3</v>
      </c>
      <c r="D189">
        <v>19.2</v>
      </c>
      <c r="E189">
        <v>52.7</v>
      </c>
      <c r="F189">
        <v>47.3</v>
      </c>
    </row>
    <row r="190" spans="1:6" x14ac:dyDescent="0.3">
      <c r="A190">
        <v>2036</v>
      </c>
      <c r="B190">
        <v>41</v>
      </c>
      <c r="C190">
        <v>23</v>
      </c>
      <c r="D190">
        <v>18</v>
      </c>
      <c r="E190">
        <v>56.2</v>
      </c>
      <c r="F190">
        <v>43.8</v>
      </c>
    </row>
    <row r="191" spans="1:6" x14ac:dyDescent="0.3">
      <c r="A191">
        <v>2041</v>
      </c>
      <c r="B191">
        <v>41.3</v>
      </c>
      <c r="C191">
        <v>24.6</v>
      </c>
      <c r="D191">
        <v>16.7</v>
      </c>
      <c r="E191">
        <v>59.6</v>
      </c>
      <c r="F191">
        <v>40.4</v>
      </c>
    </row>
    <row r="192" spans="1:6" x14ac:dyDescent="0.3">
      <c r="A192">
        <v>2046</v>
      </c>
      <c r="B192">
        <v>41.5</v>
      </c>
      <c r="C192">
        <v>26.1</v>
      </c>
      <c r="D192">
        <v>15.4</v>
      </c>
      <c r="E192">
        <v>63</v>
      </c>
      <c r="F192">
        <v>37</v>
      </c>
    </row>
    <row r="193" spans="1:6" x14ac:dyDescent="0.3">
      <c r="A193">
        <v>2051</v>
      </c>
      <c r="B193">
        <v>41.3</v>
      </c>
      <c r="C193">
        <v>27.4</v>
      </c>
      <c r="D193">
        <v>13.9</v>
      </c>
      <c r="E193">
        <v>66.3</v>
      </c>
      <c r="F193">
        <v>33.700000000000003</v>
      </c>
    </row>
    <row r="194" spans="1:6" x14ac:dyDescent="0.3">
      <c r="A194" t="s">
        <v>30</v>
      </c>
    </row>
    <row r="195" spans="1:6" x14ac:dyDescent="0.3">
      <c r="A195">
        <v>2011</v>
      </c>
      <c r="B195">
        <v>199.8</v>
      </c>
      <c r="C195">
        <v>44.5</v>
      </c>
      <c r="D195">
        <v>155.30000000000001</v>
      </c>
      <c r="E195">
        <v>22.3</v>
      </c>
      <c r="F195">
        <v>77.7</v>
      </c>
    </row>
    <row r="196" spans="1:6" x14ac:dyDescent="0.3">
      <c r="A196">
        <v>2016</v>
      </c>
      <c r="B196">
        <v>216.6</v>
      </c>
      <c r="C196">
        <v>52</v>
      </c>
      <c r="D196">
        <v>164.6</v>
      </c>
      <c r="E196">
        <v>24</v>
      </c>
      <c r="F196">
        <v>76</v>
      </c>
    </row>
    <row r="197" spans="1:6" x14ac:dyDescent="0.3">
      <c r="A197">
        <v>2021</v>
      </c>
      <c r="B197">
        <v>234.9</v>
      </c>
      <c r="C197">
        <v>55.7</v>
      </c>
      <c r="D197">
        <v>179.2</v>
      </c>
      <c r="E197">
        <v>25.7</v>
      </c>
      <c r="F197">
        <v>76.3</v>
      </c>
    </row>
    <row r="198" spans="1:6" x14ac:dyDescent="0.3">
      <c r="A198">
        <v>2026</v>
      </c>
      <c r="B198">
        <v>251.9</v>
      </c>
      <c r="C198">
        <v>59.8</v>
      </c>
      <c r="D198">
        <v>192.1</v>
      </c>
      <c r="E198">
        <v>27.6</v>
      </c>
      <c r="F198">
        <v>76.3</v>
      </c>
    </row>
    <row r="199" spans="1:6" x14ac:dyDescent="0.3">
      <c r="A199">
        <v>2031</v>
      </c>
      <c r="B199">
        <v>266.60000000000002</v>
      </c>
      <c r="C199">
        <v>63.9</v>
      </c>
      <c r="D199">
        <v>202.7</v>
      </c>
      <c r="E199">
        <v>29.5</v>
      </c>
      <c r="F199">
        <v>76</v>
      </c>
    </row>
    <row r="200" spans="1:6" x14ac:dyDescent="0.3">
      <c r="A200">
        <v>2036</v>
      </c>
      <c r="B200">
        <v>278.39999999999998</v>
      </c>
      <c r="C200">
        <v>68.2</v>
      </c>
      <c r="D200">
        <v>210.2</v>
      </c>
      <c r="E200">
        <v>31.5</v>
      </c>
      <c r="F200">
        <v>75.5</v>
      </c>
    </row>
    <row r="201" spans="1:6" x14ac:dyDescent="0.3">
      <c r="A201">
        <v>2041</v>
      </c>
      <c r="B201">
        <v>288.7</v>
      </c>
      <c r="C201">
        <v>72.8</v>
      </c>
      <c r="D201">
        <v>215.9</v>
      </c>
      <c r="E201">
        <v>33.6</v>
      </c>
      <c r="F201">
        <v>74.8</v>
      </c>
    </row>
    <row r="202" spans="1:6" x14ac:dyDescent="0.3">
      <c r="A202">
        <v>2046</v>
      </c>
      <c r="B202">
        <v>298.39999999999998</v>
      </c>
      <c r="C202">
        <v>77.5</v>
      </c>
      <c r="D202">
        <v>220.9</v>
      </c>
      <c r="E202">
        <v>35.799999999999997</v>
      </c>
      <c r="F202">
        <v>74</v>
      </c>
    </row>
    <row r="203" spans="1:6" x14ac:dyDescent="0.3">
      <c r="A203">
        <v>2051</v>
      </c>
      <c r="B203">
        <v>307.3</v>
      </c>
      <c r="C203">
        <v>82.3</v>
      </c>
      <c r="D203">
        <v>225</v>
      </c>
      <c r="E203">
        <v>38</v>
      </c>
      <c r="F203">
        <v>73.2</v>
      </c>
    </row>
    <row r="204" spans="1:6" x14ac:dyDescent="0.3">
      <c r="A204" t="s">
        <v>31</v>
      </c>
    </row>
    <row r="205" spans="1:6" x14ac:dyDescent="0.3">
      <c r="A205">
        <v>2011</v>
      </c>
      <c r="B205">
        <v>10</v>
      </c>
      <c r="C205">
        <v>3</v>
      </c>
      <c r="D205">
        <v>7</v>
      </c>
      <c r="E205">
        <v>30.5</v>
      </c>
      <c r="F205">
        <v>69.5</v>
      </c>
    </row>
    <row r="206" spans="1:6" x14ac:dyDescent="0.3">
      <c r="A206">
        <v>2016</v>
      </c>
      <c r="B206">
        <v>10.6</v>
      </c>
      <c r="C206">
        <v>3.5</v>
      </c>
      <c r="D206">
        <v>7.1</v>
      </c>
      <c r="E206">
        <v>33</v>
      </c>
      <c r="F206">
        <v>67</v>
      </c>
    </row>
    <row r="207" spans="1:6" x14ac:dyDescent="0.3">
      <c r="A207">
        <v>2021</v>
      </c>
      <c r="B207">
        <v>11.2</v>
      </c>
      <c r="C207">
        <v>4</v>
      </c>
      <c r="D207">
        <v>7.2</v>
      </c>
      <c r="E207">
        <v>35.799999999999997</v>
      </c>
      <c r="F207">
        <v>64.2</v>
      </c>
    </row>
    <row r="208" spans="1:6" x14ac:dyDescent="0.3">
      <c r="A208">
        <v>2026</v>
      </c>
      <c r="B208">
        <v>11.6</v>
      </c>
      <c r="C208">
        <v>4.5</v>
      </c>
      <c r="D208">
        <v>7.1</v>
      </c>
      <c r="E208">
        <v>38.799999999999997</v>
      </c>
      <c r="F208">
        <v>61.2</v>
      </c>
    </row>
    <row r="209" spans="1:6" x14ac:dyDescent="0.3">
      <c r="A209">
        <v>2031</v>
      </c>
      <c r="B209">
        <v>11.9</v>
      </c>
      <c r="C209">
        <v>5</v>
      </c>
      <c r="D209">
        <v>6.9</v>
      </c>
      <c r="E209">
        <v>41.8</v>
      </c>
      <c r="F209">
        <v>58.2</v>
      </c>
    </row>
    <row r="210" spans="1:6" x14ac:dyDescent="0.3">
      <c r="A210">
        <v>2036</v>
      </c>
      <c r="B210">
        <v>12.2</v>
      </c>
      <c r="C210">
        <v>5.5</v>
      </c>
      <c r="D210">
        <v>6.7</v>
      </c>
      <c r="E210">
        <v>44.9</v>
      </c>
      <c r="F210">
        <v>55.1</v>
      </c>
    </row>
    <row r="211" spans="1:6" x14ac:dyDescent="0.3">
      <c r="A211">
        <v>2041</v>
      </c>
      <c r="B211">
        <v>12.3</v>
      </c>
      <c r="C211">
        <v>5.9</v>
      </c>
      <c r="D211">
        <v>6.4</v>
      </c>
      <c r="E211">
        <v>48.1</v>
      </c>
      <c r="F211">
        <v>51.9</v>
      </c>
    </row>
    <row r="212" spans="1:6" x14ac:dyDescent="0.3">
      <c r="A212">
        <v>2046</v>
      </c>
      <c r="B212">
        <v>12.4</v>
      </c>
      <c r="C212">
        <v>6.3</v>
      </c>
      <c r="D212">
        <v>6.1</v>
      </c>
      <c r="E212">
        <v>51.2</v>
      </c>
      <c r="F212">
        <v>48.8</v>
      </c>
    </row>
    <row r="213" spans="1:6" x14ac:dyDescent="0.3">
      <c r="A213">
        <v>2051</v>
      </c>
      <c r="B213">
        <v>12.4</v>
      </c>
      <c r="C213">
        <v>6.7</v>
      </c>
      <c r="D213">
        <v>5.7</v>
      </c>
      <c r="E213">
        <v>54.4</v>
      </c>
      <c r="F213">
        <v>45.6</v>
      </c>
    </row>
    <row r="214" spans="1:6" x14ac:dyDescent="0.3">
      <c r="A214" t="s">
        <v>32</v>
      </c>
    </row>
    <row r="215" spans="1:6" x14ac:dyDescent="0.3">
      <c r="A215">
        <v>2011</v>
      </c>
      <c r="B215">
        <v>91.3</v>
      </c>
      <c r="C215">
        <v>29.1</v>
      </c>
      <c r="D215">
        <v>62.2</v>
      </c>
      <c r="E215">
        <v>31.9</v>
      </c>
      <c r="F215">
        <v>68.099999999999994</v>
      </c>
    </row>
    <row r="216" spans="1:6" x14ac:dyDescent="0.3">
      <c r="A216">
        <v>2016</v>
      </c>
      <c r="B216">
        <v>95.1</v>
      </c>
      <c r="C216">
        <v>32.700000000000003</v>
      </c>
      <c r="D216">
        <v>62.4</v>
      </c>
      <c r="E216">
        <v>34.4</v>
      </c>
      <c r="F216">
        <v>65.599999999999994</v>
      </c>
    </row>
    <row r="217" spans="1:6" x14ac:dyDescent="0.3">
      <c r="A217">
        <v>2021</v>
      </c>
      <c r="B217">
        <v>98.2</v>
      </c>
      <c r="C217">
        <v>36.4</v>
      </c>
      <c r="D217">
        <v>61.8</v>
      </c>
      <c r="E217">
        <v>37.1</v>
      </c>
      <c r="F217">
        <v>62.9</v>
      </c>
    </row>
    <row r="218" spans="1:6" x14ac:dyDescent="0.3">
      <c r="A218">
        <v>2026</v>
      </c>
      <c r="B218">
        <v>100.5</v>
      </c>
      <c r="C218">
        <v>40</v>
      </c>
      <c r="D218">
        <v>60.5</v>
      </c>
      <c r="E218">
        <v>39.799999999999997</v>
      </c>
      <c r="F218">
        <v>60.2</v>
      </c>
    </row>
    <row r="219" spans="1:6" x14ac:dyDescent="0.3">
      <c r="A219">
        <v>2031</v>
      </c>
      <c r="B219">
        <v>102.3</v>
      </c>
      <c r="C219">
        <v>43.6</v>
      </c>
      <c r="D219">
        <v>58.7</v>
      </c>
      <c r="E219">
        <v>42.6</v>
      </c>
      <c r="F219">
        <v>57.4</v>
      </c>
    </row>
    <row r="220" spans="1:6" x14ac:dyDescent="0.3">
      <c r="A220">
        <v>2036</v>
      </c>
      <c r="B220">
        <v>103.5</v>
      </c>
      <c r="C220">
        <v>47.1</v>
      </c>
      <c r="D220">
        <v>56.4</v>
      </c>
      <c r="E220">
        <v>45.5</v>
      </c>
      <c r="F220">
        <v>54.5</v>
      </c>
    </row>
    <row r="221" spans="1:6" x14ac:dyDescent="0.3">
      <c r="A221">
        <v>2041</v>
      </c>
      <c r="B221">
        <v>103.9</v>
      </c>
      <c r="C221">
        <v>50.3</v>
      </c>
      <c r="D221">
        <v>53.6</v>
      </c>
      <c r="E221">
        <v>48.4</v>
      </c>
      <c r="F221">
        <v>51.6</v>
      </c>
    </row>
    <row r="222" spans="1:6" x14ac:dyDescent="0.3">
      <c r="A222">
        <v>2046</v>
      </c>
      <c r="B222">
        <v>103.7</v>
      </c>
      <c r="C222">
        <v>53.2</v>
      </c>
      <c r="D222">
        <v>50.5</v>
      </c>
      <c r="E222">
        <v>51.3</v>
      </c>
      <c r="F222">
        <v>48.7</v>
      </c>
    </row>
    <row r="223" spans="1:6" x14ac:dyDescent="0.3">
      <c r="A223">
        <v>2051</v>
      </c>
      <c r="B223">
        <v>102.9</v>
      </c>
      <c r="C223">
        <v>55.7</v>
      </c>
      <c r="D223">
        <v>47.2</v>
      </c>
      <c r="E223">
        <v>54.1</v>
      </c>
      <c r="F223">
        <v>45.9</v>
      </c>
    </row>
    <row r="224" spans="1:6" x14ac:dyDescent="0.3">
      <c r="A224" t="s">
        <v>33</v>
      </c>
    </row>
    <row r="225" spans="1:6" x14ac:dyDescent="0.3">
      <c r="A225">
        <v>2011</v>
      </c>
      <c r="B225">
        <v>1210.9000000000001</v>
      </c>
      <c r="C225">
        <v>377.1</v>
      </c>
      <c r="D225">
        <v>833.8</v>
      </c>
      <c r="E225">
        <v>31.1</v>
      </c>
      <c r="F225">
        <v>68.900000000000006</v>
      </c>
    </row>
    <row r="226" spans="1:6" x14ac:dyDescent="0.3">
      <c r="A226">
        <v>2016</v>
      </c>
      <c r="B226">
        <v>1286.5999999999999</v>
      </c>
      <c r="C226">
        <v>431.5</v>
      </c>
      <c r="D226">
        <v>855.1</v>
      </c>
      <c r="E226">
        <v>33.5</v>
      </c>
      <c r="F226">
        <v>66.5</v>
      </c>
    </row>
    <row r="227" spans="1:6" x14ac:dyDescent="0.3">
      <c r="A227">
        <v>2021</v>
      </c>
      <c r="B227">
        <v>1355.8</v>
      </c>
      <c r="C227">
        <v>488.4</v>
      </c>
      <c r="D227">
        <v>867.4</v>
      </c>
      <c r="E227">
        <v>36</v>
      </c>
      <c r="F227">
        <v>64</v>
      </c>
    </row>
    <row r="228" spans="1:6" x14ac:dyDescent="0.3">
      <c r="A228">
        <v>2026</v>
      </c>
      <c r="B228">
        <v>1415.1</v>
      </c>
      <c r="C228">
        <v>546.20000000000005</v>
      </c>
      <c r="D228">
        <v>868.9</v>
      </c>
      <c r="E228">
        <v>38.6</v>
      </c>
      <c r="F228">
        <v>61.4</v>
      </c>
    </row>
    <row r="229" spans="1:6" x14ac:dyDescent="0.3">
      <c r="A229">
        <v>2031</v>
      </c>
      <c r="B229">
        <v>1465.3</v>
      </c>
      <c r="C229">
        <v>603.70000000000005</v>
      </c>
      <c r="D229">
        <v>861.6</v>
      </c>
      <c r="E229">
        <v>41.2</v>
      </c>
      <c r="F229">
        <v>58.8</v>
      </c>
    </row>
    <row r="230" spans="1:6" x14ac:dyDescent="0.3">
      <c r="A230">
        <v>2036</v>
      </c>
      <c r="B230">
        <v>1506.8</v>
      </c>
      <c r="C230">
        <v>661.5</v>
      </c>
      <c r="D230">
        <v>845.3</v>
      </c>
      <c r="E230">
        <v>43.9</v>
      </c>
      <c r="F230">
        <v>56.1</v>
      </c>
    </row>
    <row r="231" spans="1:6" x14ac:dyDescent="0.3">
      <c r="A231">
        <v>2041</v>
      </c>
      <c r="B231">
        <v>1541.5</v>
      </c>
      <c r="C231">
        <v>718.3</v>
      </c>
      <c r="D231">
        <v>823.2</v>
      </c>
      <c r="E231">
        <v>46.6</v>
      </c>
      <c r="F231">
        <v>53.4</v>
      </c>
    </row>
    <row r="232" spans="1:6" x14ac:dyDescent="0.3">
      <c r="A232">
        <v>2046</v>
      </c>
      <c r="B232">
        <v>1569.6</v>
      </c>
      <c r="C232">
        <v>773.8</v>
      </c>
      <c r="D232">
        <v>795.8</v>
      </c>
      <c r="E232">
        <v>49.3</v>
      </c>
      <c r="F232">
        <v>50.7</v>
      </c>
    </row>
    <row r="233" spans="1:6" x14ac:dyDescent="0.3">
      <c r="A233">
        <v>2051</v>
      </c>
      <c r="B233">
        <v>1590.1</v>
      </c>
      <c r="C233">
        <v>828.4</v>
      </c>
      <c r="D233">
        <v>761.7</v>
      </c>
      <c r="E233">
        <v>52.1</v>
      </c>
      <c r="F233">
        <v>47.9</v>
      </c>
    </row>
  </sheetData>
  <mergeCells count="2">
    <mergeCell ref="B2:D2"/>
    <mergeCell ref="E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Y54"/>
  <sheetViews>
    <sheetView workbookViewId="0">
      <selection activeCell="E9" sqref="E9"/>
    </sheetView>
  </sheetViews>
  <sheetFormatPr defaultRowHeight="14.4" x14ac:dyDescent="0.3"/>
  <cols>
    <col min="1" max="1" width="8.88671875" style="7"/>
    <col min="2" max="26" width="13.109375" customWidth="1"/>
  </cols>
  <sheetData>
    <row r="1" spans="1:25" x14ac:dyDescent="0.3">
      <c r="A1" s="2" t="s">
        <v>176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s="11" customFormat="1" ht="28.8" x14ac:dyDescent="0.3">
      <c r="A2" s="11" t="s">
        <v>43</v>
      </c>
      <c r="B2" s="11" t="s">
        <v>183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48</v>
      </c>
      <c r="J2" s="11" t="s">
        <v>220</v>
      </c>
      <c r="K2" s="11" t="s">
        <v>10</v>
      </c>
      <c r="L2" s="11" t="s">
        <v>11</v>
      </c>
      <c r="M2" s="11" t="s">
        <v>12</v>
      </c>
      <c r="N2" s="11" t="s">
        <v>184</v>
      </c>
      <c r="O2" s="11" t="s">
        <v>185</v>
      </c>
      <c r="P2" s="11" t="s">
        <v>24</v>
      </c>
      <c r="Q2" s="11" t="s">
        <v>25</v>
      </c>
      <c r="R2" s="11" t="s">
        <v>26</v>
      </c>
      <c r="S2" s="11" t="s">
        <v>27</v>
      </c>
      <c r="T2" s="11" t="s">
        <v>28</v>
      </c>
      <c r="U2" s="11" t="s">
        <v>29</v>
      </c>
      <c r="V2" s="11" t="s">
        <v>30</v>
      </c>
      <c r="W2" s="11" t="s">
        <v>31</v>
      </c>
      <c r="X2" s="11" t="s">
        <v>32</v>
      </c>
      <c r="Y2" s="11" t="s">
        <v>33</v>
      </c>
    </row>
    <row r="3" spans="1:25" x14ac:dyDescent="0.3">
      <c r="A3" s="7" t="s">
        <v>177</v>
      </c>
      <c r="B3">
        <v>10582905</v>
      </c>
      <c r="C3">
        <v>9140021</v>
      </c>
      <c r="D3">
        <v>37298175</v>
      </c>
      <c r="E3">
        <v>7755298</v>
      </c>
      <c r="F3">
        <v>3777228</v>
      </c>
      <c r="G3">
        <v>16193693</v>
      </c>
      <c r="H3">
        <v>7010910</v>
      </c>
      <c r="I3">
        <v>1520267</v>
      </c>
      <c r="J3">
        <v>3021190</v>
      </c>
      <c r="K3">
        <v>10431544</v>
      </c>
      <c r="L3">
        <v>14467352</v>
      </c>
      <c r="M3">
        <v>6956997</v>
      </c>
      <c r="N3">
        <v>51321</v>
      </c>
      <c r="O3">
        <v>23315026</v>
      </c>
      <c r="P3">
        <v>25937677</v>
      </c>
      <c r="Q3">
        <v>10455614</v>
      </c>
      <c r="R3">
        <v>6001063</v>
      </c>
      <c r="S3">
        <v>22374845</v>
      </c>
      <c r="T3">
        <v>14984934</v>
      </c>
      <c r="U3">
        <v>8040900</v>
      </c>
      <c r="V3">
        <v>67867472</v>
      </c>
      <c r="W3">
        <v>2664389</v>
      </c>
      <c r="X3">
        <v>20056683</v>
      </c>
      <c r="Y3">
        <v>341458173</v>
      </c>
    </row>
    <row r="4" spans="1:25" x14ac:dyDescent="0.3">
      <c r="A4" s="7" t="s">
        <v>178</v>
      </c>
      <c r="B4">
        <v>36012208</v>
      </c>
      <c r="C4">
        <v>23351334</v>
      </c>
      <c r="D4">
        <v>75761910</v>
      </c>
      <c r="E4">
        <v>18772419</v>
      </c>
      <c r="F4">
        <v>13084264</v>
      </c>
      <c r="G4">
        <v>44634517</v>
      </c>
      <c r="H4">
        <v>18748275</v>
      </c>
      <c r="I4">
        <v>4927011</v>
      </c>
      <c r="J4">
        <v>9053467</v>
      </c>
      <c r="K4">
        <v>24304514</v>
      </c>
      <c r="L4">
        <v>44329221</v>
      </c>
      <c r="M4">
        <v>22744098</v>
      </c>
      <c r="N4">
        <v>228305</v>
      </c>
      <c r="O4">
        <v>53468284</v>
      </c>
      <c r="P4">
        <v>81786421</v>
      </c>
      <c r="Q4">
        <v>30365229</v>
      </c>
      <c r="R4">
        <v>20133188</v>
      </c>
      <c r="S4">
        <v>50744169</v>
      </c>
      <c r="T4">
        <v>51516964</v>
      </c>
      <c r="U4">
        <v>26141986</v>
      </c>
      <c r="V4">
        <v>148167765</v>
      </c>
      <c r="W4">
        <v>7376373</v>
      </c>
      <c r="X4">
        <v>67375852</v>
      </c>
      <c r="Y4">
        <v>883880685</v>
      </c>
    </row>
    <row r="5" spans="1:25" x14ac:dyDescent="0.3">
      <c r="A5" s="7" t="s">
        <v>179</v>
      </c>
      <c r="B5">
        <v>6626970</v>
      </c>
      <c r="C5">
        <v>2934256</v>
      </c>
      <c r="D5">
        <v>9920636</v>
      </c>
      <c r="E5">
        <v>2636931</v>
      </c>
      <c r="F5">
        <v>1808189</v>
      </c>
      <c r="G5">
        <v>6998408</v>
      </c>
      <c r="H5">
        <v>2777186</v>
      </c>
      <c r="I5">
        <v>902637</v>
      </c>
      <c r="J5">
        <v>1271376</v>
      </c>
      <c r="K5">
        <v>3329134</v>
      </c>
      <c r="L5">
        <v>7218212</v>
      </c>
      <c r="M5">
        <v>5718464</v>
      </c>
      <c r="N5">
        <v>29908</v>
      </c>
      <c r="O5">
        <v>7211342</v>
      </c>
      <c r="P5">
        <v>13959008</v>
      </c>
      <c r="Q5">
        <v>5233786</v>
      </c>
      <c r="R5">
        <v>3475198</v>
      </c>
      <c r="S5">
        <v>6798937</v>
      </c>
      <c r="T5">
        <v>10191330</v>
      </c>
      <c r="U5">
        <v>4235491</v>
      </c>
      <c r="V5">
        <v>18882837</v>
      </c>
      <c r="W5">
        <v>1095973</v>
      </c>
      <c r="X5">
        <v>10793738</v>
      </c>
      <c r="Y5">
        <v>130493906</v>
      </c>
    </row>
    <row r="6" spans="1:25" x14ac:dyDescent="0.3">
      <c r="A6" s="7" t="s">
        <v>180</v>
      </c>
      <c r="B6">
        <v>62.6</v>
      </c>
      <c r="C6">
        <v>32.1</v>
      </c>
      <c r="D6">
        <v>26.6</v>
      </c>
      <c r="E6">
        <v>34</v>
      </c>
      <c r="F6">
        <v>47.9</v>
      </c>
      <c r="G6">
        <v>43.2</v>
      </c>
      <c r="H6">
        <v>39.6</v>
      </c>
      <c r="I6">
        <v>59.4</v>
      </c>
      <c r="J6">
        <v>42.1</v>
      </c>
      <c r="K6">
        <v>31.9</v>
      </c>
      <c r="L6">
        <v>49.9</v>
      </c>
      <c r="M6">
        <v>82.2</v>
      </c>
      <c r="N6">
        <v>58.3</v>
      </c>
      <c r="O6">
        <v>30.9</v>
      </c>
      <c r="P6">
        <v>53.8</v>
      </c>
      <c r="Q6">
        <v>50.1</v>
      </c>
      <c r="R6">
        <v>57.9</v>
      </c>
      <c r="S6">
        <v>30.4</v>
      </c>
      <c r="T6">
        <v>68</v>
      </c>
      <c r="U6">
        <v>52.7</v>
      </c>
      <c r="V6">
        <v>27.8</v>
      </c>
      <c r="W6">
        <v>41.1</v>
      </c>
      <c r="X6">
        <v>53.8</v>
      </c>
      <c r="Y6">
        <v>38.200000000000003</v>
      </c>
    </row>
    <row r="7" spans="1:25" x14ac:dyDescent="0.3">
      <c r="A7" s="7" t="s">
        <v>181</v>
      </c>
      <c r="B7">
        <v>29.4</v>
      </c>
      <c r="C7">
        <v>39.1</v>
      </c>
      <c r="D7">
        <v>49.2</v>
      </c>
      <c r="E7">
        <v>41.3</v>
      </c>
      <c r="F7">
        <v>28.9</v>
      </c>
      <c r="G7">
        <v>36.299999999999997</v>
      </c>
      <c r="H7">
        <v>37.4</v>
      </c>
      <c r="I7">
        <v>30.9</v>
      </c>
      <c r="J7">
        <v>33.4</v>
      </c>
      <c r="K7">
        <v>42.9</v>
      </c>
      <c r="L7">
        <v>32.6</v>
      </c>
      <c r="M7">
        <v>30.6</v>
      </c>
      <c r="N7">
        <v>22.5</v>
      </c>
      <c r="O7">
        <v>43.6</v>
      </c>
      <c r="P7">
        <v>31.7</v>
      </c>
      <c r="Q7">
        <v>34.4</v>
      </c>
      <c r="R7">
        <v>29.8</v>
      </c>
      <c r="S7">
        <v>44.1</v>
      </c>
      <c r="T7">
        <v>29.1</v>
      </c>
      <c r="U7">
        <v>30.8</v>
      </c>
      <c r="V7">
        <v>45.8</v>
      </c>
      <c r="W7">
        <v>36.1</v>
      </c>
      <c r="X7">
        <v>29.8</v>
      </c>
      <c r="Y7">
        <v>38.6</v>
      </c>
    </row>
    <row r="8" spans="1:25" x14ac:dyDescent="0.3">
      <c r="A8" s="7" t="s">
        <v>182</v>
      </c>
      <c r="B8">
        <v>18.399999999999999</v>
      </c>
      <c r="C8">
        <v>12.6</v>
      </c>
      <c r="D8">
        <v>13.1</v>
      </c>
      <c r="E8">
        <v>14</v>
      </c>
      <c r="F8">
        <v>13.8</v>
      </c>
      <c r="G8">
        <v>15.7</v>
      </c>
      <c r="H8">
        <v>14.8</v>
      </c>
      <c r="I8">
        <v>18.3</v>
      </c>
      <c r="J8">
        <v>14</v>
      </c>
      <c r="K8">
        <v>13.7</v>
      </c>
      <c r="L8">
        <v>16.3</v>
      </c>
      <c r="M8">
        <v>25.1</v>
      </c>
      <c r="N8">
        <v>13.1</v>
      </c>
      <c r="O8">
        <v>13.5</v>
      </c>
      <c r="P8">
        <v>17.100000000000001</v>
      </c>
      <c r="Q8">
        <v>17.2</v>
      </c>
      <c r="R8">
        <v>17.3</v>
      </c>
      <c r="S8">
        <v>13.4</v>
      </c>
      <c r="T8">
        <v>19.8</v>
      </c>
      <c r="U8">
        <v>16.2</v>
      </c>
      <c r="V8">
        <v>12.7</v>
      </c>
      <c r="W8">
        <v>14.9</v>
      </c>
      <c r="X8">
        <v>16</v>
      </c>
      <c r="Y8">
        <v>14.8</v>
      </c>
    </row>
    <row r="9" spans="1:25" x14ac:dyDescent="0.3">
      <c r="A9" s="7" t="s">
        <v>17</v>
      </c>
    </row>
    <row r="10" spans="1:25" x14ac:dyDescent="0.3">
      <c r="A10" s="7" t="s">
        <v>177</v>
      </c>
      <c r="B10">
        <v>9928614</v>
      </c>
      <c r="C10">
        <v>8823960</v>
      </c>
      <c r="D10">
        <v>38022084</v>
      </c>
      <c r="E10">
        <v>7650106</v>
      </c>
      <c r="F10">
        <v>3443819</v>
      </c>
      <c r="G10">
        <v>15440869</v>
      </c>
      <c r="H10">
        <v>6643170</v>
      </c>
      <c r="I10">
        <v>1420646</v>
      </c>
      <c r="J10">
        <v>2453231</v>
      </c>
      <c r="K10">
        <v>10223666</v>
      </c>
      <c r="L10">
        <v>13617204</v>
      </c>
      <c r="M10">
        <v>6412154</v>
      </c>
      <c r="N10">
        <v>41252</v>
      </c>
      <c r="O10">
        <v>24006083</v>
      </c>
      <c r="P10">
        <v>23545240</v>
      </c>
      <c r="Q10">
        <v>9979335</v>
      </c>
      <c r="R10">
        <v>5475200</v>
      </c>
      <c r="S10">
        <v>22541189</v>
      </c>
      <c r="T10">
        <v>13856474</v>
      </c>
      <c r="U10">
        <v>7736530</v>
      </c>
      <c r="V10">
        <v>71556205</v>
      </c>
      <c r="W10">
        <v>2576784</v>
      </c>
      <c r="X10">
        <v>18520205</v>
      </c>
      <c r="Y10">
        <v>336981459</v>
      </c>
    </row>
    <row r="11" spans="1:25" x14ac:dyDescent="0.3">
      <c r="A11" s="7" t="s">
        <v>178</v>
      </c>
      <c r="B11">
        <v>36456660</v>
      </c>
      <c r="C11">
        <v>24711635</v>
      </c>
      <c r="D11">
        <v>83402887</v>
      </c>
      <c r="E11">
        <v>19724528</v>
      </c>
      <c r="F11">
        <v>13541394</v>
      </c>
      <c r="G11">
        <v>46381787</v>
      </c>
      <c r="H11">
        <v>19696872</v>
      </c>
      <c r="I11">
        <v>5041927</v>
      </c>
      <c r="J11">
        <v>9806270</v>
      </c>
      <c r="K11">
        <v>26179928</v>
      </c>
      <c r="L11">
        <v>45404828</v>
      </c>
      <c r="M11">
        <v>22739898</v>
      </c>
      <c r="N11">
        <v>247747</v>
      </c>
      <c r="O11">
        <v>56781012</v>
      </c>
      <c r="P11">
        <v>84558783</v>
      </c>
      <c r="Q11">
        <v>31417929</v>
      </c>
      <c r="R11">
        <v>20481505</v>
      </c>
      <c r="S11">
        <v>54471539</v>
      </c>
      <c r="T11">
        <v>51758810</v>
      </c>
      <c r="U11">
        <v>26861119</v>
      </c>
      <c r="V11">
        <v>158470563</v>
      </c>
      <c r="W11">
        <v>7736098</v>
      </c>
      <c r="X11">
        <v>68902296</v>
      </c>
      <c r="Y11">
        <v>925759096</v>
      </c>
    </row>
    <row r="12" spans="1:25" x14ac:dyDescent="0.3">
      <c r="A12" s="7" t="s">
        <v>179</v>
      </c>
      <c r="B12">
        <v>7715160</v>
      </c>
      <c r="C12">
        <v>3698947</v>
      </c>
      <c r="D12">
        <v>11463293</v>
      </c>
      <c r="E12">
        <v>3154371</v>
      </c>
      <c r="F12">
        <v>2296458</v>
      </c>
      <c r="G12">
        <v>8474087</v>
      </c>
      <c r="H12">
        <v>3254088</v>
      </c>
      <c r="I12">
        <v>1046082</v>
      </c>
      <c r="J12">
        <v>1572256</v>
      </c>
      <c r="K12">
        <v>3979700</v>
      </c>
      <c r="L12">
        <v>8466253</v>
      </c>
      <c r="M12">
        <v>6639983</v>
      </c>
      <c r="N12">
        <v>37198</v>
      </c>
      <c r="O12">
        <v>8608739</v>
      </c>
      <c r="P12">
        <v>16018888</v>
      </c>
      <c r="Q12">
        <v>6181189</v>
      </c>
      <c r="R12">
        <v>3993787</v>
      </c>
      <c r="S12">
        <v>8170939</v>
      </c>
      <c r="T12">
        <v>12140784</v>
      </c>
      <c r="U12">
        <v>5004134</v>
      </c>
      <c r="V12">
        <v>21871956</v>
      </c>
      <c r="W12">
        <v>1245944</v>
      </c>
      <c r="X12">
        <v>13083373</v>
      </c>
      <c r="Y12">
        <v>152317135</v>
      </c>
    </row>
    <row r="13" spans="1:25" x14ac:dyDescent="0.3">
      <c r="A13" s="7" t="s">
        <v>180</v>
      </c>
      <c r="B13">
        <v>77.7</v>
      </c>
      <c r="C13">
        <v>41.9</v>
      </c>
      <c r="D13">
        <v>30.1</v>
      </c>
      <c r="E13">
        <v>41.2</v>
      </c>
      <c r="F13">
        <v>66.7</v>
      </c>
      <c r="G13">
        <v>54.9</v>
      </c>
      <c r="H13">
        <v>49</v>
      </c>
      <c r="I13">
        <v>73.599999999999994</v>
      </c>
      <c r="J13">
        <v>64.099999999999994</v>
      </c>
      <c r="K13">
        <v>38.9</v>
      </c>
      <c r="L13">
        <v>62.2</v>
      </c>
      <c r="M13">
        <v>103.6</v>
      </c>
      <c r="N13">
        <v>90.2</v>
      </c>
      <c r="O13">
        <v>35.9</v>
      </c>
      <c r="P13">
        <v>68</v>
      </c>
      <c r="Q13">
        <v>61.9</v>
      </c>
      <c r="R13">
        <v>72.900000000000006</v>
      </c>
      <c r="S13">
        <v>36.200000000000003</v>
      </c>
      <c r="T13">
        <v>87.6</v>
      </c>
      <c r="U13">
        <v>64.7</v>
      </c>
      <c r="V13">
        <v>30.6</v>
      </c>
      <c r="W13">
        <v>48.4</v>
      </c>
      <c r="X13">
        <v>70.599999999999994</v>
      </c>
      <c r="Y13">
        <v>45.2</v>
      </c>
    </row>
    <row r="14" spans="1:25" x14ac:dyDescent="0.3">
      <c r="A14" s="7" t="s">
        <v>181</v>
      </c>
      <c r="B14">
        <v>27.2</v>
      </c>
      <c r="C14">
        <v>35.700000000000003</v>
      </c>
      <c r="D14">
        <v>45.6</v>
      </c>
      <c r="E14">
        <v>38.799999999999997</v>
      </c>
      <c r="F14">
        <v>25.4</v>
      </c>
      <c r="G14">
        <v>33.299999999999997</v>
      </c>
      <c r="H14">
        <v>33.700000000000003</v>
      </c>
      <c r="I14">
        <v>28.2</v>
      </c>
      <c r="J14">
        <v>25</v>
      </c>
      <c r="K14">
        <v>39.1</v>
      </c>
      <c r="L14">
        <v>30</v>
      </c>
      <c r="M14">
        <v>28.2</v>
      </c>
      <c r="N14">
        <v>16.7</v>
      </c>
      <c r="O14">
        <v>42.3</v>
      </c>
      <c r="P14">
        <v>27.8</v>
      </c>
      <c r="Q14">
        <v>31.8</v>
      </c>
      <c r="R14">
        <v>26.7</v>
      </c>
      <c r="S14">
        <v>41.4</v>
      </c>
      <c r="T14">
        <v>26.8</v>
      </c>
      <c r="U14">
        <v>28.8</v>
      </c>
      <c r="V14">
        <v>45.2</v>
      </c>
      <c r="W14">
        <v>33.299999999999997</v>
      </c>
      <c r="X14">
        <v>26.9</v>
      </c>
      <c r="Y14">
        <v>36.4</v>
      </c>
    </row>
    <row r="15" spans="1:25" x14ac:dyDescent="0.3">
      <c r="A15" s="7" t="s">
        <v>182</v>
      </c>
      <c r="B15">
        <v>21.2</v>
      </c>
      <c r="C15">
        <v>15</v>
      </c>
      <c r="D15">
        <v>13.7</v>
      </c>
      <c r="E15">
        <v>16</v>
      </c>
      <c r="F15">
        <v>17</v>
      </c>
      <c r="G15">
        <v>18.3</v>
      </c>
      <c r="H15">
        <v>16.5</v>
      </c>
      <c r="I15">
        <v>20.7</v>
      </c>
      <c r="J15">
        <v>16</v>
      </c>
      <c r="K15">
        <v>15.2</v>
      </c>
      <c r="L15">
        <v>18.600000000000001</v>
      </c>
      <c r="M15">
        <v>29.2</v>
      </c>
      <c r="N15">
        <v>15</v>
      </c>
      <c r="O15">
        <v>15.2</v>
      </c>
      <c r="P15">
        <v>18.899999999999999</v>
      </c>
      <c r="Q15">
        <v>19.7</v>
      </c>
      <c r="R15">
        <v>19.5</v>
      </c>
      <c r="S15">
        <v>15</v>
      </c>
      <c r="T15">
        <v>23.5</v>
      </c>
      <c r="U15">
        <v>18.600000000000001</v>
      </c>
      <c r="V15">
        <v>13.8</v>
      </c>
      <c r="W15">
        <v>16.100000000000001</v>
      </c>
      <c r="X15">
        <v>19</v>
      </c>
      <c r="Y15">
        <v>16.5</v>
      </c>
    </row>
    <row r="16" spans="1:25" x14ac:dyDescent="0.3">
      <c r="A16" s="7" t="s">
        <v>18</v>
      </c>
    </row>
    <row r="17" spans="1:25" x14ac:dyDescent="0.3">
      <c r="A17" s="7" t="s">
        <v>177</v>
      </c>
      <c r="B17">
        <v>8863495</v>
      </c>
      <c r="C17">
        <v>8596446</v>
      </c>
      <c r="D17">
        <v>39861914</v>
      </c>
      <c r="E17">
        <v>7207241</v>
      </c>
      <c r="F17">
        <v>3148130</v>
      </c>
      <c r="G17">
        <v>14332270</v>
      </c>
      <c r="H17">
        <v>6080474</v>
      </c>
      <c r="I17">
        <v>1330291</v>
      </c>
      <c r="J17">
        <v>2468668</v>
      </c>
      <c r="K17">
        <v>10144490</v>
      </c>
      <c r="L17">
        <v>12488732</v>
      </c>
      <c r="M17">
        <v>5814279</v>
      </c>
      <c r="N17">
        <v>41468</v>
      </c>
      <c r="O17">
        <v>23640563</v>
      </c>
      <c r="P17">
        <v>21297477</v>
      </c>
      <c r="Q17">
        <v>9414275</v>
      </c>
      <c r="R17">
        <v>4909582</v>
      </c>
      <c r="S17">
        <v>21892910</v>
      </c>
      <c r="T17">
        <v>12536335</v>
      </c>
      <c r="U17">
        <v>7123524</v>
      </c>
      <c r="V17">
        <v>70758432</v>
      </c>
      <c r="W17">
        <v>2483017</v>
      </c>
      <c r="X17">
        <v>17402092</v>
      </c>
      <c r="Y17">
        <v>322599230</v>
      </c>
    </row>
    <row r="18" spans="1:25" x14ac:dyDescent="0.3">
      <c r="A18" s="7" t="s">
        <v>178</v>
      </c>
      <c r="B18">
        <v>36763128</v>
      </c>
      <c r="C18">
        <v>25701570</v>
      </c>
      <c r="D18">
        <v>89380214</v>
      </c>
      <c r="E18">
        <v>20639107</v>
      </c>
      <c r="F18">
        <v>13748219</v>
      </c>
      <c r="G18">
        <v>47768111</v>
      </c>
      <c r="H18">
        <v>20466842</v>
      </c>
      <c r="I18">
        <v>5086182</v>
      </c>
      <c r="J18">
        <v>9901723</v>
      </c>
      <c r="K18">
        <v>27623812</v>
      </c>
      <c r="L18">
        <v>46303522</v>
      </c>
      <c r="M18">
        <v>22709273</v>
      </c>
      <c r="N18">
        <v>252790</v>
      </c>
      <c r="O18">
        <v>60109884</v>
      </c>
      <c r="P18">
        <v>85842295</v>
      </c>
      <c r="Q18">
        <v>32084233</v>
      </c>
      <c r="R18">
        <v>20622024</v>
      </c>
      <c r="S18">
        <v>57957301</v>
      </c>
      <c r="T18">
        <v>51716089</v>
      </c>
      <c r="U18">
        <v>27397151</v>
      </c>
      <c r="V18">
        <v>169955019</v>
      </c>
      <c r="W18">
        <v>7979163</v>
      </c>
      <c r="X18">
        <v>69121701</v>
      </c>
      <c r="Y18">
        <v>964177230</v>
      </c>
    </row>
    <row r="19" spans="1:25" x14ac:dyDescent="0.3">
      <c r="A19" s="7" t="s">
        <v>179</v>
      </c>
      <c r="B19">
        <v>8961812</v>
      </c>
      <c r="C19">
        <v>4536006</v>
      </c>
      <c r="D19">
        <v>13487478</v>
      </c>
      <c r="E19">
        <v>3768687</v>
      </c>
      <c r="F19">
        <v>2896911</v>
      </c>
      <c r="G19">
        <v>10184376</v>
      </c>
      <c r="H19">
        <v>3872514</v>
      </c>
      <c r="I19">
        <v>1218383</v>
      </c>
      <c r="J19">
        <v>1954143</v>
      </c>
      <c r="K19">
        <v>4725827</v>
      </c>
      <c r="L19">
        <v>9753326</v>
      </c>
      <c r="M19">
        <v>7531721</v>
      </c>
      <c r="N19">
        <v>46009</v>
      </c>
      <c r="O19">
        <v>10365828</v>
      </c>
      <c r="P19">
        <v>18872671</v>
      </c>
      <c r="Q19">
        <v>7286019</v>
      </c>
      <c r="R19">
        <v>4600633</v>
      </c>
      <c r="S19">
        <v>9870446</v>
      </c>
      <c r="T19">
        <v>14160928</v>
      </c>
      <c r="U19">
        <v>5921786</v>
      </c>
      <c r="V19">
        <v>25813626</v>
      </c>
      <c r="W19">
        <v>1433223</v>
      </c>
      <c r="X19">
        <v>15768290</v>
      </c>
      <c r="Y19">
        <v>178548824</v>
      </c>
    </row>
    <row r="20" spans="1:25" x14ac:dyDescent="0.3">
      <c r="A20" s="7" t="s">
        <v>180</v>
      </c>
      <c r="B20">
        <v>101.1</v>
      </c>
      <c r="C20">
        <v>52.8</v>
      </c>
      <c r="D20">
        <v>33.799999999999997</v>
      </c>
      <c r="E20">
        <v>52.3</v>
      </c>
      <c r="F20">
        <v>92</v>
      </c>
      <c r="G20">
        <v>71.099999999999994</v>
      </c>
      <c r="H20">
        <v>63.7</v>
      </c>
      <c r="I20">
        <v>91.6</v>
      </c>
      <c r="J20">
        <v>79.2</v>
      </c>
      <c r="K20">
        <v>46.6</v>
      </c>
      <c r="L20">
        <v>78.099999999999994</v>
      </c>
      <c r="M20">
        <v>129.5</v>
      </c>
      <c r="N20">
        <v>111</v>
      </c>
      <c r="O20">
        <v>43.8</v>
      </c>
      <c r="P20">
        <v>88.6</v>
      </c>
      <c r="Q20">
        <v>77.400000000000006</v>
      </c>
      <c r="R20">
        <v>93.7</v>
      </c>
      <c r="S20">
        <v>45.1</v>
      </c>
      <c r="T20">
        <v>113</v>
      </c>
      <c r="U20">
        <v>83.1</v>
      </c>
      <c r="V20">
        <v>36.5</v>
      </c>
      <c r="W20">
        <v>57.7</v>
      </c>
      <c r="X20">
        <v>90.6</v>
      </c>
      <c r="Y20">
        <v>55.3</v>
      </c>
    </row>
    <row r="21" spans="1:25" x14ac:dyDescent="0.3">
      <c r="A21" s="7" t="s">
        <v>181</v>
      </c>
      <c r="B21">
        <v>24.1</v>
      </c>
      <c r="C21">
        <v>33.4</v>
      </c>
      <c r="D21">
        <v>44.6</v>
      </c>
      <c r="E21">
        <v>34.9</v>
      </c>
      <c r="F21">
        <v>22.9</v>
      </c>
      <c r="G21">
        <v>30</v>
      </c>
      <c r="H21">
        <v>29.7</v>
      </c>
      <c r="I21">
        <v>26.2</v>
      </c>
      <c r="J21">
        <v>24.9</v>
      </c>
      <c r="K21">
        <v>36.700000000000003</v>
      </c>
      <c r="L21">
        <v>27</v>
      </c>
      <c r="M21">
        <v>25.6</v>
      </c>
      <c r="N21">
        <v>16.399999999999999</v>
      </c>
      <c r="O21">
        <v>39.299999999999997</v>
      </c>
      <c r="P21">
        <v>24.8</v>
      </c>
      <c r="Q21">
        <v>29.3</v>
      </c>
      <c r="R21">
        <v>23.8</v>
      </c>
      <c r="S21">
        <v>37.799999999999997</v>
      </c>
      <c r="T21">
        <v>24.2</v>
      </c>
      <c r="U21">
        <v>26</v>
      </c>
      <c r="V21">
        <v>41.6</v>
      </c>
      <c r="W21">
        <v>31.1</v>
      </c>
      <c r="X21">
        <v>25.2</v>
      </c>
      <c r="Y21">
        <v>33.5</v>
      </c>
    </row>
    <row r="22" spans="1:25" x14ac:dyDescent="0.3">
      <c r="A22" s="7" t="s">
        <v>182</v>
      </c>
      <c r="B22">
        <v>24.4</v>
      </c>
      <c r="C22">
        <v>17.600000000000001</v>
      </c>
      <c r="D22">
        <v>15.1</v>
      </c>
      <c r="E22">
        <v>18.3</v>
      </c>
      <c r="F22">
        <v>21.1</v>
      </c>
      <c r="G22">
        <v>21.3</v>
      </c>
      <c r="H22">
        <v>18.899999999999999</v>
      </c>
      <c r="I22">
        <v>24</v>
      </c>
      <c r="J22">
        <v>19.7</v>
      </c>
      <c r="K22">
        <v>17.100000000000001</v>
      </c>
      <c r="L22">
        <v>21.1</v>
      </c>
      <c r="M22">
        <v>33.200000000000003</v>
      </c>
      <c r="N22">
        <v>18.2</v>
      </c>
      <c r="O22">
        <v>17.2</v>
      </c>
      <c r="P22">
        <v>22</v>
      </c>
      <c r="Q22">
        <v>22.7</v>
      </c>
      <c r="R22">
        <v>22.3</v>
      </c>
      <c r="S22">
        <v>17</v>
      </c>
      <c r="T22">
        <v>27.4</v>
      </c>
      <c r="U22">
        <v>21.6</v>
      </c>
      <c r="V22">
        <v>15.2</v>
      </c>
      <c r="W22">
        <v>18</v>
      </c>
      <c r="X22">
        <v>22.8</v>
      </c>
      <c r="Y22">
        <v>18.5</v>
      </c>
    </row>
    <row r="23" spans="1:25" x14ac:dyDescent="0.3">
      <c r="A23" s="7" t="s">
        <v>19</v>
      </c>
    </row>
    <row r="24" spans="1:25" x14ac:dyDescent="0.3">
      <c r="A24" s="7" t="s">
        <v>177</v>
      </c>
      <c r="B24">
        <v>8110183</v>
      </c>
      <c r="C24">
        <v>8158724</v>
      </c>
      <c r="D24">
        <v>39411500</v>
      </c>
      <c r="E24">
        <v>6686476</v>
      </c>
      <c r="F24">
        <v>2982042</v>
      </c>
      <c r="G24">
        <v>13244355</v>
      </c>
      <c r="H24">
        <v>5524961</v>
      </c>
      <c r="I24">
        <v>1252025</v>
      </c>
      <c r="J24">
        <v>2464697</v>
      </c>
      <c r="K24">
        <v>9747076</v>
      </c>
      <c r="L24">
        <v>11739702</v>
      </c>
      <c r="M24">
        <v>5447120</v>
      </c>
      <c r="N24">
        <v>41479</v>
      </c>
      <c r="O24">
        <v>22616095</v>
      </c>
      <c r="P24">
        <v>19629323</v>
      </c>
      <c r="Q24">
        <v>8775461</v>
      </c>
      <c r="R24">
        <v>4465318</v>
      </c>
      <c r="S24">
        <v>20484408</v>
      </c>
      <c r="T24">
        <v>11598574</v>
      </c>
      <c r="U24">
        <v>6590629</v>
      </c>
      <c r="V24">
        <v>65798118</v>
      </c>
      <c r="W24">
        <v>2280386</v>
      </c>
      <c r="X24">
        <v>16254792</v>
      </c>
      <c r="Y24">
        <v>304866664</v>
      </c>
    </row>
    <row r="25" spans="1:25" x14ac:dyDescent="0.3">
      <c r="A25" s="7" t="s">
        <v>178</v>
      </c>
      <c r="B25">
        <v>36070784</v>
      </c>
      <c r="C25">
        <v>26355132</v>
      </c>
      <c r="D25">
        <v>95331715</v>
      </c>
      <c r="E25">
        <v>21319657</v>
      </c>
      <c r="F25">
        <v>13565132</v>
      </c>
      <c r="G25">
        <v>48516564</v>
      </c>
      <c r="H25">
        <v>20908820</v>
      </c>
      <c r="I25">
        <v>5033794</v>
      </c>
      <c r="J25">
        <v>9872508</v>
      </c>
      <c r="K25">
        <v>28788265</v>
      </c>
      <c r="L25">
        <v>45958519</v>
      </c>
      <c r="M25">
        <v>22241566</v>
      </c>
      <c r="N25">
        <v>250913</v>
      </c>
      <c r="O25">
        <v>62955758</v>
      </c>
      <c r="P25">
        <v>85298267</v>
      </c>
      <c r="Q25">
        <v>32292026</v>
      </c>
      <c r="R25">
        <v>20400244</v>
      </c>
      <c r="S25">
        <v>61049317</v>
      </c>
      <c r="T25">
        <v>50459417</v>
      </c>
      <c r="U25">
        <v>27206781</v>
      </c>
      <c r="V25">
        <v>181263663</v>
      </c>
      <c r="W25">
        <v>8173777</v>
      </c>
      <c r="X25">
        <v>68273906</v>
      </c>
      <c r="Y25">
        <v>989963470</v>
      </c>
    </row>
    <row r="26" spans="1:25" x14ac:dyDescent="0.3">
      <c r="A26" s="7" t="s">
        <v>179</v>
      </c>
      <c r="B26">
        <v>10601152</v>
      </c>
      <c r="C26">
        <v>5612489</v>
      </c>
      <c r="D26">
        <v>16431653</v>
      </c>
      <c r="E26">
        <v>4445154</v>
      </c>
      <c r="F26">
        <v>3645412</v>
      </c>
      <c r="G26">
        <v>12039513</v>
      </c>
      <c r="H26">
        <v>4641904</v>
      </c>
      <c r="I26">
        <v>1437113</v>
      </c>
      <c r="J26">
        <v>2414731</v>
      </c>
      <c r="K26">
        <v>5678468</v>
      </c>
      <c r="L26">
        <v>11599790</v>
      </c>
      <c r="M26">
        <v>8485241</v>
      </c>
      <c r="N26">
        <v>57162</v>
      </c>
      <c r="O26">
        <v>12433690</v>
      </c>
      <c r="P26">
        <v>22454334</v>
      </c>
      <c r="Q26">
        <v>8576728</v>
      </c>
      <c r="R26">
        <v>5315939</v>
      </c>
      <c r="S26">
        <v>11902282</v>
      </c>
      <c r="T26">
        <v>16660804</v>
      </c>
      <c r="U26">
        <v>7187975</v>
      </c>
      <c r="V26">
        <v>31275112</v>
      </c>
      <c r="W26">
        <v>1680103</v>
      </c>
      <c r="X26">
        <v>18900812</v>
      </c>
      <c r="Y26">
        <v>211963324</v>
      </c>
    </row>
    <row r="27" spans="1:25" x14ac:dyDescent="0.3">
      <c r="A27" s="7" t="s">
        <v>180</v>
      </c>
      <c r="B27">
        <v>130.69999999999999</v>
      </c>
      <c r="C27">
        <v>68.8</v>
      </c>
      <c r="D27">
        <v>41.7</v>
      </c>
      <c r="E27">
        <v>66.5</v>
      </c>
      <c r="F27">
        <v>122.2</v>
      </c>
      <c r="G27">
        <v>90.9</v>
      </c>
      <c r="H27">
        <v>84</v>
      </c>
      <c r="I27">
        <v>114.8</v>
      </c>
      <c r="J27">
        <v>98</v>
      </c>
      <c r="K27">
        <v>58.3</v>
      </c>
      <c r="L27">
        <v>98.8</v>
      </c>
      <c r="M27">
        <v>155.80000000000001</v>
      </c>
      <c r="N27">
        <v>137.80000000000001</v>
      </c>
      <c r="O27">
        <v>55</v>
      </c>
      <c r="P27">
        <v>114.4</v>
      </c>
      <c r="Q27">
        <v>97.7</v>
      </c>
      <c r="R27">
        <v>119</v>
      </c>
      <c r="S27">
        <v>58.1</v>
      </c>
      <c r="T27">
        <v>143.6</v>
      </c>
      <c r="U27">
        <v>109.1</v>
      </c>
      <c r="V27">
        <v>47.5</v>
      </c>
      <c r="W27">
        <v>73.7</v>
      </c>
      <c r="X27">
        <v>116.3</v>
      </c>
      <c r="Y27">
        <v>69.5</v>
      </c>
    </row>
    <row r="28" spans="1:25" x14ac:dyDescent="0.3">
      <c r="A28" s="7" t="s">
        <v>181</v>
      </c>
      <c r="B28">
        <v>22.5</v>
      </c>
      <c r="C28">
        <v>31</v>
      </c>
      <c r="D28">
        <v>41.3</v>
      </c>
      <c r="E28">
        <v>31.4</v>
      </c>
      <c r="F28">
        <v>22</v>
      </c>
      <c r="G28">
        <v>27.3</v>
      </c>
      <c r="H28">
        <v>26.4</v>
      </c>
      <c r="I28">
        <v>24.9</v>
      </c>
      <c r="J28">
        <v>25</v>
      </c>
      <c r="K28">
        <v>33.9</v>
      </c>
      <c r="L28">
        <v>25.5</v>
      </c>
      <c r="M28">
        <v>24.5</v>
      </c>
      <c r="N28">
        <v>16.5</v>
      </c>
      <c r="O28">
        <v>35.9</v>
      </c>
      <c r="P28">
        <v>23</v>
      </c>
      <c r="Q28">
        <v>27.2</v>
      </c>
      <c r="R28">
        <v>21.9</v>
      </c>
      <c r="S28">
        <v>33.6</v>
      </c>
      <c r="T28">
        <v>23</v>
      </c>
      <c r="U28">
        <v>24.2</v>
      </c>
      <c r="V28">
        <v>36.299999999999997</v>
      </c>
      <c r="W28">
        <v>27.9</v>
      </c>
      <c r="X28">
        <v>23.8</v>
      </c>
      <c r="Y28">
        <v>30.8</v>
      </c>
    </row>
    <row r="29" spans="1:25" x14ac:dyDescent="0.3">
      <c r="A29" s="7" t="s">
        <v>182</v>
      </c>
      <c r="B29">
        <v>29.4</v>
      </c>
      <c r="C29">
        <v>21.3</v>
      </c>
      <c r="D29">
        <v>17.2</v>
      </c>
      <c r="E29">
        <v>20.9</v>
      </c>
      <c r="F29">
        <v>26.9</v>
      </c>
      <c r="G29">
        <v>24.8</v>
      </c>
      <c r="H29">
        <v>22.2</v>
      </c>
      <c r="I29">
        <v>28.5</v>
      </c>
      <c r="J29">
        <v>24.5</v>
      </c>
      <c r="K29">
        <v>19.7</v>
      </c>
      <c r="L29">
        <v>25.2</v>
      </c>
      <c r="M29">
        <v>38.200000000000003</v>
      </c>
      <c r="N29">
        <v>22.8</v>
      </c>
      <c r="O29">
        <v>19.7</v>
      </c>
      <c r="P29">
        <v>26.3</v>
      </c>
      <c r="Q29">
        <v>26.6</v>
      </c>
      <c r="R29">
        <v>26.1</v>
      </c>
      <c r="S29">
        <v>19.5</v>
      </c>
      <c r="T29">
        <v>33</v>
      </c>
      <c r="U29">
        <v>26.4</v>
      </c>
      <c r="V29">
        <v>17.3</v>
      </c>
      <c r="W29">
        <v>20.6</v>
      </c>
      <c r="X29">
        <v>27.7</v>
      </c>
      <c r="Y29">
        <v>21.4</v>
      </c>
    </row>
    <row r="30" spans="1:25" x14ac:dyDescent="0.3">
      <c r="A30" s="7" t="s">
        <v>20</v>
      </c>
    </row>
    <row r="31" spans="1:25" x14ac:dyDescent="0.3">
      <c r="A31" s="7" t="s">
        <v>177</v>
      </c>
      <c r="B31">
        <v>7482686</v>
      </c>
      <c r="C31">
        <v>7657394</v>
      </c>
      <c r="D31">
        <v>37131483</v>
      </c>
      <c r="E31">
        <v>6242012</v>
      </c>
      <c r="F31">
        <v>2797877</v>
      </c>
      <c r="G31">
        <v>12528056</v>
      </c>
      <c r="H31">
        <v>5203462</v>
      </c>
      <c r="I31">
        <v>1173834</v>
      </c>
      <c r="J31">
        <v>2328914</v>
      </c>
      <c r="K31">
        <v>9062136</v>
      </c>
      <c r="L31">
        <v>11072011</v>
      </c>
      <c r="M31">
        <v>5175990</v>
      </c>
      <c r="N31">
        <v>39369</v>
      </c>
      <c r="O31">
        <v>21155506</v>
      </c>
      <c r="P31">
        <v>18377390</v>
      </c>
      <c r="Q31">
        <v>8118326</v>
      </c>
      <c r="R31">
        <v>4156191</v>
      </c>
      <c r="S31">
        <v>18877554</v>
      </c>
      <c r="T31">
        <v>10887987</v>
      </c>
      <c r="U31">
        <v>6091307</v>
      </c>
      <c r="V31">
        <v>60579869</v>
      </c>
      <c r="W31">
        <v>2079008</v>
      </c>
      <c r="X31">
        <v>15092542</v>
      </c>
      <c r="Y31">
        <v>288204311</v>
      </c>
    </row>
    <row r="32" spans="1:25" x14ac:dyDescent="0.3">
      <c r="A32" s="7" t="s">
        <v>178</v>
      </c>
      <c r="B32">
        <v>35094856</v>
      </c>
      <c r="C32">
        <v>26836614</v>
      </c>
      <c r="D32">
        <v>101447454</v>
      </c>
      <c r="E32">
        <v>21826457</v>
      </c>
      <c r="F32">
        <v>13213901</v>
      </c>
      <c r="G32">
        <v>48379469</v>
      </c>
      <c r="H32">
        <v>20952480</v>
      </c>
      <c r="I32">
        <v>4937296</v>
      </c>
      <c r="J32">
        <v>9777646</v>
      </c>
      <c r="K32">
        <v>29835810</v>
      </c>
      <c r="L32">
        <v>45380937</v>
      </c>
      <c r="M32">
        <v>21723427</v>
      </c>
      <c r="N32">
        <v>243765</v>
      </c>
      <c r="O32">
        <v>65648272</v>
      </c>
      <c r="P32">
        <v>83522219</v>
      </c>
      <c r="Q32">
        <v>32302419</v>
      </c>
      <c r="R32">
        <v>19873546</v>
      </c>
      <c r="S32">
        <v>63643113</v>
      </c>
      <c r="T32">
        <v>48852867</v>
      </c>
      <c r="U32">
        <v>26811337</v>
      </c>
      <c r="V32">
        <v>191669327</v>
      </c>
      <c r="W32">
        <v>8289725</v>
      </c>
      <c r="X32">
        <v>67252542</v>
      </c>
      <c r="Y32">
        <v>1009086535</v>
      </c>
    </row>
    <row r="33" spans="1:25" x14ac:dyDescent="0.3">
      <c r="A33" s="7" t="s">
        <v>179</v>
      </c>
      <c r="B33">
        <v>11871670</v>
      </c>
      <c r="C33">
        <v>6589083</v>
      </c>
      <c r="D33">
        <v>19625938</v>
      </c>
      <c r="E33">
        <v>5028356</v>
      </c>
      <c r="F33">
        <v>4439408</v>
      </c>
      <c r="G33">
        <v>13982837</v>
      </c>
      <c r="H33">
        <v>5440051</v>
      </c>
      <c r="I33">
        <v>1660121</v>
      </c>
      <c r="J33">
        <v>2913761</v>
      </c>
      <c r="K33">
        <v>6673017</v>
      </c>
      <c r="L33">
        <v>13150332</v>
      </c>
      <c r="M33">
        <v>9248073</v>
      </c>
      <c r="N33">
        <v>69195</v>
      </c>
      <c r="O33">
        <v>14494888</v>
      </c>
      <c r="P33">
        <v>26217290</v>
      </c>
      <c r="Q33">
        <v>9769915</v>
      </c>
      <c r="R33">
        <v>6070979</v>
      </c>
      <c r="S33">
        <v>14050160</v>
      </c>
      <c r="T33">
        <v>18911321</v>
      </c>
      <c r="U33">
        <v>8438617</v>
      </c>
      <c r="V33">
        <v>36447987</v>
      </c>
      <c r="W33">
        <v>1931238</v>
      </c>
      <c r="X33">
        <v>21555027</v>
      </c>
      <c r="Y33">
        <v>244270151</v>
      </c>
    </row>
    <row r="34" spans="1:25" x14ac:dyDescent="0.3">
      <c r="A34" s="7" t="s">
        <v>180</v>
      </c>
      <c r="B34">
        <v>158.69999999999999</v>
      </c>
      <c r="C34">
        <v>86</v>
      </c>
      <c r="D34">
        <v>52.9</v>
      </c>
      <c r="E34">
        <v>80.599999999999994</v>
      </c>
      <c r="F34">
        <v>158.69999999999999</v>
      </c>
      <c r="G34">
        <v>111.6</v>
      </c>
      <c r="H34">
        <v>104.5</v>
      </c>
      <c r="I34">
        <v>141.4</v>
      </c>
      <c r="J34">
        <v>125.1</v>
      </c>
      <c r="K34">
        <v>73.599999999999994</v>
      </c>
      <c r="L34">
        <v>118.8</v>
      </c>
      <c r="M34">
        <v>178.7</v>
      </c>
      <c r="N34">
        <v>175.8</v>
      </c>
      <c r="O34">
        <v>68.5</v>
      </c>
      <c r="P34">
        <v>142.69999999999999</v>
      </c>
      <c r="Q34">
        <v>120.3</v>
      </c>
      <c r="R34">
        <v>146.1</v>
      </c>
      <c r="S34">
        <v>74.400000000000006</v>
      </c>
      <c r="T34">
        <v>173.7</v>
      </c>
      <c r="U34">
        <v>138.5</v>
      </c>
      <c r="V34">
        <v>60.2</v>
      </c>
      <c r="W34">
        <v>92.9</v>
      </c>
      <c r="X34">
        <v>142.80000000000001</v>
      </c>
      <c r="Y34">
        <v>84.8</v>
      </c>
    </row>
    <row r="35" spans="1:25" x14ac:dyDescent="0.3">
      <c r="A35" s="7" t="s">
        <v>181</v>
      </c>
      <c r="B35">
        <v>21.3</v>
      </c>
      <c r="C35">
        <v>28.5</v>
      </c>
      <c r="D35">
        <v>36.6</v>
      </c>
      <c r="E35">
        <v>28.6</v>
      </c>
      <c r="F35">
        <v>21.2</v>
      </c>
      <c r="G35">
        <v>25.9</v>
      </c>
      <c r="H35">
        <v>24.8</v>
      </c>
      <c r="I35">
        <v>23.8</v>
      </c>
      <c r="J35">
        <v>23.8</v>
      </c>
      <c r="K35">
        <v>30.4</v>
      </c>
      <c r="L35">
        <v>24.4</v>
      </c>
      <c r="M35">
        <v>23.8</v>
      </c>
      <c r="N35">
        <v>16.2</v>
      </c>
      <c r="O35">
        <v>32.200000000000003</v>
      </c>
      <c r="P35">
        <v>22</v>
      </c>
      <c r="Q35">
        <v>25.1</v>
      </c>
      <c r="R35">
        <v>20.9</v>
      </c>
      <c r="S35">
        <v>29.7</v>
      </c>
      <c r="T35">
        <v>22.3</v>
      </c>
      <c r="U35">
        <v>22.7</v>
      </c>
      <c r="V35">
        <v>31.6</v>
      </c>
      <c r="W35">
        <v>25.1</v>
      </c>
      <c r="X35">
        <v>22.4</v>
      </c>
      <c r="Y35">
        <v>28.6</v>
      </c>
    </row>
    <row r="36" spans="1:25" x14ac:dyDescent="0.3">
      <c r="A36" s="7" t="s">
        <v>182</v>
      </c>
      <c r="B36">
        <v>33.799999999999997</v>
      </c>
      <c r="C36">
        <v>24.6</v>
      </c>
      <c r="D36">
        <v>19.3</v>
      </c>
      <c r="E36">
        <v>23</v>
      </c>
      <c r="F36">
        <v>33.6</v>
      </c>
      <c r="G36">
        <v>28.9</v>
      </c>
      <c r="H36">
        <v>26</v>
      </c>
      <c r="I36">
        <v>33.6</v>
      </c>
      <c r="J36">
        <v>29.8</v>
      </c>
      <c r="K36">
        <v>22.4</v>
      </c>
      <c r="L36">
        <v>29</v>
      </c>
      <c r="M36">
        <v>42.6</v>
      </c>
      <c r="N36">
        <v>28.4</v>
      </c>
      <c r="O36">
        <v>22.1</v>
      </c>
      <c r="P36">
        <v>31.4</v>
      </c>
      <c r="Q36">
        <v>30.2</v>
      </c>
      <c r="R36">
        <v>30.5</v>
      </c>
      <c r="S36">
        <v>22.1</v>
      </c>
      <c r="T36">
        <v>38.700000000000003</v>
      </c>
      <c r="U36">
        <v>31.5</v>
      </c>
      <c r="V36">
        <v>19</v>
      </c>
      <c r="W36">
        <v>23.3</v>
      </c>
      <c r="X36">
        <v>32.1</v>
      </c>
      <c r="Y36">
        <v>24.2</v>
      </c>
    </row>
    <row r="37" spans="1:25" x14ac:dyDescent="0.3">
      <c r="A37" s="7" t="s">
        <v>21</v>
      </c>
    </row>
    <row r="38" spans="1:25" x14ac:dyDescent="0.3">
      <c r="A38" s="7" t="s">
        <v>177</v>
      </c>
      <c r="B38">
        <v>6958185</v>
      </c>
      <c r="C38">
        <v>7154945</v>
      </c>
      <c r="D38">
        <v>34349579</v>
      </c>
      <c r="E38">
        <v>5938290</v>
      </c>
      <c r="F38">
        <v>2591114</v>
      </c>
      <c r="G38">
        <v>11944042</v>
      </c>
      <c r="H38">
        <v>4967368</v>
      </c>
      <c r="I38">
        <v>1102038</v>
      </c>
      <c r="J38">
        <v>2050183</v>
      </c>
      <c r="K38">
        <v>8356009</v>
      </c>
      <c r="L38">
        <v>10501185</v>
      </c>
      <c r="M38">
        <v>4875253</v>
      </c>
      <c r="N38">
        <v>34749</v>
      </c>
      <c r="O38">
        <v>20057358</v>
      </c>
      <c r="P38">
        <v>17137641</v>
      </c>
      <c r="Q38">
        <v>7543587</v>
      </c>
      <c r="R38">
        <v>3887303</v>
      </c>
      <c r="S38">
        <v>17722142</v>
      </c>
      <c r="T38">
        <v>10227613</v>
      </c>
      <c r="U38">
        <v>5717785</v>
      </c>
      <c r="V38">
        <v>57457706</v>
      </c>
      <c r="W38">
        <v>1923058</v>
      </c>
      <c r="X38">
        <v>13922335</v>
      </c>
      <c r="Y38">
        <v>275653936</v>
      </c>
    </row>
    <row r="39" spans="1:25" x14ac:dyDescent="0.3">
      <c r="A39" s="7" t="s">
        <v>178</v>
      </c>
      <c r="B39">
        <v>33331855</v>
      </c>
      <c r="C39">
        <v>26793228</v>
      </c>
      <c r="D39">
        <v>107220721</v>
      </c>
      <c r="E39">
        <v>21942559</v>
      </c>
      <c r="F39">
        <v>12584812</v>
      </c>
      <c r="G39">
        <v>47518596</v>
      </c>
      <c r="H39">
        <v>20539356</v>
      </c>
      <c r="I39">
        <v>4776425</v>
      </c>
      <c r="J39">
        <v>9563744</v>
      </c>
      <c r="K39">
        <v>30477610</v>
      </c>
      <c r="L39">
        <v>43615918</v>
      </c>
      <c r="M39">
        <v>20985231</v>
      </c>
      <c r="N39">
        <v>235211</v>
      </c>
      <c r="O39">
        <v>67368367</v>
      </c>
      <c r="P39">
        <v>80091627</v>
      </c>
      <c r="Q39">
        <v>31694202</v>
      </c>
      <c r="R39">
        <v>18927003</v>
      </c>
      <c r="S39">
        <v>65089880</v>
      </c>
      <c r="T39">
        <v>46200516</v>
      </c>
      <c r="U39">
        <v>25695737</v>
      </c>
      <c r="V39">
        <v>198774688</v>
      </c>
      <c r="W39">
        <v>8239631</v>
      </c>
      <c r="X39">
        <v>64874444</v>
      </c>
      <c r="Y39">
        <v>1011011465</v>
      </c>
    </row>
    <row r="40" spans="1:25" x14ac:dyDescent="0.3">
      <c r="A40" s="7" t="s">
        <v>179</v>
      </c>
      <c r="B40">
        <v>13611536</v>
      </c>
      <c r="C40">
        <v>7810294</v>
      </c>
      <c r="D40">
        <v>22955131</v>
      </c>
      <c r="E40">
        <v>5665583</v>
      </c>
      <c r="F40">
        <v>5356575</v>
      </c>
      <c r="G40">
        <v>16070869</v>
      </c>
      <c r="H40">
        <v>6414751</v>
      </c>
      <c r="I40">
        <v>1897242</v>
      </c>
      <c r="J40">
        <v>3502260</v>
      </c>
      <c r="K40">
        <v>7837085</v>
      </c>
      <c r="L40">
        <v>15444817</v>
      </c>
      <c r="M40">
        <v>10063155</v>
      </c>
      <c r="N40">
        <v>83419</v>
      </c>
      <c r="O40">
        <v>16674102</v>
      </c>
      <c r="P40">
        <v>30751536</v>
      </c>
      <c r="Q40">
        <v>11195801</v>
      </c>
      <c r="R40">
        <v>7029963</v>
      </c>
      <c r="S40">
        <v>16456156</v>
      </c>
      <c r="T40">
        <v>21668833</v>
      </c>
      <c r="U40">
        <v>10047638</v>
      </c>
      <c r="V40">
        <v>42213220</v>
      </c>
      <c r="W40">
        <v>2248321</v>
      </c>
      <c r="X40">
        <v>24919618</v>
      </c>
      <c r="Y40">
        <v>282967075</v>
      </c>
    </row>
    <row r="41" spans="1:25" x14ac:dyDescent="0.3">
      <c r="A41" s="7" t="s">
        <v>180</v>
      </c>
      <c r="B41">
        <v>195.6</v>
      </c>
      <c r="C41">
        <v>109.2</v>
      </c>
      <c r="D41">
        <v>66.8</v>
      </c>
      <c r="E41">
        <v>95.4</v>
      </c>
      <c r="F41">
        <v>206.7</v>
      </c>
      <c r="G41">
        <v>134.6</v>
      </c>
      <c r="H41">
        <v>129.1</v>
      </c>
      <c r="I41">
        <v>172.2</v>
      </c>
      <c r="J41">
        <v>170.8</v>
      </c>
      <c r="K41">
        <v>93.8</v>
      </c>
      <c r="L41">
        <v>147.1</v>
      </c>
      <c r="M41">
        <v>206.4</v>
      </c>
      <c r="N41">
        <v>240.1</v>
      </c>
      <c r="O41">
        <v>83.1</v>
      </c>
      <c r="P41">
        <v>179.4</v>
      </c>
      <c r="Q41">
        <v>148.4</v>
      </c>
      <c r="R41">
        <v>180.8</v>
      </c>
      <c r="S41">
        <v>92.9</v>
      </c>
      <c r="T41">
        <v>211.9</v>
      </c>
      <c r="U41">
        <v>175.7</v>
      </c>
      <c r="V41">
        <v>73.5</v>
      </c>
      <c r="W41">
        <v>116.9</v>
      </c>
      <c r="X41">
        <v>179</v>
      </c>
      <c r="Y41">
        <v>102.7</v>
      </c>
    </row>
    <row r="42" spans="1:25" x14ac:dyDescent="0.3">
      <c r="A42" s="7" t="s">
        <v>181</v>
      </c>
      <c r="B42">
        <v>20.9</v>
      </c>
      <c r="C42">
        <v>26.7</v>
      </c>
      <c r="D42">
        <v>32</v>
      </c>
      <c r="E42">
        <v>27.1</v>
      </c>
      <c r="F42">
        <v>20.6</v>
      </c>
      <c r="G42">
        <v>25.1</v>
      </c>
      <c r="H42">
        <v>24.2</v>
      </c>
      <c r="I42">
        <v>23.1</v>
      </c>
      <c r="J42">
        <v>21.4</v>
      </c>
      <c r="K42">
        <v>27.4</v>
      </c>
      <c r="L42">
        <v>24.1</v>
      </c>
      <c r="M42">
        <v>23.2</v>
      </c>
      <c r="N42">
        <v>14.8</v>
      </c>
      <c r="O42">
        <v>29.8</v>
      </c>
      <c r="P42">
        <v>21.4</v>
      </c>
      <c r="Q42">
        <v>23.8</v>
      </c>
      <c r="R42">
        <v>20.5</v>
      </c>
      <c r="S42">
        <v>27.2</v>
      </c>
      <c r="T42">
        <v>22.1</v>
      </c>
      <c r="U42">
        <v>22.3</v>
      </c>
      <c r="V42">
        <v>28.9</v>
      </c>
      <c r="W42">
        <v>23.3</v>
      </c>
      <c r="X42">
        <v>21.5</v>
      </c>
      <c r="Y42">
        <v>27.3</v>
      </c>
    </row>
    <row r="43" spans="1:25" x14ac:dyDescent="0.3">
      <c r="A43" s="7" t="s">
        <v>182</v>
      </c>
      <c r="B43">
        <v>40.799999999999997</v>
      </c>
      <c r="C43">
        <v>29.2</v>
      </c>
      <c r="D43">
        <v>21.4</v>
      </c>
      <c r="E43">
        <v>25.8</v>
      </c>
      <c r="F43">
        <v>42.6</v>
      </c>
      <c r="G43">
        <v>33.799999999999997</v>
      </c>
      <c r="H43">
        <v>31.2</v>
      </c>
      <c r="I43">
        <v>39.700000000000003</v>
      </c>
      <c r="J43">
        <v>36.6</v>
      </c>
      <c r="K43">
        <v>25.7</v>
      </c>
      <c r="L43">
        <v>35.4</v>
      </c>
      <c r="M43">
        <v>48</v>
      </c>
      <c r="N43">
        <v>35.5</v>
      </c>
      <c r="O43">
        <v>24.8</v>
      </c>
      <c r="P43">
        <v>38.4</v>
      </c>
      <c r="Q43">
        <v>35.299999999999997</v>
      </c>
      <c r="R43">
        <v>37.1</v>
      </c>
      <c r="S43">
        <v>25.3</v>
      </c>
      <c r="T43">
        <v>46.9</v>
      </c>
      <c r="U43">
        <v>39.1</v>
      </c>
      <c r="V43">
        <v>21.2</v>
      </c>
      <c r="W43">
        <v>27.3</v>
      </c>
      <c r="X43">
        <v>38.4</v>
      </c>
      <c r="Y43">
        <v>28</v>
      </c>
    </row>
    <row r="44" spans="1:25" x14ac:dyDescent="0.3">
      <c r="A44" s="7" t="s">
        <v>22</v>
      </c>
    </row>
    <row r="45" spans="1:25" x14ac:dyDescent="0.3">
      <c r="A45" s="7" t="s">
        <v>177</v>
      </c>
      <c r="B45">
        <v>6485215</v>
      </c>
      <c r="C45">
        <v>6756656</v>
      </c>
      <c r="D45">
        <v>32962831</v>
      </c>
      <c r="E45">
        <v>5730836</v>
      </c>
      <c r="F45">
        <v>2384064</v>
      </c>
      <c r="G45">
        <v>11393998</v>
      </c>
      <c r="H45">
        <v>4731642</v>
      </c>
      <c r="I45">
        <v>1037772</v>
      </c>
      <c r="J45">
        <v>1764438</v>
      </c>
      <c r="K45">
        <v>7911483</v>
      </c>
      <c r="L45">
        <v>9913673</v>
      </c>
      <c r="M45">
        <v>4542351</v>
      </c>
      <c r="N45">
        <v>29850</v>
      </c>
      <c r="O45">
        <v>19430176</v>
      </c>
      <c r="P45">
        <v>15848379</v>
      </c>
      <c r="Q45">
        <v>7101777</v>
      </c>
      <c r="R45">
        <v>3619566</v>
      </c>
      <c r="S45">
        <v>17093517</v>
      </c>
      <c r="T45">
        <v>9529225</v>
      </c>
      <c r="U45">
        <v>5419383</v>
      </c>
      <c r="V45">
        <v>56786459</v>
      </c>
      <c r="W45">
        <v>1823612</v>
      </c>
      <c r="X45">
        <v>12909507</v>
      </c>
      <c r="Y45">
        <v>266767831</v>
      </c>
    </row>
    <row r="46" spans="1:25" x14ac:dyDescent="0.3">
      <c r="A46" s="7" t="s">
        <v>178</v>
      </c>
      <c r="B46">
        <v>31214488</v>
      </c>
      <c r="C46">
        <v>26485383</v>
      </c>
      <c r="D46">
        <v>111424004</v>
      </c>
      <c r="E46">
        <v>21620297</v>
      </c>
      <c r="F46">
        <v>11805484</v>
      </c>
      <c r="G46">
        <v>45980499</v>
      </c>
      <c r="H46">
        <v>19721721</v>
      </c>
      <c r="I46">
        <v>4539957</v>
      </c>
      <c r="J46">
        <v>9239343</v>
      </c>
      <c r="K46">
        <v>30658504</v>
      </c>
      <c r="L46">
        <v>41480964</v>
      </c>
      <c r="M46">
        <v>20104561</v>
      </c>
      <c r="N46">
        <v>226486</v>
      </c>
      <c r="O46">
        <v>67644886</v>
      </c>
      <c r="P46">
        <v>75420123</v>
      </c>
      <c r="Q46">
        <v>30660934</v>
      </c>
      <c r="R46">
        <v>17617795</v>
      </c>
      <c r="S46">
        <v>64899948</v>
      </c>
      <c r="T46">
        <v>43589188</v>
      </c>
      <c r="U46">
        <v>24314133</v>
      </c>
      <c r="V46">
        <v>200771491</v>
      </c>
      <c r="W46">
        <v>7968537</v>
      </c>
      <c r="X46">
        <v>61381795</v>
      </c>
      <c r="Y46">
        <v>998112942</v>
      </c>
    </row>
    <row r="47" spans="1:25" x14ac:dyDescent="0.3">
      <c r="A47" s="7" t="s">
        <v>179</v>
      </c>
      <c r="B47">
        <v>15464316</v>
      </c>
      <c r="C47">
        <v>8936810</v>
      </c>
      <c r="D47">
        <v>26155623</v>
      </c>
      <c r="E47">
        <v>6453183</v>
      </c>
      <c r="F47">
        <v>6282053</v>
      </c>
      <c r="G47">
        <v>18305547</v>
      </c>
      <c r="H47">
        <v>7550894</v>
      </c>
      <c r="I47">
        <v>2159675</v>
      </c>
      <c r="J47">
        <v>4091655</v>
      </c>
      <c r="K47">
        <v>9008609</v>
      </c>
      <c r="L47">
        <v>17764705</v>
      </c>
      <c r="M47">
        <v>10855774</v>
      </c>
      <c r="N47">
        <v>97787</v>
      </c>
      <c r="O47">
        <v>19287201</v>
      </c>
      <c r="P47">
        <v>35660918</v>
      </c>
      <c r="Q47">
        <v>12619768</v>
      </c>
      <c r="R47">
        <v>8150654</v>
      </c>
      <c r="S47">
        <v>19488073</v>
      </c>
      <c r="T47">
        <v>23927779</v>
      </c>
      <c r="U47">
        <v>11574715</v>
      </c>
      <c r="V47">
        <v>49674881</v>
      </c>
      <c r="W47">
        <v>2667974</v>
      </c>
      <c r="X47">
        <v>28591536</v>
      </c>
      <c r="Y47">
        <v>325263881</v>
      </c>
    </row>
    <row r="48" spans="1:25" x14ac:dyDescent="0.3">
      <c r="A48" s="7" t="s">
        <v>180</v>
      </c>
      <c r="B48">
        <v>238.5</v>
      </c>
      <c r="C48">
        <v>132.30000000000001</v>
      </c>
      <c r="D48">
        <v>79.3</v>
      </c>
      <c r="E48">
        <v>112.6</v>
      </c>
      <c r="F48">
        <v>263.5</v>
      </c>
      <c r="G48">
        <v>160.69999999999999</v>
      </c>
      <c r="H48">
        <v>159.6</v>
      </c>
      <c r="I48">
        <v>208.1</v>
      </c>
      <c r="J48">
        <v>231.9</v>
      </c>
      <c r="K48">
        <v>113.9</v>
      </c>
      <c r="L48">
        <v>179.2</v>
      </c>
      <c r="M48">
        <v>239</v>
      </c>
      <c r="N48">
        <v>327.60000000000002</v>
      </c>
      <c r="O48">
        <v>99.3</v>
      </c>
      <c r="P48">
        <v>225</v>
      </c>
      <c r="Q48">
        <v>177.7</v>
      </c>
      <c r="R48">
        <v>225.2</v>
      </c>
      <c r="S48">
        <v>114</v>
      </c>
      <c r="T48">
        <v>251.1</v>
      </c>
      <c r="U48">
        <v>213.6</v>
      </c>
      <c r="V48">
        <v>87.5</v>
      </c>
      <c r="W48">
        <v>146.30000000000001</v>
      </c>
      <c r="X48">
        <v>221.5</v>
      </c>
      <c r="Y48">
        <v>121.9</v>
      </c>
    </row>
    <row r="49" spans="1:25" x14ac:dyDescent="0.3">
      <c r="A49" s="7" t="s">
        <v>181</v>
      </c>
      <c r="B49">
        <v>20.8</v>
      </c>
      <c r="C49">
        <v>25.5</v>
      </c>
      <c r="D49">
        <v>29.6</v>
      </c>
      <c r="E49">
        <v>26.5</v>
      </c>
      <c r="F49">
        <v>20.2</v>
      </c>
      <c r="G49">
        <v>24.8</v>
      </c>
      <c r="H49">
        <v>24</v>
      </c>
      <c r="I49">
        <v>22.9</v>
      </c>
      <c r="J49">
        <v>19.100000000000001</v>
      </c>
      <c r="K49">
        <v>25.8</v>
      </c>
      <c r="L49">
        <v>23.9</v>
      </c>
      <c r="M49">
        <v>22.6</v>
      </c>
      <c r="N49">
        <v>13.2</v>
      </c>
      <c r="O49">
        <v>28.7</v>
      </c>
      <c r="P49">
        <v>21</v>
      </c>
      <c r="Q49">
        <v>23.2</v>
      </c>
      <c r="R49">
        <v>20.5</v>
      </c>
      <c r="S49">
        <v>26.3</v>
      </c>
      <c r="T49">
        <v>21.9</v>
      </c>
      <c r="U49">
        <v>22.3</v>
      </c>
      <c r="V49">
        <v>28.3</v>
      </c>
      <c r="W49">
        <v>22.9</v>
      </c>
      <c r="X49">
        <v>21</v>
      </c>
      <c r="Y49">
        <v>26.7</v>
      </c>
    </row>
    <row r="50" spans="1:25" x14ac:dyDescent="0.3">
      <c r="A50" s="7" t="s">
        <v>182</v>
      </c>
      <c r="B50">
        <v>49.5</v>
      </c>
      <c r="C50">
        <v>33.700000000000003</v>
      </c>
      <c r="D50">
        <v>23.5</v>
      </c>
      <c r="E50">
        <v>29.8</v>
      </c>
      <c r="F50">
        <v>53.2</v>
      </c>
      <c r="G50">
        <v>39.799999999999997</v>
      </c>
      <c r="H50">
        <v>38.299999999999997</v>
      </c>
      <c r="I50">
        <v>47.6</v>
      </c>
      <c r="J50">
        <v>44.3</v>
      </c>
      <c r="K50">
        <v>29.4</v>
      </c>
      <c r="L50">
        <v>42.8</v>
      </c>
      <c r="M50">
        <v>54</v>
      </c>
      <c r="N50">
        <v>43.2</v>
      </c>
      <c r="O50">
        <v>28.5</v>
      </c>
      <c r="P50">
        <v>47.3</v>
      </c>
      <c r="Q50">
        <v>41.2</v>
      </c>
      <c r="R50">
        <v>46.3</v>
      </c>
      <c r="S50">
        <v>30</v>
      </c>
      <c r="T50">
        <v>54.9</v>
      </c>
      <c r="U50">
        <v>47.6</v>
      </c>
      <c r="V50">
        <v>24.7</v>
      </c>
      <c r="W50">
        <v>33.5</v>
      </c>
      <c r="X50">
        <v>46.6</v>
      </c>
      <c r="Y50">
        <v>32.6</v>
      </c>
    </row>
    <row r="52" spans="1:25" x14ac:dyDescent="0.3">
      <c r="A52" s="7" t="s">
        <v>221</v>
      </c>
    </row>
    <row r="53" spans="1:25" x14ac:dyDescent="0.3">
      <c r="A53" s="7" t="s">
        <v>223</v>
      </c>
    </row>
    <row r="54" spans="1:25" x14ac:dyDescent="0.3">
      <c r="A54" s="7" t="s">
        <v>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G94"/>
  <sheetViews>
    <sheetView workbookViewId="0">
      <selection activeCell="L12" sqref="L12"/>
    </sheetView>
  </sheetViews>
  <sheetFormatPr defaultRowHeight="14.4" x14ac:dyDescent="0.3"/>
  <cols>
    <col min="1" max="1" width="15.21875" customWidth="1"/>
    <col min="2" max="4" width="8.77734375" style="6" customWidth="1"/>
    <col min="5" max="6" width="8.77734375" style="6" hidden="1" customWidth="1"/>
    <col min="7" max="7" width="19.88671875" style="6" customWidth="1"/>
  </cols>
  <sheetData>
    <row r="1" spans="1:7" x14ac:dyDescent="0.3">
      <c r="A1" s="2" t="s">
        <v>186</v>
      </c>
      <c r="B1" s="1"/>
      <c r="C1" s="1"/>
      <c r="D1" s="1"/>
      <c r="E1" s="1"/>
    </row>
    <row r="2" spans="1:7" x14ac:dyDescent="0.3">
      <c r="A2" t="s">
        <v>187</v>
      </c>
      <c r="B2" s="35" t="s">
        <v>198</v>
      </c>
      <c r="C2" s="35"/>
      <c r="D2" s="35"/>
      <c r="E2" s="36" t="s">
        <v>224</v>
      </c>
      <c r="F2" s="36"/>
      <c r="G2" s="36"/>
    </row>
    <row r="3" spans="1:7" x14ac:dyDescent="0.3">
      <c r="B3" s="6" t="s">
        <v>74</v>
      </c>
      <c r="C3" s="6" t="s">
        <v>75</v>
      </c>
      <c r="D3" s="6" t="s">
        <v>73</v>
      </c>
      <c r="E3" s="6" t="s">
        <v>74</v>
      </c>
      <c r="F3" s="6" t="s">
        <v>75</v>
      </c>
      <c r="G3" s="6" t="s">
        <v>73</v>
      </c>
    </row>
    <row r="4" spans="1:7" x14ac:dyDescent="0.3">
      <c r="A4" s="7" t="s">
        <v>188</v>
      </c>
    </row>
    <row r="5" spans="1:7" x14ac:dyDescent="0.3">
      <c r="A5" t="s">
        <v>189</v>
      </c>
      <c r="B5" s="6">
        <v>35.1</v>
      </c>
      <c r="C5" s="6">
        <v>31.2</v>
      </c>
      <c r="D5" s="6">
        <v>66.3</v>
      </c>
      <c r="G5" s="6">
        <v>12.1</v>
      </c>
    </row>
    <row r="6" spans="1:7" x14ac:dyDescent="0.3">
      <c r="A6" t="s">
        <v>190</v>
      </c>
      <c r="B6" s="6">
        <v>45.7</v>
      </c>
      <c r="C6" s="6">
        <v>41</v>
      </c>
      <c r="D6" s="6">
        <v>86.7</v>
      </c>
      <c r="G6" s="6">
        <v>12.7</v>
      </c>
    </row>
    <row r="7" spans="1:7" x14ac:dyDescent="0.3">
      <c r="A7" t="s">
        <v>191</v>
      </c>
      <c r="B7" s="6">
        <v>58.6</v>
      </c>
      <c r="C7" s="6">
        <v>52.3</v>
      </c>
      <c r="D7" s="6">
        <v>110.9</v>
      </c>
      <c r="G7" s="6">
        <v>13.1</v>
      </c>
    </row>
    <row r="8" spans="1:7" x14ac:dyDescent="0.3">
      <c r="A8" t="s">
        <v>192</v>
      </c>
      <c r="B8" s="6">
        <v>74.7</v>
      </c>
      <c r="C8" s="6">
        <v>66.8</v>
      </c>
      <c r="D8" s="6">
        <v>141.5</v>
      </c>
      <c r="G8" s="6">
        <v>13.8</v>
      </c>
    </row>
    <row r="9" spans="1:7" x14ac:dyDescent="0.3">
      <c r="A9" t="s">
        <v>42</v>
      </c>
      <c r="B9" s="6">
        <v>88.5</v>
      </c>
      <c r="C9" s="6">
        <v>80.5</v>
      </c>
      <c r="D9" s="6">
        <v>169</v>
      </c>
      <c r="G9" s="6">
        <v>14</v>
      </c>
    </row>
    <row r="10" spans="1:7" x14ac:dyDescent="0.3">
      <c r="A10" t="s">
        <v>43</v>
      </c>
      <c r="B10" s="6">
        <v>99.4</v>
      </c>
      <c r="C10" s="6">
        <v>90.7</v>
      </c>
      <c r="D10" s="6">
        <v>190.1</v>
      </c>
      <c r="E10" s="6">
        <v>14.2</v>
      </c>
      <c r="F10" s="6">
        <v>13.7</v>
      </c>
      <c r="G10" s="6">
        <v>14</v>
      </c>
    </row>
    <row r="11" spans="1:7" x14ac:dyDescent="0.3">
      <c r="A11" t="s">
        <v>17</v>
      </c>
      <c r="B11" s="6">
        <v>103.6</v>
      </c>
      <c r="C11" s="6">
        <v>94.9</v>
      </c>
      <c r="D11" s="6">
        <v>198.5</v>
      </c>
      <c r="E11" s="6">
        <v>14.2</v>
      </c>
      <c r="F11" s="6">
        <v>13.7</v>
      </c>
      <c r="G11" s="6">
        <v>14</v>
      </c>
    </row>
    <row r="12" spans="1:7" x14ac:dyDescent="0.3">
      <c r="A12" t="s">
        <v>18</v>
      </c>
      <c r="B12" s="6">
        <v>107</v>
      </c>
      <c r="C12" s="6">
        <v>98.5</v>
      </c>
      <c r="D12" s="6">
        <v>205.5</v>
      </c>
      <c r="E12" s="6">
        <v>14.2</v>
      </c>
      <c r="F12" s="6">
        <v>13.7</v>
      </c>
      <c r="G12" s="6">
        <v>13.9</v>
      </c>
    </row>
    <row r="13" spans="1:7" x14ac:dyDescent="0.3">
      <c r="A13" t="s">
        <v>19</v>
      </c>
      <c r="B13" s="6">
        <v>109.7</v>
      </c>
      <c r="C13" s="6">
        <v>101.4</v>
      </c>
      <c r="D13" s="6">
        <v>211.1</v>
      </c>
      <c r="E13" s="6">
        <v>14.2</v>
      </c>
      <c r="F13" s="6">
        <v>13.7</v>
      </c>
      <c r="G13" s="6">
        <v>13.9</v>
      </c>
    </row>
    <row r="14" spans="1:7" x14ac:dyDescent="0.3">
      <c r="A14" t="s">
        <v>20</v>
      </c>
      <c r="B14" s="6">
        <v>111.6</v>
      </c>
      <c r="C14" s="6">
        <v>103.9</v>
      </c>
      <c r="D14" s="6">
        <v>215.5</v>
      </c>
      <c r="E14" s="6">
        <v>14.1</v>
      </c>
      <c r="F14" s="6">
        <v>13.7</v>
      </c>
      <c r="G14" s="6">
        <v>13.9</v>
      </c>
    </row>
    <row r="15" spans="1:7" x14ac:dyDescent="0.3">
      <c r="A15" t="s">
        <v>21</v>
      </c>
      <c r="B15" s="6">
        <v>112.9</v>
      </c>
      <c r="C15" s="6">
        <v>105.7</v>
      </c>
      <c r="D15" s="6">
        <v>218.5</v>
      </c>
      <c r="E15" s="6">
        <v>14.1</v>
      </c>
      <c r="F15" s="6">
        <v>13.7</v>
      </c>
      <c r="G15" s="6">
        <v>13.9</v>
      </c>
    </row>
    <row r="16" spans="1:7" x14ac:dyDescent="0.3">
      <c r="A16" t="s">
        <v>22</v>
      </c>
      <c r="B16" s="6">
        <v>113.5</v>
      </c>
      <c r="C16" s="6">
        <v>106.9</v>
      </c>
      <c r="D16" s="6">
        <v>220.3</v>
      </c>
      <c r="E16" s="6">
        <v>14.1</v>
      </c>
      <c r="F16" s="6">
        <v>13.7</v>
      </c>
      <c r="G16" s="6">
        <v>13.9</v>
      </c>
    </row>
    <row r="17" spans="1:7" x14ac:dyDescent="0.3">
      <c r="A17" s="7" t="s">
        <v>193</v>
      </c>
    </row>
    <row r="18" spans="1:7" x14ac:dyDescent="0.3">
      <c r="A18" t="s">
        <v>189</v>
      </c>
      <c r="B18" s="6">
        <v>87.7</v>
      </c>
      <c r="C18" s="6">
        <v>79.900000000000006</v>
      </c>
      <c r="D18" s="6">
        <v>167.6</v>
      </c>
      <c r="G18" s="6">
        <v>30.6</v>
      </c>
    </row>
    <row r="19" spans="1:7" x14ac:dyDescent="0.3">
      <c r="A19" t="s">
        <v>190</v>
      </c>
      <c r="B19" s="6">
        <v>109.6</v>
      </c>
      <c r="C19" s="6">
        <v>100</v>
      </c>
      <c r="D19" s="6">
        <v>209.6</v>
      </c>
      <c r="G19" s="6">
        <v>30.7</v>
      </c>
    </row>
    <row r="20" spans="1:7" x14ac:dyDescent="0.3">
      <c r="A20" t="s">
        <v>191</v>
      </c>
      <c r="B20" s="6">
        <v>138.5</v>
      </c>
      <c r="C20" s="6">
        <v>124.3</v>
      </c>
      <c r="D20" s="6">
        <v>262.8</v>
      </c>
      <c r="G20" s="6">
        <v>31</v>
      </c>
    </row>
    <row r="21" spans="1:7" x14ac:dyDescent="0.3">
      <c r="A21" t="s">
        <v>192</v>
      </c>
      <c r="B21" s="6">
        <v>172.7</v>
      </c>
      <c r="C21" s="6">
        <v>157.69999999999999</v>
      </c>
      <c r="D21" s="6">
        <v>330.4</v>
      </c>
      <c r="G21" s="6">
        <v>32.1</v>
      </c>
    </row>
    <row r="22" spans="1:7" x14ac:dyDescent="0.3">
      <c r="A22" t="s">
        <v>42</v>
      </c>
      <c r="B22" s="6">
        <v>209.2</v>
      </c>
      <c r="C22" s="6">
        <v>192.9</v>
      </c>
      <c r="D22" s="6">
        <v>402.1</v>
      </c>
      <c r="G22" s="6">
        <v>33.200000000000003</v>
      </c>
    </row>
    <row r="23" spans="1:7" x14ac:dyDescent="0.3">
      <c r="A23" t="s">
        <v>43</v>
      </c>
      <c r="B23" s="6">
        <v>244.8</v>
      </c>
      <c r="C23" s="6">
        <v>226.3</v>
      </c>
      <c r="D23" s="6">
        <v>471.1</v>
      </c>
      <c r="E23" s="6">
        <v>35</v>
      </c>
      <c r="F23" s="6">
        <v>34.299999999999997</v>
      </c>
      <c r="G23" s="6">
        <v>34.6</v>
      </c>
    </row>
    <row r="24" spans="1:7" x14ac:dyDescent="0.3">
      <c r="A24" t="s">
        <v>17</v>
      </c>
      <c r="B24" s="6">
        <v>262</v>
      </c>
      <c r="C24" s="6">
        <v>242.7</v>
      </c>
      <c r="D24" s="6">
        <v>504.7</v>
      </c>
      <c r="E24" s="6">
        <v>35.9</v>
      </c>
      <c r="F24" s="6">
        <v>35.1</v>
      </c>
      <c r="G24" s="6">
        <v>35.5</v>
      </c>
    </row>
    <row r="25" spans="1:7" x14ac:dyDescent="0.3">
      <c r="A25" t="s">
        <v>18</v>
      </c>
      <c r="B25" s="6">
        <v>277.39999999999998</v>
      </c>
      <c r="C25" s="6">
        <v>257.60000000000002</v>
      </c>
      <c r="D25" s="6">
        <v>535</v>
      </c>
      <c r="E25" s="6">
        <v>36.799999999999997</v>
      </c>
      <c r="F25" s="6">
        <v>35.799999999999997</v>
      </c>
      <c r="G25" s="6">
        <v>36.4</v>
      </c>
    </row>
    <row r="26" spans="1:7" x14ac:dyDescent="0.3">
      <c r="A26" t="s">
        <v>19</v>
      </c>
      <c r="B26" s="6">
        <v>290</v>
      </c>
      <c r="C26" s="6">
        <v>270</v>
      </c>
      <c r="D26" s="6">
        <v>560</v>
      </c>
      <c r="E26" s="6">
        <v>37.4</v>
      </c>
      <c r="F26" s="6">
        <v>36.4</v>
      </c>
      <c r="G26" s="6">
        <v>37</v>
      </c>
    </row>
    <row r="27" spans="1:7" x14ac:dyDescent="0.3">
      <c r="A27" t="s">
        <v>20</v>
      </c>
      <c r="B27" s="6">
        <v>300.5</v>
      </c>
      <c r="C27" s="6">
        <v>280.8</v>
      </c>
      <c r="D27" s="6">
        <v>581.29999999999995</v>
      </c>
      <c r="E27" s="6">
        <v>38.1</v>
      </c>
      <c r="F27" s="6">
        <v>37</v>
      </c>
      <c r="G27" s="6">
        <v>37.6</v>
      </c>
    </row>
    <row r="28" spans="1:7" x14ac:dyDescent="0.3">
      <c r="A28" t="s">
        <v>21</v>
      </c>
      <c r="B28" s="6">
        <v>310</v>
      </c>
      <c r="C28" s="6">
        <v>290.60000000000002</v>
      </c>
      <c r="D28" s="6">
        <v>600.6</v>
      </c>
      <c r="E28" s="6">
        <v>38.700000000000003</v>
      </c>
      <c r="F28" s="6">
        <v>37.6</v>
      </c>
      <c r="G28" s="6">
        <v>38.200000000000003</v>
      </c>
    </row>
    <row r="29" spans="1:7" x14ac:dyDescent="0.3">
      <c r="A29" t="s">
        <v>22</v>
      </c>
      <c r="B29" s="6">
        <v>318.39999999999998</v>
      </c>
      <c r="C29" s="6">
        <v>299.5</v>
      </c>
      <c r="D29" s="6">
        <v>617.9</v>
      </c>
      <c r="E29" s="6">
        <v>39.4</v>
      </c>
      <c r="F29" s="6">
        <v>38.200000000000003</v>
      </c>
      <c r="G29" s="6">
        <v>38.799999999999997</v>
      </c>
    </row>
    <row r="30" spans="1:7" x14ac:dyDescent="0.3">
      <c r="A30" s="7" t="s">
        <v>194</v>
      </c>
    </row>
    <row r="31" spans="1:7" x14ac:dyDescent="0.3">
      <c r="A31" t="s">
        <v>189</v>
      </c>
      <c r="B31" s="6">
        <v>41.8</v>
      </c>
      <c r="C31" s="6">
        <v>38.700000000000003</v>
      </c>
      <c r="D31" s="6">
        <v>80.5</v>
      </c>
      <c r="G31" s="6">
        <v>14.7</v>
      </c>
    </row>
    <row r="32" spans="1:7" x14ac:dyDescent="0.3">
      <c r="A32" t="s">
        <v>190</v>
      </c>
      <c r="B32" s="6">
        <v>51</v>
      </c>
      <c r="C32" s="6">
        <v>47.6</v>
      </c>
      <c r="D32" s="6">
        <v>98.6</v>
      </c>
      <c r="G32" s="6">
        <v>14.4</v>
      </c>
    </row>
    <row r="33" spans="1:7" x14ac:dyDescent="0.3">
      <c r="A33" t="s">
        <v>191</v>
      </c>
      <c r="B33" s="6">
        <v>62.9</v>
      </c>
      <c r="C33" s="6">
        <v>58.6</v>
      </c>
      <c r="D33" s="6">
        <v>121.5</v>
      </c>
      <c r="G33" s="6">
        <v>14.4</v>
      </c>
    </row>
    <row r="34" spans="1:7" x14ac:dyDescent="0.3">
      <c r="A34" t="s">
        <v>192</v>
      </c>
      <c r="B34" s="6">
        <v>74</v>
      </c>
      <c r="C34" s="6">
        <v>69.900000000000006</v>
      </c>
      <c r="D34" s="6">
        <v>143.9</v>
      </c>
      <c r="G34" s="6">
        <v>14</v>
      </c>
    </row>
    <row r="35" spans="1:7" x14ac:dyDescent="0.3">
      <c r="A35" t="s">
        <v>42</v>
      </c>
      <c r="B35" s="6">
        <v>85</v>
      </c>
      <c r="C35" s="6">
        <v>81.3</v>
      </c>
      <c r="D35" s="6">
        <v>166.3</v>
      </c>
      <c r="G35" s="6">
        <v>13.7</v>
      </c>
    </row>
    <row r="36" spans="1:7" x14ac:dyDescent="0.3">
      <c r="A36" t="s">
        <v>43</v>
      </c>
      <c r="B36" s="6">
        <v>93</v>
      </c>
      <c r="C36" s="6">
        <v>89.4</v>
      </c>
      <c r="D36" s="6">
        <v>182.3</v>
      </c>
      <c r="E36" s="6">
        <v>13.4</v>
      </c>
      <c r="F36" s="6">
        <v>13.5</v>
      </c>
      <c r="G36" s="6">
        <v>13.4</v>
      </c>
    </row>
    <row r="37" spans="1:7" x14ac:dyDescent="0.3">
      <c r="A37" t="s">
        <v>17</v>
      </c>
      <c r="B37" s="6">
        <v>95.9</v>
      </c>
      <c r="C37" s="6">
        <v>92.6</v>
      </c>
      <c r="D37" s="6">
        <v>188.5</v>
      </c>
      <c r="E37" s="6">
        <v>13.2</v>
      </c>
      <c r="F37" s="6">
        <v>13.4</v>
      </c>
      <c r="G37" s="6">
        <v>13.3</v>
      </c>
    </row>
    <row r="38" spans="1:7" x14ac:dyDescent="0.3">
      <c r="A38" t="s">
        <v>18</v>
      </c>
      <c r="B38" s="6">
        <v>98.3</v>
      </c>
      <c r="C38" s="6">
        <v>95.3</v>
      </c>
      <c r="D38" s="6">
        <v>193.6</v>
      </c>
      <c r="E38" s="6">
        <v>13</v>
      </c>
      <c r="F38" s="6">
        <v>13.3</v>
      </c>
      <c r="G38" s="6">
        <v>13.2</v>
      </c>
    </row>
    <row r="39" spans="1:7" x14ac:dyDescent="0.3">
      <c r="A39" t="s">
        <v>19</v>
      </c>
      <c r="B39" s="6">
        <v>99.9</v>
      </c>
      <c r="C39" s="6">
        <v>97.4</v>
      </c>
      <c r="D39" s="6">
        <v>197.3</v>
      </c>
      <c r="E39" s="6">
        <v>12.9</v>
      </c>
      <c r="F39" s="6">
        <v>13.1</v>
      </c>
      <c r="G39" s="6">
        <v>13</v>
      </c>
    </row>
    <row r="40" spans="1:7" x14ac:dyDescent="0.3">
      <c r="A40" t="s">
        <v>20</v>
      </c>
      <c r="B40" s="6">
        <v>100.9</v>
      </c>
      <c r="C40" s="6">
        <v>98.8</v>
      </c>
      <c r="D40" s="6">
        <v>199.7</v>
      </c>
      <c r="E40" s="6">
        <v>12.8</v>
      </c>
      <c r="F40" s="6">
        <v>13</v>
      </c>
      <c r="G40" s="6">
        <v>12.9</v>
      </c>
    </row>
    <row r="41" spans="1:7" x14ac:dyDescent="0.3">
      <c r="A41" t="s">
        <v>21</v>
      </c>
      <c r="B41" s="6">
        <v>101.2</v>
      </c>
      <c r="C41" s="6">
        <v>99.6</v>
      </c>
      <c r="D41" s="6">
        <v>200.8</v>
      </c>
      <c r="E41" s="6">
        <v>12.6</v>
      </c>
      <c r="F41" s="6">
        <v>12.9</v>
      </c>
      <c r="G41" s="6">
        <v>12.8</v>
      </c>
    </row>
    <row r="42" spans="1:7" x14ac:dyDescent="0.3">
      <c r="A42" t="s">
        <v>22</v>
      </c>
      <c r="B42" s="6">
        <v>101</v>
      </c>
      <c r="C42" s="6">
        <v>99.9</v>
      </c>
      <c r="D42" s="6">
        <v>200.8</v>
      </c>
      <c r="E42" s="6">
        <v>12.5</v>
      </c>
      <c r="F42" s="6">
        <v>12.8</v>
      </c>
      <c r="G42" s="6">
        <v>12.6</v>
      </c>
    </row>
    <row r="43" spans="1:7" x14ac:dyDescent="0.3">
      <c r="A43" s="7" t="s">
        <v>195</v>
      </c>
    </row>
    <row r="44" spans="1:7" x14ac:dyDescent="0.3">
      <c r="A44" t="s">
        <v>189</v>
      </c>
      <c r="B44" s="6">
        <v>40</v>
      </c>
      <c r="C44" s="6">
        <v>37.299999999999997</v>
      </c>
      <c r="D44" s="6">
        <v>77.3</v>
      </c>
      <c r="G44" s="6">
        <v>14.1</v>
      </c>
    </row>
    <row r="45" spans="1:7" x14ac:dyDescent="0.3">
      <c r="A45" t="s">
        <v>190</v>
      </c>
      <c r="B45" s="6">
        <v>50.1</v>
      </c>
      <c r="C45" s="6">
        <v>47</v>
      </c>
      <c r="D45" s="6">
        <v>97.1</v>
      </c>
      <c r="G45" s="6">
        <v>14.2</v>
      </c>
    </row>
    <row r="46" spans="1:7" x14ac:dyDescent="0.3">
      <c r="A46" t="s">
        <v>191</v>
      </c>
      <c r="B46" s="6">
        <v>62.3</v>
      </c>
      <c r="C46" s="6">
        <v>58.2</v>
      </c>
      <c r="D46" s="6">
        <v>120.5</v>
      </c>
      <c r="G46" s="6">
        <v>14.2</v>
      </c>
    </row>
    <row r="47" spans="1:7" x14ac:dyDescent="0.3">
      <c r="A47" t="s">
        <v>192</v>
      </c>
      <c r="B47" s="6">
        <v>77</v>
      </c>
      <c r="C47" s="6">
        <v>70.900000000000006</v>
      </c>
      <c r="D47" s="6">
        <v>147.9</v>
      </c>
      <c r="G47" s="6">
        <v>14.4</v>
      </c>
    </row>
    <row r="48" spans="1:7" x14ac:dyDescent="0.3">
      <c r="A48" t="s">
        <v>42</v>
      </c>
      <c r="B48" s="6">
        <v>90.1</v>
      </c>
      <c r="C48" s="6">
        <v>83.3</v>
      </c>
      <c r="D48" s="6">
        <v>173.4</v>
      </c>
      <c r="G48" s="6">
        <v>14.3</v>
      </c>
    </row>
    <row r="49" spans="1:7" x14ac:dyDescent="0.3">
      <c r="A49" t="s">
        <v>43</v>
      </c>
      <c r="B49" s="6">
        <v>98.7</v>
      </c>
      <c r="C49" s="6">
        <v>91.5</v>
      </c>
      <c r="D49" s="6">
        <v>190.3</v>
      </c>
      <c r="E49" s="6">
        <v>14.1</v>
      </c>
      <c r="F49" s="6">
        <v>13.9</v>
      </c>
      <c r="G49" s="6">
        <v>14</v>
      </c>
    </row>
    <row r="50" spans="1:7" x14ac:dyDescent="0.3">
      <c r="A50" t="s">
        <v>17</v>
      </c>
      <c r="B50" s="6">
        <v>101.1</v>
      </c>
      <c r="C50" s="6">
        <v>94.2</v>
      </c>
      <c r="D50" s="6">
        <v>195.3</v>
      </c>
      <c r="E50" s="6">
        <v>13.9</v>
      </c>
      <c r="F50" s="6">
        <v>13.6</v>
      </c>
      <c r="G50" s="6">
        <v>13.7</v>
      </c>
    </row>
    <row r="51" spans="1:7" x14ac:dyDescent="0.3">
      <c r="A51" t="s">
        <v>18</v>
      </c>
      <c r="B51" s="6">
        <v>102.9</v>
      </c>
      <c r="C51" s="6">
        <v>96.5</v>
      </c>
      <c r="D51" s="6">
        <v>199.3</v>
      </c>
      <c r="E51" s="6">
        <v>13.6</v>
      </c>
      <c r="F51" s="6">
        <v>13.4</v>
      </c>
      <c r="G51" s="6">
        <v>13.5</v>
      </c>
    </row>
    <row r="52" spans="1:7" x14ac:dyDescent="0.3">
      <c r="A52" t="s">
        <v>19</v>
      </c>
      <c r="B52" s="6">
        <v>104</v>
      </c>
      <c r="C52" s="6">
        <v>98.3</v>
      </c>
      <c r="D52" s="6">
        <v>202.4</v>
      </c>
      <c r="E52" s="6">
        <v>13.4</v>
      </c>
      <c r="F52" s="6">
        <v>13.3</v>
      </c>
      <c r="G52" s="6">
        <v>13.4</v>
      </c>
    </row>
    <row r="53" spans="1:7" x14ac:dyDescent="0.3">
      <c r="A53" t="s">
        <v>20</v>
      </c>
      <c r="B53" s="6">
        <v>104.6</v>
      </c>
      <c r="C53" s="6">
        <v>99.7</v>
      </c>
      <c r="D53" s="6">
        <v>204.3</v>
      </c>
      <c r="E53" s="6">
        <v>13.3</v>
      </c>
      <c r="F53" s="6">
        <v>13.2</v>
      </c>
      <c r="G53" s="6">
        <v>13.2</v>
      </c>
    </row>
    <row r="54" spans="1:7" x14ac:dyDescent="0.3">
      <c r="A54" t="s">
        <v>21</v>
      </c>
      <c r="B54" s="6">
        <v>104.5</v>
      </c>
      <c r="C54" s="6">
        <v>100.5</v>
      </c>
      <c r="D54" s="6">
        <v>205</v>
      </c>
      <c r="E54" s="6">
        <v>13.1</v>
      </c>
      <c r="F54" s="6">
        <v>13</v>
      </c>
      <c r="G54" s="6">
        <v>13</v>
      </c>
    </row>
    <row r="55" spans="1:7" x14ac:dyDescent="0.3">
      <c r="A55" t="s">
        <v>22</v>
      </c>
      <c r="B55" s="6">
        <v>103.7</v>
      </c>
      <c r="C55" s="6">
        <v>100.6</v>
      </c>
      <c r="D55" s="6">
        <v>204.3</v>
      </c>
      <c r="E55" s="6">
        <v>12.9</v>
      </c>
      <c r="F55" s="6">
        <v>12.9</v>
      </c>
      <c r="G55" s="6">
        <v>12.9</v>
      </c>
    </row>
    <row r="56" spans="1:7" x14ac:dyDescent="0.3">
      <c r="A56" s="7" t="s">
        <v>196</v>
      </c>
    </row>
    <row r="57" spans="1:7" x14ac:dyDescent="0.3">
      <c r="A57" t="s">
        <v>189</v>
      </c>
      <c r="B57" s="6">
        <v>69.099999999999994</v>
      </c>
      <c r="C57" s="6">
        <v>67.599999999999994</v>
      </c>
      <c r="D57" s="6">
        <v>136.69999999999999</v>
      </c>
      <c r="G57" s="6">
        <v>24.9</v>
      </c>
    </row>
    <row r="58" spans="1:7" x14ac:dyDescent="0.3">
      <c r="A58" t="s">
        <v>190</v>
      </c>
      <c r="B58" s="6">
        <v>84</v>
      </c>
      <c r="C58" s="6">
        <v>82.4</v>
      </c>
      <c r="D58" s="6">
        <v>166.4</v>
      </c>
      <c r="G58" s="6">
        <v>24.3</v>
      </c>
    </row>
    <row r="59" spans="1:7" x14ac:dyDescent="0.3">
      <c r="A59" t="s">
        <v>191</v>
      </c>
      <c r="B59" s="6">
        <v>100.4</v>
      </c>
      <c r="C59" s="6">
        <v>98.3</v>
      </c>
      <c r="D59" s="6">
        <v>198.7</v>
      </c>
      <c r="G59" s="6">
        <v>23.5</v>
      </c>
    </row>
    <row r="60" spans="1:7" x14ac:dyDescent="0.3">
      <c r="A60" t="s">
        <v>192</v>
      </c>
      <c r="B60" s="6">
        <v>113.7</v>
      </c>
      <c r="C60" s="6">
        <v>112.4</v>
      </c>
      <c r="D60" s="6">
        <v>226.1</v>
      </c>
      <c r="G60" s="6">
        <v>22</v>
      </c>
    </row>
    <row r="61" spans="1:7" x14ac:dyDescent="0.3">
      <c r="A61" t="s">
        <v>42</v>
      </c>
      <c r="B61" s="6">
        <v>127.2</v>
      </c>
      <c r="C61" s="6">
        <v>127.2</v>
      </c>
      <c r="D61" s="6">
        <v>254.4</v>
      </c>
      <c r="G61" s="6">
        <v>21</v>
      </c>
    </row>
    <row r="62" spans="1:7" x14ac:dyDescent="0.3">
      <c r="A62" t="s">
        <v>43</v>
      </c>
      <c r="B62" s="6">
        <v>136.19999999999999</v>
      </c>
      <c r="C62" s="6">
        <v>137.1</v>
      </c>
      <c r="D62" s="6">
        <v>273.3</v>
      </c>
      <c r="E62" s="6">
        <v>19.5</v>
      </c>
      <c r="F62" s="6">
        <v>20.7</v>
      </c>
      <c r="G62" s="6">
        <v>20.100000000000001</v>
      </c>
    </row>
    <row r="63" spans="1:7" x14ac:dyDescent="0.3">
      <c r="A63" t="s">
        <v>17</v>
      </c>
      <c r="B63" s="6">
        <v>138.5</v>
      </c>
      <c r="C63" s="6">
        <v>139.9</v>
      </c>
      <c r="D63" s="6">
        <v>278.5</v>
      </c>
      <c r="E63" s="6">
        <v>19</v>
      </c>
      <c r="F63" s="6">
        <v>20.2</v>
      </c>
      <c r="G63" s="6">
        <v>19.600000000000001</v>
      </c>
    </row>
    <row r="64" spans="1:7" x14ac:dyDescent="0.3">
      <c r="A64" t="s">
        <v>18</v>
      </c>
      <c r="B64" s="6">
        <v>139.9</v>
      </c>
      <c r="C64" s="6">
        <v>142</v>
      </c>
      <c r="D64" s="6">
        <v>281.89999999999998</v>
      </c>
      <c r="E64" s="6">
        <v>18.5</v>
      </c>
      <c r="F64" s="6">
        <v>19.8</v>
      </c>
      <c r="G64" s="6">
        <v>19.100000000000001</v>
      </c>
    </row>
    <row r="65" spans="1:7" x14ac:dyDescent="0.3">
      <c r="A65" t="s">
        <v>19</v>
      </c>
      <c r="B65" s="6">
        <v>140.6</v>
      </c>
      <c r="C65" s="6">
        <v>143.4</v>
      </c>
      <c r="D65" s="6">
        <v>284</v>
      </c>
      <c r="E65" s="6">
        <v>18.2</v>
      </c>
      <c r="F65" s="6">
        <v>19.399999999999999</v>
      </c>
      <c r="G65" s="6">
        <v>18.7</v>
      </c>
    </row>
    <row r="66" spans="1:7" x14ac:dyDescent="0.3">
      <c r="A66" t="s">
        <v>20</v>
      </c>
      <c r="B66" s="6">
        <v>140.69999999999999</v>
      </c>
      <c r="C66" s="6">
        <v>143.80000000000001</v>
      </c>
      <c r="D66" s="6">
        <v>284.39999999999998</v>
      </c>
      <c r="E66" s="6">
        <v>17.8</v>
      </c>
      <c r="F66" s="6">
        <v>19</v>
      </c>
      <c r="G66" s="6">
        <v>18.399999999999999</v>
      </c>
    </row>
    <row r="67" spans="1:7" x14ac:dyDescent="0.3">
      <c r="A67" t="s">
        <v>21</v>
      </c>
      <c r="B67" s="6">
        <v>139.80000000000001</v>
      </c>
      <c r="C67" s="6">
        <v>143.6</v>
      </c>
      <c r="D67" s="6">
        <v>283.39999999999998</v>
      </c>
      <c r="E67" s="6">
        <v>17.5</v>
      </c>
      <c r="F67" s="6">
        <v>18.600000000000001</v>
      </c>
      <c r="G67" s="6">
        <v>18</v>
      </c>
    </row>
    <row r="68" spans="1:7" x14ac:dyDescent="0.3">
      <c r="A68" t="s">
        <v>22</v>
      </c>
      <c r="B68" s="6">
        <v>138.1</v>
      </c>
      <c r="C68" s="6">
        <v>142.6</v>
      </c>
      <c r="D68" s="6">
        <v>280.8</v>
      </c>
      <c r="E68" s="6">
        <v>17.100000000000001</v>
      </c>
      <c r="F68" s="6">
        <v>18.2</v>
      </c>
      <c r="G68" s="6">
        <v>17.7</v>
      </c>
    </row>
    <row r="69" spans="1:7" x14ac:dyDescent="0.3">
      <c r="A69" s="7" t="s">
        <v>197</v>
      </c>
    </row>
    <row r="70" spans="1:7" x14ac:dyDescent="0.3">
      <c r="A70" t="s">
        <v>189</v>
      </c>
      <c r="B70" s="6">
        <v>10.4</v>
      </c>
      <c r="C70" s="6">
        <v>9.4</v>
      </c>
      <c r="D70" s="6">
        <v>19.8</v>
      </c>
      <c r="G70" s="6">
        <v>3.6</v>
      </c>
    </row>
    <row r="71" spans="1:7" x14ac:dyDescent="0.3">
      <c r="A71" t="s">
        <v>190</v>
      </c>
      <c r="B71" s="6">
        <v>13.1</v>
      </c>
      <c r="C71" s="6">
        <v>12</v>
      </c>
      <c r="D71" s="6">
        <v>25.1</v>
      </c>
      <c r="G71" s="6">
        <v>3.7</v>
      </c>
    </row>
    <row r="72" spans="1:7" x14ac:dyDescent="0.3">
      <c r="A72" t="s">
        <v>191</v>
      </c>
      <c r="B72" s="6">
        <v>16.600000000000001</v>
      </c>
      <c r="C72" s="6">
        <v>15.4</v>
      </c>
      <c r="D72" s="6">
        <v>32</v>
      </c>
      <c r="G72" s="6">
        <v>3.8</v>
      </c>
    </row>
    <row r="73" spans="1:7" x14ac:dyDescent="0.3">
      <c r="A73" t="s">
        <v>192</v>
      </c>
      <c r="B73" s="6">
        <v>20.100000000000001</v>
      </c>
      <c r="C73" s="6">
        <v>18.899999999999999</v>
      </c>
      <c r="D73" s="6">
        <v>39</v>
      </c>
      <c r="G73" s="6">
        <v>3.8</v>
      </c>
    </row>
    <row r="74" spans="1:7" x14ac:dyDescent="0.3">
      <c r="A74" t="s">
        <v>42</v>
      </c>
      <c r="B74" s="6">
        <v>23.4</v>
      </c>
      <c r="C74" s="6">
        <v>22.4</v>
      </c>
      <c r="D74" s="6">
        <v>45.8</v>
      </c>
      <c r="G74" s="6">
        <v>3.8</v>
      </c>
    </row>
    <row r="75" spans="1:7" x14ac:dyDescent="0.3">
      <c r="A75" t="s">
        <v>43</v>
      </c>
      <c r="B75" s="6">
        <v>26.6</v>
      </c>
      <c r="C75" s="6">
        <v>25.8</v>
      </c>
      <c r="D75" s="6">
        <v>52.4</v>
      </c>
      <c r="E75" s="6">
        <v>3.8</v>
      </c>
      <c r="F75" s="6">
        <v>3.9</v>
      </c>
      <c r="G75" s="6">
        <v>3.9</v>
      </c>
    </row>
    <row r="76" spans="1:7" x14ac:dyDescent="0.3">
      <c r="A76" t="s">
        <v>17</v>
      </c>
      <c r="B76" s="6">
        <v>2.08</v>
      </c>
      <c r="C76" s="6">
        <v>27.4</v>
      </c>
      <c r="D76" s="6">
        <v>55.4</v>
      </c>
      <c r="E76" s="6">
        <v>3.8</v>
      </c>
      <c r="F76" s="6">
        <v>4</v>
      </c>
      <c r="G76" s="6">
        <v>3.9</v>
      </c>
    </row>
    <row r="77" spans="1:7" x14ac:dyDescent="0.3">
      <c r="A77" t="s">
        <v>18</v>
      </c>
      <c r="B77" s="6">
        <v>29.2</v>
      </c>
      <c r="C77" s="6">
        <v>28.8</v>
      </c>
      <c r="D77" s="6">
        <v>58</v>
      </c>
      <c r="E77" s="6">
        <v>3.9</v>
      </c>
      <c r="F77" s="6">
        <v>4</v>
      </c>
      <c r="G77" s="6">
        <v>3.9</v>
      </c>
    </row>
    <row r="78" spans="1:7" x14ac:dyDescent="0.3">
      <c r="A78" t="s">
        <v>19</v>
      </c>
      <c r="B78" s="6">
        <v>30.3</v>
      </c>
      <c r="C78" s="6">
        <v>30.1</v>
      </c>
      <c r="D78" s="6">
        <v>60.4</v>
      </c>
      <c r="E78" s="6">
        <v>3.9</v>
      </c>
      <c r="F78" s="6">
        <v>4.0999999999999996</v>
      </c>
      <c r="G78" s="6">
        <v>4</v>
      </c>
    </row>
    <row r="79" spans="1:7" x14ac:dyDescent="0.3">
      <c r="A79" t="s">
        <v>20</v>
      </c>
      <c r="B79" s="6">
        <v>31.1</v>
      </c>
      <c r="C79" s="6">
        <v>31.2</v>
      </c>
      <c r="D79" s="6">
        <v>62.3</v>
      </c>
      <c r="E79" s="6">
        <v>3.9</v>
      </c>
      <c r="F79" s="6">
        <v>4.0999999999999996</v>
      </c>
      <c r="G79" s="6">
        <v>4</v>
      </c>
    </row>
    <row r="80" spans="1:7" x14ac:dyDescent="0.3">
      <c r="A80" t="s">
        <v>21</v>
      </c>
      <c r="B80" s="6">
        <v>31.8</v>
      </c>
      <c r="C80" s="6">
        <v>32.1</v>
      </c>
      <c r="D80" s="6">
        <v>64</v>
      </c>
      <c r="E80" s="6">
        <v>4</v>
      </c>
      <c r="F80" s="6">
        <v>4.2</v>
      </c>
      <c r="G80" s="6">
        <v>4.0999999999999996</v>
      </c>
    </row>
    <row r="81" spans="1:7" x14ac:dyDescent="0.3">
      <c r="A81" t="s">
        <v>22</v>
      </c>
      <c r="B81" s="6">
        <v>32.299999999999997</v>
      </c>
      <c r="C81" s="6">
        <v>33</v>
      </c>
      <c r="D81" s="6">
        <v>65.3</v>
      </c>
      <c r="E81" s="6">
        <v>4</v>
      </c>
      <c r="F81" s="6">
        <v>4.2</v>
      </c>
      <c r="G81" s="6">
        <v>4.0999999999999996</v>
      </c>
    </row>
    <row r="82" spans="1:7" x14ac:dyDescent="0.3">
      <c r="A82" s="7" t="s">
        <v>33</v>
      </c>
    </row>
    <row r="83" spans="1:7" x14ac:dyDescent="0.3">
      <c r="A83" t="s">
        <v>189</v>
      </c>
      <c r="B83" s="6">
        <v>284</v>
      </c>
      <c r="C83" s="6">
        <v>264.10000000000002</v>
      </c>
      <c r="D83" s="6">
        <v>548.1</v>
      </c>
    </row>
    <row r="84" spans="1:7" x14ac:dyDescent="0.3">
      <c r="A84" t="s">
        <v>190</v>
      </c>
      <c r="B84" s="6">
        <v>353.4</v>
      </c>
      <c r="C84" s="6">
        <v>330</v>
      </c>
      <c r="D84" s="6">
        <v>683.4</v>
      </c>
    </row>
    <row r="85" spans="1:7" x14ac:dyDescent="0.3">
      <c r="A85" t="s">
        <v>191</v>
      </c>
      <c r="B85" s="6">
        <v>439.4</v>
      </c>
      <c r="C85" s="6">
        <v>407.1</v>
      </c>
      <c r="D85" s="6">
        <v>846.5</v>
      </c>
    </row>
    <row r="86" spans="1:7" x14ac:dyDescent="0.3">
      <c r="A86" t="s">
        <v>192</v>
      </c>
      <c r="B86" s="6">
        <v>532.20000000000005</v>
      </c>
      <c r="C86" s="6">
        <v>496.5</v>
      </c>
      <c r="D86" s="6">
        <v>1028.7</v>
      </c>
    </row>
    <row r="87" spans="1:7" x14ac:dyDescent="0.3">
      <c r="A87" t="s">
        <v>42</v>
      </c>
      <c r="B87" s="6">
        <v>623.29999999999995</v>
      </c>
      <c r="C87" s="6">
        <v>587.6</v>
      </c>
      <c r="D87" s="6">
        <v>1210.9000000000001</v>
      </c>
    </row>
    <row r="88" spans="1:7" x14ac:dyDescent="0.3">
      <c r="A88" t="s">
        <v>43</v>
      </c>
      <c r="B88" s="6">
        <v>698.7</v>
      </c>
      <c r="C88" s="6">
        <v>660.8</v>
      </c>
      <c r="D88" s="6">
        <v>1359.5</v>
      </c>
      <c r="E88" s="6">
        <v>100</v>
      </c>
      <c r="F88" s="6">
        <v>100</v>
      </c>
      <c r="G88" s="6">
        <v>100</v>
      </c>
    </row>
    <row r="89" spans="1:7" x14ac:dyDescent="0.3">
      <c r="A89" t="s">
        <v>17</v>
      </c>
      <c r="B89" s="6">
        <v>729.1</v>
      </c>
      <c r="C89" s="6">
        <v>691.7</v>
      </c>
      <c r="D89" s="6">
        <v>1420.9</v>
      </c>
      <c r="E89" s="6">
        <v>100</v>
      </c>
      <c r="F89" s="6">
        <v>100</v>
      </c>
      <c r="G89" s="6">
        <v>100</v>
      </c>
    </row>
    <row r="90" spans="1:7" x14ac:dyDescent="0.3">
      <c r="A90" t="s">
        <v>18</v>
      </c>
      <c r="B90" s="6">
        <v>754.7</v>
      </c>
      <c r="C90" s="6">
        <v>718.7</v>
      </c>
      <c r="D90" s="6">
        <v>1473.3</v>
      </c>
      <c r="E90" s="6">
        <v>100</v>
      </c>
      <c r="F90" s="6">
        <v>100</v>
      </c>
      <c r="G90" s="6">
        <v>100</v>
      </c>
    </row>
    <row r="91" spans="1:7" x14ac:dyDescent="0.3">
      <c r="A91" t="s">
        <v>19</v>
      </c>
      <c r="B91" s="6">
        <v>774.5</v>
      </c>
      <c r="C91" s="6">
        <v>740.6</v>
      </c>
      <c r="D91" s="6">
        <v>1515.2</v>
      </c>
      <c r="E91" s="6">
        <v>100</v>
      </c>
      <c r="F91" s="6">
        <v>100</v>
      </c>
      <c r="G91" s="6">
        <v>100</v>
      </c>
    </row>
    <row r="92" spans="1:7" x14ac:dyDescent="0.3">
      <c r="A92" t="s">
        <v>20</v>
      </c>
      <c r="B92" s="6">
        <v>789.4</v>
      </c>
      <c r="C92" s="6">
        <v>758.2</v>
      </c>
      <c r="D92" s="6">
        <v>1547.5</v>
      </c>
      <c r="E92" s="6">
        <v>100</v>
      </c>
      <c r="F92" s="6">
        <v>100</v>
      </c>
      <c r="G92" s="6">
        <v>100</v>
      </c>
    </row>
    <row r="93" spans="1:7" x14ac:dyDescent="0.3">
      <c r="A93" t="s">
        <v>21</v>
      </c>
      <c r="B93" s="6">
        <v>800.2</v>
      </c>
      <c r="C93" s="6">
        <v>772.1</v>
      </c>
      <c r="D93" s="6">
        <v>1572.3</v>
      </c>
      <c r="E93" s="6">
        <v>100</v>
      </c>
      <c r="F93" s="6">
        <v>100</v>
      </c>
      <c r="G93" s="6">
        <v>100</v>
      </c>
    </row>
    <row r="94" spans="1:7" x14ac:dyDescent="0.3">
      <c r="A94" t="s">
        <v>22</v>
      </c>
      <c r="B94" s="6">
        <v>807</v>
      </c>
      <c r="C94" s="6">
        <v>782.5</v>
      </c>
      <c r="D94" s="6">
        <v>1589.4</v>
      </c>
      <c r="E94" s="6">
        <v>100</v>
      </c>
      <c r="F94" s="6">
        <v>100</v>
      </c>
      <c r="G94" s="6">
        <v>100</v>
      </c>
    </row>
  </sheetData>
  <mergeCells count="2">
    <mergeCell ref="B2:D2"/>
    <mergeCell ref="E2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"/>
  <sheetViews>
    <sheetView workbookViewId="0">
      <selection activeCell="M10" sqref="M10"/>
    </sheetView>
  </sheetViews>
  <sheetFormatPr defaultRowHeight="14.4" x14ac:dyDescent="0.3"/>
  <cols>
    <col min="1" max="1" width="17.44140625" customWidth="1"/>
    <col min="2" max="2" width="10.44140625" customWidth="1"/>
    <col min="3" max="8" width="8.44140625" style="6" customWidth="1"/>
  </cols>
  <sheetData>
    <row r="1" spans="1:8" x14ac:dyDescent="0.3">
      <c r="A1" s="2" t="s">
        <v>0</v>
      </c>
      <c r="B1" s="1"/>
      <c r="C1" s="1"/>
      <c r="D1" s="1"/>
      <c r="E1" s="1"/>
      <c r="F1" s="1"/>
      <c r="G1" s="1"/>
      <c r="H1" s="1"/>
    </row>
    <row r="2" spans="1:8" s="3" customFormat="1" ht="28.8" x14ac:dyDescent="0.3">
      <c r="A2" s="3" t="s">
        <v>1</v>
      </c>
      <c r="B2" s="4" t="s">
        <v>13</v>
      </c>
      <c r="C2" s="3">
        <v>2026</v>
      </c>
      <c r="D2" s="3">
        <v>2031</v>
      </c>
      <c r="E2" s="3">
        <v>2036</v>
      </c>
      <c r="F2" s="3">
        <v>2041</v>
      </c>
      <c r="G2" s="3">
        <v>2046</v>
      </c>
      <c r="H2" s="3">
        <v>2051</v>
      </c>
    </row>
    <row r="3" spans="1:8" x14ac:dyDescent="0.3">
      <c r="A3" t="s">
        <v>45</v>
      </c>
      <c r="B3" t="s">
        <v>15</v>
      </c>
      <c r="C3" s="13">
        <v>1.37</v>
      </c>
      <c r="D3" s="13">
        <v>1.32</v>
      </c>
      <c r="E3" s="13">
        <v>1.31</v>
      </c>
      <c r="F3" s="13">
        <v>1.3</v>
      </c>
      <c r="G3" s="13">
        <v>1.3</v>
      </c>
      <c r="H3" s="13">
        <v>1.3</v>
      </c>
    </row>
    <row r="4" spans="1:8" x14ac:dyDescent="0.3">
      <c r="B4" t="s">
        <v>16</v>
      </c>
      <c r="C4" s="13">
        <v>1.43</v>
      </c>
      <c r="D4" s="13">
        <v>1.41</v>
      </c>
      <c r="E4" s="13">
        <v>1.4</v>
      </c>
      <c r="F4" s="13">
        <v>1.4</v>
      </c>
      <c r="G4" s="13">
        <v>1.4</v>
      </c>
      <c r="H4" s="13">
        <v>1.4</v>
      </c>
    </row>
    <row r="5" spans="1:8" x14ac:dyDescent="0.3">
      <c r="B5" t="s">
        <v>14</v>
      </c>
      <c r="C5" s="13">
        <v>1.52</v>
      </c>
      <c r="D5" s="13">
        <v>1.5</v>
      </c>
      <c r="E5" s="13">
        <v>1.5</v>
      </c>
      <c r="F5" s="13">
        <v>1.5</v>
      </c>
      <c r="G5" s="13">
        <v>1.5</v>
      </c>
      <c r="H5" s="13">
        <v>1.5</v>
      </c>
    </row>
    <row r="6" spans="1:8" x14ac:dyDescent="0.3">
      <c r="A6" t="s">
        <v>2</v>
      </c>
      <c r="B6" t="s">
        <v>15</v>
      </c>
      <c r="C6" s="13">
        <v>1.83</v>
      </c>
      <c r="D6" s="13">
        <v>1.69</v>
      </c>
      <c r="E6" s="13">
        <v>1.58</v>
      </c>
      <c r="F6" s="13">
        <v>1.51</v>
      </c>
      <c r="G6" s="13">
        <v>1.46</v>
      </c>
      <c r="H6" s="13">
        <v>1.43</v>
      </c>
    </row>
    <row r="7" spans="1:8" x14ac:dyDescent="0.3">
      <c r="B7" t="s">
        <v>16</v>
      </c>
      <c r="C7" s="13">
        <v>1.9</v>
      </c>
      <c r="D7" s="13">
        <v>1.78</v>
      </c>
      <c r="E7" s="13">
        <v>1.71</v>
      </c>
      <c r="F7" s="13">
        <v>1.65</v>
      </c>
      <c r="G7" s="13">
        <v>1.63</v>
      </c>
      <c r="H7" s="13">
        <v>1.61</v>
      </c>
    </row>
    <row r="8" spans="1:8" x14ac:dyDescent="0.3">
      <c r="B8" t="s">
        <v>14</v>
      </c>
      <c r="C8" s="13">
        <v>1.94</v>
      </c>
      <c r="D8" s="13">
        <v>1.84</v>
      </c>
      <c r="E8" s="13">
        <v>1.77</v>
      </c>
      <c r="F8" s="13">
        <v>1.74</v>
      </c>
      <c r="G8" s="13">
        <v>1.72</v>
      </c>
      <c r="H8" s="13">
        <v>1.71</v>
      </c>
    </row>
    <row r="9" spans="1:8" x14ac:dyDescent="0.3">
      <c r="A9" t="s">
        <v>3</v>
      </c>
      <c r="B9" t="s">
        <v>15</v>
      </c>
      <c r="C9" s="13">
        <v>2.4700000000000002</v>
      </c>
      <c r="D9" s="13">
        <v>2.19</v>
      </c>
      <c r="E9" s="13">
        <v>1.99</v>
      </c>
      <c r="F9" s="13">
        <v>1.86</v>
      </c>
      <c r="G9" s="13">
        <v>1.79</v>
      </c>
      <c r="H9" s="13">
        <v>1.76</v>
      </c>
    </row>
    <row r="10" spans="1:8" x14ac:dyDescent="0.3">
      <c r="B10" t="s">
        <v>16</v>
      </c>
      <c r="C10" s="13">
        <v>2.5</v>
      </c>
      <c r="D10" s="13">
        <v>2.2400000000000002</v>
      </c>
      <c r="E10" s="13">
        <v>2.0499999999999998</v>
      </c>
      <c r="F10" s="13">
        <v>1.94</v>
      </c>
      <c r="G10" s="13">
        <v>1.88</v>
      </c>
      <c r="H10" s="13">
        <v>1.86</v>
      </c>
    </row>
    <row r="11" spans="1:8" x14ac:dyDescent="0.3">
      <c r="B11" t="s">
        <v>14</v>
      </c>
      <c r="C11" s="13">
        <v>2.5299999999999998</v>
      </c>
      <c r="D11" s="13">
        <v>2.2799999999999998</v>
      </c>
      <c r="E11" s="13">
        <v>2.12</v>
      </c>
      <c r="F11" s="13">
        <v>2.02</v>
      </c>
      <c r="G11" s="13">
        <v>1.97</v>
      </c>
      <c r="H11" s="13">
        <v>1.96</v>
      </c>
    </row>
    <row r="12" spans="1:8" x14ac:dyDescent="0.3">
      <c r="A12" t="s">
        <v>4</v>
      </c>
      <c r="B12" t="s">
        <v>15</v>
      </c>
      <c r="C12" s="13">
        <v>1.94</v>
      </c>
      <c r="D12" s="13">
        <v>1.77</v>
      </c>
      <c r="E12" s="13">
        <v>1.66</v>
      </c>
      <c r="F12" s="13">
        <v>1.6</v>
      </c>
      <c r="G12" s="13">
        <v>1.57</v>
      </c>
      <c r="H12" s="13">
        <v>1.56</v>
      </c>
    </row>
    <row r="13" spans="1:8" x14ac:dyDescent="0.3">
      <c r="B13" t="s">
        <v>16</v>
      </c>
      <c r="C13" s="13">
        <v>1.96</v>
      </c>
      <c r="D13" s="13">
        <v>1.81</v>
      </c>
      <c r="E13" s="13">
        <v>1.72</v>
      </c>
      <c r="F13" s="13">
        <v>1.68</v>
      </c>
      <c r="G13" s="13">
        <v>1.66</v>
      </c>
      <c r="H13" s="13">
        <v>1.65</v>
      </c>
    </row>
    <row r="14" spans="1:8" x14ac:dyDescent="0.3">
      <c r="B14" t="s">
        <v>14</v>
      </c>
      <c r="C14" s="13">
        <v>2.02</v>
      </c>
      <c r="D14" s="13">
        <v>1.92</v>
      </c>
      <c r="E14" s="13">
        <v>1.87</v>
      </c>
      <c r="F14" s="13">
        <v>1.86</v>
      </c>
      <c r="G14" s="13">
        <v>1.85</v>
      </c>
      <c r="H14" s="13">
        <v>1.85</v>
      </c>
    </row>
    <row r="15" spans="1:8" x14ac:dyDescent="0.3">
      <c r="A15" t="s">
        <v>5</v>
      </c>
      <c r="B15" t="s">
        <v>15</v>
      </c>
      <c r="C15" s="13">
        <v>1.33</v>
      </c>
      <c r="D15" s="13">
        <v>1.3</v>
      </c>
      <c r="E15" s="13">
        <v>1.3</v>
      </c>
      <c r="F15" s="13">
        <v>1.3</v>
      </c>
      <c r="G15" s="13">
        <v>1.3</v>
      </c>
      <c r="H15" s="13">
        <v>1.3</v>
      </c>
    </row>
    <row r="16" spans="1:8" x14ac:dyDescent="0.3">
      <c r="B16" t="s">
        <v>16</v>
      </c>
      <c r="C16" s="13">
        <v>1.41</v>
      </c>
      <c r="D16" s="13">
        <v>1.4</v>
      </c>
      <c r="E16" s="13">
        <v>1.4</v>
      </c>
      <c r="F16" s="13">
        <v>1.4</v>
      </c>
      <c r="G16" s="13">
        <v>1.4</v>
      </c>
      <c r="H16" s="13">
        <v>1.4</v>
      </c>
    </row>
    <row r="17" spans="1:8" x14ac:dyDescent="0.3">
      <c r="B17" t="s">
        <v>14</v>
      </c>
      <c r="C17" s="13">
        <v>1.5</v>
      </c>
      <c r="D17" s="13">
        <v>1.5</v>
      </c>
      <c r="E17" s="13">
        <v>1.5</v>
      </c>
      <c r="F17" s="13">
        <v>1.5</v>
      </c>
      <c r="G17" s="13">
        <v>1.5</v>
      </c>
      <c r="H17" s="13">
        <v>1.5</v>
      </c>
    </row>
    <row r="18" spans="1:8" x14ac:dyDescent="0.3">
      <c r="A18" t="s">
        <v>6</v>
      </c>
      <c r="B18" t="s">
        <v>15</v>
      </c>
      <c r="C18" s="13">
        <v>1.7</v>
      </c>
      <c r="D18" s="13">
        <v>1.58</v>
      </c>
      <c r="E18" s="13">
        <v>1.5</v>
      </c>
      <c r="F18" s="13">
        <v>1.45</v>
      </c>
      <c r="G18" s="13">
        <v>1.42</v>
      </c>
      <c r="H18" s="13">
        <v>1.41</v>
      </c>
    </row>
    <row r="19" spans="1:8" x14ac:dyDescent="0.3">
      <c r="B19" t="s">
        <v>16</v>
      </c>
      <c r="C19" s="13">
        <v>1.79</v>
      </c>
      <c r="D19" s="13">
        <v>1.7</v>
      </c>
      <c r="E19" s="13">
        <v>1.65</v>
      </c>
      <c r="F19" s="13">
        <v>1.62</v>
      </c>
      <c r="G19" s="13">
        <v>1.61</v>
      </c>
      <c r="H19" s="13">
        <v>1.6</v>
      </c>
    </row>
    <row r="20" spans="1:8" x14ac:dyDescent="0.3">
      <c r="B20" t="s">
        <v>14</v>
      </c>
      <c r="C20" s="13">
        <v>1.84</v>
      </c>
      <c r="D20" s="13">
        <v>1.77</v>
      </c>
      <c r="E20" s="13">
        <v>1.73</v>
      </c>
      <c r="F20" s="13">
        <v>1.71</v>
      </c>
      <c r="G20" s="13">
        <v>1.7</v>
      </c>
      <c r="H20" s="13">
        <v>1.7</v>
      </c>
    </row>
    <row r="21" spans="1:8" x14ac:dyDescent="0.3">
      <c r="A21" t="s">
        <v>7</v>
      </c>
      <c r="B21" t="s">
        <v>15</v>
      </c>
      <c r="C21" s="13">
        <v>1.7</v>
      </c>
      <c r="D21" s="13">
        <v>1.57</v>
      </c>
      <c r="E21" s="13">
        <v>1.49</v>
      </c>
      <c r="F21" s="13">
        <v>1.44</v>
      </c>
      <c r="G21" s="13">
        <v>1.42</v>
      </c>
      <c r="H21" s="13">
        <v>1.41</v>
      </c>
    </row>
    <row r="22" spans="1:8" x14ac:dyDescent="0.3">
      <c r="B22" t="s">
        <v>16</v>
      </c>
      <c r="C22" s="13">
        <v>1.79</v>
      </c>
      <c r="D22" s="13">
        <v>1.7</v>
      </c>
      <c r="E22" s="13">
        <v>1.65</v>
      </c>
      <c r="F22" s="13">
        <v>1.62</v>
      </c>
      <c r="G22" s="13">
        <v>1.61</v>
      </c>
      <c r="H22" s="13">
        <v>1.6</v>
      </c>
    </row>
    <row r="23" spans="1:8" x14ac:dyDescent="0.3">
      <c r="B23" t="s">
        <v>14</v>
      </c>
      <c r="C23" s="13">
        <v>1.84</v>
      </c>
      <c r="D23" s="13">
        <v>1.77</v>
      </c>
      <c r="E23" s="13">
        <v>1.73</v>
      </c>
      <c r="F23" s="13">
        <v>1.71</v>
      </c>
      <c r="G23" s="13">
        <v>1.7</v>
      </c>
      <c r="H23" s="13">
        <v>1.7</v>
      </c>
    </row>
    <row r="24" spans="1:8" x14ac:dyDescent="0.3">
      <c r="A24" t="s">
        <v>8</v>
      </c>
      <c r="B24" t="s">
        <v>15</v>
      </c>
      <c r="C24" s="13">
        <v>1.46</v>
      </c>
      <c r="D24" s="13">
        <v>1.43</v>
      </c>
      <c r="E24" s="13">
        <v>1.41</v>
      </c>
      <c r="F24" s="13">
        <v>1.4</v>
      </c>
      <c r="G24" s="13">
        <v>1.4</v>
      </c>
      <c r="H24" s="13">
        <v>1.4</v>
      </c>
    </row>
    <row r="25" spans="1:8" x14ac:dyDescent="0.3">
      <c r="B25" t="s">
        <v>16</v>
      </c>
      <c r="C25" s="13">
        <v>1.53</v>
      </c>
      <c r="D25" s="13">
        <v>1.51</v>
      </c>
      <c r="E25" s="13">
        <v>1.5</v>
      </c>
      <c r="F25" s="13">
        <v>1.5</v>
      </c>
      <c r="G25" s="13">
        <v>1.5</v>
      </c>
      <c r="H25" s="13">
        <v>1.5</v>
      </c>
    </row>
    <row r="26" spans="1:8" x14ac:dyDescent="0.3">
      <c r="B26" t="s">
        <v>14</v>
      </c>
      <c r="C26" s="13">
        <v>1.61</v>
      </c>
      <c r="D26" s="13">
        <v>1.6</v>
      </c>
      <c r="E26" s="13">
        <v>1.6</v>
      </c>
      <c r="F26" s="13">
        <v>1.6</v>
      </c>
      <c r="G26" s="13">
        <v>1.6</v>
      </c>
      <c r="H26" s="13">
        <v>1.6</v>
      </c>
    </row>
    <row r="27" spans="1:8" x14ac:dyDescent="0.3">
      <c r="A27" t="s">
        <v>9</v>
      </c>
      <c r="B27" t="s">
        <v>15</v>
      </c>
      <c r="C27" s="13">
        <v>1.33</v>
      </c>
      <c r="D27" s="13">
        <v>1.3</v>
      </c>
      <c r="E27" s="13">
        <v>1.3</v>
      </c>
      <c r="F27" s="13">
        <v>1.3</v>
      </c>
      <c r="G27" s="13">
        <v>1.3</v>
      </c>
      <c r="H27" s="13">
        <v>1.3</v>
      </c>
    </row>
    <row r="28" spans="1:8" x14ac:dyDescent="0.3">
      <c r="B28" t="s">
        <v>16</v>
      </c>
      <c r="C28" s="13">
        <v>1.41</v>
      </c>
      <c r="D28" s="13">
        <v>1.4</v>
      </c>
      <c r="E28" s="13">
        <v>1.4</v>
      </c>
      <c r="F28" s="13">
        <v>1.4</v>
      </c>
      <c r="G28" s="13">
        <v>1.4</v>
      </c>
      <c r="H28" s="13">
        <v>1.4</v>
      </c>
    </row>
    <row r="29" spans="1:8" x14ac:dyDescent="0.3">
      <c r="B29" t="s">
        <v>14</v>
      </c>
      <c r="C29" s="13">
        <v>1.5</v>
      </c>
      <c r="D29" s="13">
        <v>1.5</v>
      </c>
      <c r="E29" s="13">
        <v>1.5</v>
      </c>
      <c r="F29" s="13">
        <v>1.5</v>
      </c>
      <c r="G29" s="13">
        <v>1.5</v>
      </c>
      <c r="H29" s="13">
        <v>1.5</v>
      </c>
    </row>
    <row r="30" spans="1:8" x14ac:dyDescent="0.3">
      <c r="A30" t="s">
        <v>10</v>
      </c>
      <c r="B30" t="s">
        <v>15</v>
      </c>
      <c r="C30" s="13">
        <v>2.0099999999999998</v>
      </c>
      <c r="D30" s="13">
        <v>1.8</v>
      </c>
      <c r="E30" s="13">
        <v>1.67</v>
      </c>
      <c r="F30" s="13">
        <v>1.6</v>
      </c>
      <c r="G30" s="13">
        <v>1.57</v>
      </c>
      <c r="H30" s="13">
        <v>1.55</v>
      </c>
    </row>
    <row r="31" spans="1:8" x14ac:dyDescent="0.3">
      <c r="B31" t="s">
        <v>16</v>
      </c>
      <c r="C31" s="13">
        <v>2.0299999999999998</v>
      </c>
      <c r="D31" s="13">
        <v>1.85</v>
      </c>
      <c r="E31" s="13">
        <v>1.74</v>
      </c>
      <c r="F31" s="13">
        <v>1.68</v>
      </c>
      <c r="G31" s="13">
        <v>1.66</v>
      </c>
      <c r="H31" s="13">
        <v>1.65</v>
      </c>
    </row>
    <row r="32" spans="1:8" x14ac:dyDescent="0.3">
      <c r="B32" t="s">
        <v>14</v>
      </c>
      <c r="C32" s="13">
        <v>2.08</v>
      </c>
      <c r="D32" s="13">
        <v>1.95</v>
      </c>
      <c r="E32" s="13">
        <v>1.88</v>
      </c>
      <c r="F32" s="13">
        <v>1.86</v>
      </c>
      <c r="G32" s="13">
        <v>1.85</v>
      </c>
      <c r="H32" s="13">
        <v>1.85</v>
      </c>
    </row>
    <row r="33" spans="1:8" x14ac:dyDescent="0.3">
      <c r="A33" t="s">
        <v>11</v>
      </c>
      <c r="B33" t="s">
        <v>15</v>
      </c>
      <c r="C33" s="13">
        <v>1.54</v>
      </c>
      <c r="D33" s="13">
        <v>1.48</v>
      </c>
      <c r="E33" s="13">
        <v>1.44</v>
      </c>
      <c r="F33" s="13">
        <v>1.42</v>
      </c>
      <c r="G33" s="13">
        <v>1.41</v>
      </c>
      <c r="H33" s="13">
        <v>1.4</v>
      </c>
    </row>
    <row r="34" spans="1:8" x14ac:dyDescent="0.3">
      <c r="B34" t="s">
        <v>16</v>
      </c>
      <c r="C34" s="13">
        <v>1.59</v>
      </c>
      <c r="D34" s="13">
        <v>1.54</v>
      </c>
      <c r="E34" s="13">
        <v>1.52</v>
      </c>
      <c r="F34" s="13">
        <v>1.51</v>
      </c>
      <c r="G34" s="13">
        <v>1.5</v>
      </c>
      <c r="H34" s="13">
        <v>1.5</v>
      </c>
    </row>
    <row r="35" spans="1:8" x14ac:dyDescent="0.3">
      <c r="B35" t="s">
        <v>14</v>
      </c>
      <c r="C35" s="13">
        <v>1.65</v>
      </c>
      <c r="D35" s="13">
        <v>1.62</v>
      </c>
      <c r="E35" s="13">
        <v>1.61</v>
      </c>
      <c r="F35" s="13">
        <v>1.6</v>
      </c>
      <c r="G35" s="13">
        <v>1.6</v>
      </c>
      <c r="H35" s="13">
        <v>1.6</v>
      </c>
    </row>
    <row r="36" spans="1:8" x14ac:dyDescent="0.3">
      <c r="A36" t="s">
        <v>12</v>
      </c>
      <c r="B36" t="s">
        <v>15</v>
      </c>
      <c r="C36" s="13">
        <v>1.4</v>
      </c>
      <c r="D36" s="13">
        <v>1.36</v>
      </c>
      <c r="E36" s="13">
        <v>1.33</v>
      </c>
      <c r="F36" s="13">
        <v>1.32</v>
      </c>
      <c r="G36" s="13">
        <v>1.31</v>
      </c>
      <c r="H36" s="13">
        <v>1.3</v>
      </c>
    </row>
    <row r="37" spans="1:8" x14ac:dyDescent="0.3">
      <c r="B37" t="s">
        <v>16</v>
      </c>
      <c r="C37" s="13">
        <v>1.46</v>
      </c>
      <c r="D37" s="13">
        <v>1.43</v>
      </c>
      <c r="E37" s="13">
        <v>1.42</v>
      </c>
      <c r="F37" s="13">
        <v>1.41</v>
      </c>
      <c r="G37" s="13">
        <v>1.4</v>
      </c>
      <c r="H37" s="13">
        <v>1.4</v>
      </c>
    </row>
    <row r="38" spans="1:8" x14ac:dyDescent="0.3">
      <c r="B38" t="s">
        <v>14</v>
      </c>
      <c r="C38" s="13">
        <v>1.53</v>
      </c>
      <c r="D38" s="13">
        <v>1.51</v>
      </c>
      <c r="E38" s="13">
        <v>1.51</v>
      </c>
      <c r="F38" s="13">
        <v>1.5</v>
      </c>
      <c r="G38" s="13">
        <v>1.5</v>
      </c>
      <c r="H38" s="13">
        <v>1.5</v>
      </c>
    </row>
    <row r="39" spans="1:8" x14ac:dyDescent="0.3">
      <c r="A39" t="s">
        <v>23</v>
      </c>
      <c r="B39" t="s">
        <v>15</v>
      </c>
      <c r="C39" s="13">
        <v>2.2400000000000002</v>
      </c>
      <c r="D39" s="13">
        <v>2.04</v>
      </c>
      <c r="E39" s="13">
        <v>1.88</v>
      </c>
      <c r="F39" s="13">
        <v>1.76</v>
      </c>
      <c r="G39" s="13">
        <v>1.68</v>
      </c>
      <c r="H39" s="13">
        <v>1.62</v>
      </c>
    </row>
    <row r="40" spans="1:8" x14ac:dyDescent="0.3">
      <c r="B40" t="s">
        <v>16</v>
      </c>
      <c r="C40" s="13">
        <v>2.27</v>
      </c>
      <c r="D40" s="13">
        <v>2.09</v>
      </c>
      <c r="E40" s="13">
        <v>1.95</v>
      </c>
      <c r="F40" s="13">
        <v>1.85</v>
      </c>
      <c r="G40" s="13">
        <v>1.79</v>
      </c>
      <c r="H40" s="13">
        <v>1.74</v>
      </c>
    </row>
    <row r="41" spans="1:8" x14ac:dyDescent="0.3">
      <c r="B41" t="s">
        <v>14</v>
      </c>
      <c r="C41" s="13">
        <v>2.3199999999999998</v>
      </c>
      <c r="D41" s="13">
        <v>2.17</v>
      </c>
      <c r="E41" s="13">
        <v>2.06</v>
      </c>
      <c r="F41" s="13">
        <v>1.99</v>
      </c>
      <c r="G41" s="13">
        <v>1.94</v>
      </c>
      <c r="H41" s="13">
        <v>1.92</v>
      </c>
    </row>
    <row r="42" spans="1:8" x14ac:dyDescent="0.3">
      <c r="A42" t="s">
        <v>24</v>
      </c>
      <c r="B42" t="s">
        <v>15</v>
      </c>
      <c r="C42" s="13">
        <v>1.37</v>
      </c>
      <c r="D42" s="13">
        <v>1.32</v>
      </c>
      <c r="E42" s="13">
        <v>1.3</v>
      </c>
      <c r="F42" s="13">
        <v>1.3</v>
      </c>
      <c r="G42" s="13">
        <v>1.3</v>
      </c>
      <c r="H42" s="13">
        <v>1.3</v>
      </c>
    </row>
    <row r="43" spans="1:8" x14ac:dyDescent="0.3">
      <c r="B43" t="s">
        <v>16</v>
      </c>
      <c r="C43" s="13">
        <v>1.44</v>
      </c>
      <c r="D43" s="13">
        <v>1.41</v>
      </c>
      <c r="E43" s="13">
        <v>1.4</v>
      </c>
      <c r="F43" s="13">
        <v>1.4</v>
      </c>
      <c r="G43" s="13">
        <v>1.4</v>
      </c>
      <c r="H43" s="13">
        <v>1.4</v>
      </c>
    </row>
    <row r="44" spans="1:8" x14ac:dyDescent="0.3">
      <c r="B44" t="s">
        <v>14</v>
      </c>
      <c r="C44" s="13">
        <v>1.52</v>
      </c>
      <c r="D44" s="13">
        <v>1.5</v>
      </c>
      <c r="E44" s="13">
        <v>1.5</v>
      </c>
      <c r="F44" s="13">
        <v>1.5</v>
      </c>
      <c r="G44" s="13">
        <v>1.5</v>
      </c>
      <c r="H44" s="13">
        <v>1.5</v>
      </c>
    </row>
    <row r="45" spans="1:8" x14ac:dyDescent="0.3">
      <c r="A45" t="s">
        <v>25</v>
      </c>
      <c r="B45" t="s">
        <v>15</v>
      </c>
      <c r="C45" s="13">
        <v>1.59</v>
      </c>
      <c r="D45" s="13">
        <v>1.5</v>
      </c>
      <c r="E45" s="13">
        <v>1.44</v>
      </c>
      <c r="F45" s="13">
        <v>1.42</v>
      </c>
      <c r="G45" s="13">
        <v>1.41</v>
      </c>
      <c r="H45" s="13">
        <v>1.4</v>
      </c>
    </row>
    <row r="46" spans="1:8" x14ac:dyDescent="0.3">
      <c r="B46" t="s">
        <v>16</v>
      </c>
      <c r="C46" s="13">
        <v>1.64</v>
      </c>
      <c r="D46" s="13">
        <v>1.57</v>
      </c>
      <c r="E46" s="13">
        <v>1.53</v>
      </c>
      <c r="F46" s="13">
        <v>1.51</v>
      </c>
      <c r="G46" s="13">
        <v>1.5</v>
      </c>
      <c r="H46" s="13">
        <v>1.5</v>
      </c>
    </row>
    <row r="47" spans="1:8" x14ac:dyDescent="0.3">
      <c r="B47" t="s">
        <v>14</v>
      </c>
      <c r="C47" s="13">
        <v>1.7</v>
      </c>
      <c r="D47" s="13">
        <v>1.64</v>
      </c>
      <c r="E47" s="13">
        <v>1.61</v>
      </c>
      <c r="F47" s="13">
        <v>1.6</v>
      </c>
      <c r="G47" s="13">
        <v>1.6</v>
      </c>
      <c r="H47" s="13">
        <v>1.6</v>
      </c>
    </row>
    <row r="48" spans="1:8" x14ac:dyDescent="0.3">
      <c r="A48" t="s">
        <v>26</v>
      </c>
      <c r="B48" t="s">
        <v>15</v>
      </c>
      <c r="C48" s="13">
        <v>1.35</v>
      </c>
      <c r="D48" s="13">
        <v>1.32</v>
      </c>
      <c r="E48" s="13">
        <v>1.3</v>
      </c>
      <c r="F48" s="13">
        <v>1.3</v>
      </c>
      <c r="G48" s="13">
        <v>1.3</v>
      </c>
      <c r="H48" s="13">
        <v>1.3</v>
      </c>
    </row>
    <row r="49" spans="1:8" x14ac:dyDescent="0.3">
      <c r="B49" t="s">
        <v>16</v>
      </c>
      <c r="C49" s="13">
        <v>1.43</v>
      </c>
      <c r="D49" s="13">
        <v>1.41</v>
      </c>
      <c r="E49" s="13">
        <v>1.4</v>
      </c>
      <c r="F49" s="13">
        <v>1.4</v>
      </c>
      <c r="G49" s="13">
        <v>1.4</v>
      </c>
      <c r="H49" s="13">
        <v>1.4</v>
      </c>
    </row>
    <row r="50" spans="1:8" x14ac:dyDescent="0.3">
      <c r="B50" t="s">
        <v>14</v>
      </c>
      <c r="C50" s="13">
        <v>1.51</v>
      </c>
      <c r="D50" s="13">
        <v>1.5</v>
      </c>
      <c r="E50" s="13">
        <v>1.5</v>
      </c>
      <c r="F50" s="13">
        <v>1.5</v>
      </c>
      <c r="G50" s="13">
        <v>1.5</v>
      </c>
      <c r="H50" s="13">
        <v>1.5</v>
      </c>
    </row>
    <row r="51" spans="1:8" x14ac:dyDescent="0.3">
      <c r="A51" t="s">
        <v>27</v>
      </c>
      <c r="B51" t="s">
        <v>15</v>
      </c>
      <c r="C51" s="13">
        <v>2.08</v>
      </c>
      <c r="D51" s="13">
        <v>1.86</v>
      </c>
      <c r="E51" s="13">
        <v>1.71</v>
      </c>
      <c r="F51" s="13">
        <v>1.62</v>
      </c>
      <c r="G51" s="13">
        <v>1.58</v>
      </c>
      <c r="H51" s="13">
        <v>1.56</v>
      </c>
    </row>
    <row r="52" spans="1:8" x14ac:dyDescent="0.3">
      <c r="B52" t="s">
        <v>16</v>
      </c>
      <c r="C52" s="13">
        <v>2.11</v>
      </c>
      <c r="D52" s="13">
        <v>1.91</v>
      </c>
      <c r="E52" s="13">
        <v>1.78</v>
      </c>
      <c r="F52" s="13">
        <v>1.71</v>
      </c>
      <c r="G52" s="13">
        <v>1.67</v>
      </c>
      <c r="H52" s="13">
        <v>1.66</v>
      </c>
    </row>
    <row r="53" spans="1:8" x14ac:dyDescent="0.3">
      <c r="B53" t="s">
        <v>14</v>
      </c>
      <c r="C53" s="13">
        <v>2.1800000000000002</v>
      </c>
      <c r="D53" s="13">
        <v>2.02</v>
      </c>
      <c r="E53" s="13">
        <v>1.93</v>
      </c>
      <c r="F53" s="13">
        <v>1.88</v>
      </c>
      <c r="G53" s="13">
        <v>1.86</v>
      </c>
      <c r="H53" s="13">
        <v>1.85</v>
      </c>
    </row>
    <row r="54" spans="1:8" x14ac:dyDescent="0.3">
      <c r="A54" t="s">
        <v>28</v>
      </c>
      <c r="B54" t="s">
        <v>15</v>
      </c>
      <c r="C54" s="13">
        <v>1.36</v>
      </c>
      <c r="D54" s="13">
        <v>1.33</v>
      </c>
      <c r="E54" s="13">
        <v>1.31</v>
      </c>
      <c r="F54" s="13">
        <v>1.3</v>
      </c>
      <c r="G54" s="13">
        <v>1.3</v>
      </c>
      <c r="H54" s="13">
        <v>1.3</v>
      </c>
    </row>
    <row r="55" spans="1:8" x14ac:dyDescent="0.3">
      <c r="B55" t="s">
        <v>16</v>
      </c>
      <c r="C55" s="13">
        <v>1.43</v>
      </c>
      <c r="D55" s="13">
        <v>1.41</v>
      </c>
      <c r="E55" s="13">
        <v>1.4</v>
      </c>
      <c r="F55" s="13">
        <v>1.4</v>
      </c>
      <c r="G55" s="13">
        <v>1.4</v>
      </c>
      <c r="H55" s="13">
        <v>1.4</v>
      </c>
    </row>
    <row r="56" spans="1:8" x14ac:dyDescent="0.3">
      <c r="B56" t="s">
        <v>14</v>
      </c>
      <c r="C56" s="13">
        <v>1.51</v>
      </c>
      <c r="D56" s="13">
        <v>1.5</v>
      </c>
      <c r="E56" s="13">
        <v>1.5</v>
      </c>
      <c r="F56" s="13">
        <v>1.5</v>
      </c>
      <c r="G56" s="13">
        <v>1.5</v>
      </c>
      <c r="H56" s="13">
        <v>1.5</v>
      </c>
    </row>
    <row r="57" spans="1:8" x14ac:dyDescent="0.3">
      <c r="A57" t="s">
        <v>29</v>
      </c>
      <c r="B57" t="s">
        <v>15</v>
      </c>
      <c r="C57" s="13">
        <v>1.45</v>
      </c>
      <c r="D57" s="13">
        <v>1.41</v>
      </c>
      <c r="E57" s="13">
        <v>1.4</v>
      </c>
      <c r="F57" s="13">
        <v>1.4</v>
      </c>
      <c r="G57" s="13">
        <v>1.4</v>
      </c>
      <c r="H57" s="13">
        <v>1.4</v>
      </c>
    </row>
    <row r="58" spans="1:8" x14ac:dyDescent="0.3">
      <c r="B58" t="s">
        <v>16</v>
      </c>
      <c r="C58" s="13">
        <v>1.52</v>
      </c>
      <c r="D58" s="13">
        <v>1.5</v>
      </c>
      <c r="E58" s="13">
        <v>1.5</v>
      </c>
      <c r="F58" s="13">
        <v>1.5</v>
      </c>
      <c r="G58" s="13">
        <v>1.5</v>
      </c>
      <c r="H58" s="13">
        <v>1.5</v>
      </c>
    </row>
    <row r="59" spans="1:8" x14ac:dyDescent="0.3">
      <c r="B59" t="s">
        <v>14</v>
      </c>
      <c r="C59" s="13">
        <v>1.6</v>
      </c>
      <c r="D59" s="13">
        <v>1.6</v>
      </c>
      <c r="E59" s="13">
        <v>1.6</v>
      </c>
      <c r="F59" s="13">
        <v>1.6</v>
      </c>
      <c r="G59" s="13">
        <v>1.6</v>
      </c>
      <c r="H59" s="13">
        <v>1.6</v>
      </c>
    </row>
    <row r="60" spans="1:8" x14ac:dyDescent="0.3">
      <c r="A60" t="s">
        <v>30</v>
      </c>
      <c r="B60" t="s">
        <v>15</v>
      </c>
      <c r="C60" s="13">
        <v>2.2400000000000002</v>
      </c>
      <c r="D60" s="13">
        <v>1.98</v>
      </c>
      <c r="E60" s="13">
        <v>1.8</v>
      </c>
      <c r="F60" s="13">
        <v>1.71</v>
      </c>
      <c r="G60" s="13">
        <v>1.67</v>
      </c>
      <c r="H60" s="13">
        <v>1.65</v>
      </c>
    </row>
    <row r="61" spans="1:8" x14ac:dyDescent="0.3">
      <c r="B61" t="s">
        <v>16</v>
      </c>
      <c r="C61" s="13">
        <v>2.2999999999999998</v>
      </c>
      <c r="D61" s="13">
        <v>2.0699999999999998</v>
      </c>
      <c r="E61" s="13">
        <v>1.92</v>
      </c>
      <c r="F61" s="13">
        <v>1.85</v>
      </c>
      <c r="G61" s="13">
        <v>1.82</v>
      </c>
      <c r="H61" s="13">
        <v>1.81</v>
      </c>
    </row>
    <row r="62" spans="1:8" x14ac:dyDescent="0.3">
      <c r="B62" t="s">
        <v>14</v>
      </c>
      <c r="C62" s="13">
        <v>2.34</v>
      </c>
      <c r="D62" s="13">
        <v>2.12</v>
      </c>
      <c r="E62" s="13">
        <v>1.99</v>
      </c>
      <c r="F62" s="13">
        <v>1.93</v>
      </c>
      <c r="G62" s="13">
        <v>1.91</v>
      </c>
      <c r="H62" s="13">
        <v>1.9</v>
      </c>
    </row>
    <row r="63" spans="1:8" x14ac:dyDescent="0.3">
      <c r="A63" t="s">
        <v>31</v>
      </c>
      <c r="B63" t="s">
        <v>15</v>
      </c>
      <c r="C63" s="13">
        <v>1.62</v>
      </c>
      <c r="D63" s="13">
        <v>1.52</v>
      </c>
      <c r="E63" s="13">
        <v>1.46</v>
      </c>
      <c r="F63" s="13">
        <v>1.43</v>
      </c>
      <c r="G63" s="13">
        <v>1.41</v>
      </c>
      <c r="H63" s="13">
        <v>1.4</v>
      </c>
    </row>
    <row r="64" spans="1:8" x14ac:dyDescent="0.3">
      <c r="B64" t="s">
        <v>16</v>
      </c>
      <c r="C64" s="13">
        <v>1.64</v>
      </c>
      <c r="D64" s="13">
        <v>1.57</v>
      </c>
      <c r="E64" s="13">
        <v>1.53</v>
      </c>
      <c r="F64" s="13">
        <v>1.51</v>
      </c>
      <c r="G64" s="13">
        <v>1.5</v>
      </c>
      <c r="H64" s="13">
        <v>1.5</v>
      </c>
    </row>
    <row r="65" spans="1:8" x14ac:dyDescent="0.3">
      <c r="B65" t="s">
        <v>14</v>
      </c>
      <c r="C65" s="13">
        <v>1.68</v>
      </c>
      <c r="D65" s="13">
        <v>1.63</v>
      </c>
      <c r="E65" s="13">
        <v>1.61</v>
      </c>
      <c r="F65" s="13">
        <v>1.6</v>
      </c>
      <c r="G65" s="13">
        <v>1.6</v>
      </c>
      <c r="H65" s="13">
        <v>1.6</v>
      </c>
    </row>
    <row r="66" spans="1:8" x14ac:dyDescent="0.3">
      <c r="A66" t="s">
        <v>32</v>
      </c>
      <c r="B66" t="s">
        <v>15</v>
      </c>
      <c r="C66" s="13">
        <v>1.33</v>
      </c>
      <c r="D66" s="13">
        <v>1.31</v>
      </c>
      <c r="E66" s="13">
        <v>1.3</v>
      </c>
      <c r="F66" s="13">
        <v>1.3</v>
      </c>
      <c r="G66" s="13">
        <v>1.3</v>
      </c>
      <c r="H66" s="13">
        <v>1.3</v>
      </c>
    </row>
    <row r="67" spans="1:8" x14ac:dyDescent="0.3">
      <c r="B67" t="s">
        <v>16</v>
      </c>
      <c r="C67" s="13">
        <v>1.4</v>
      </c>
      <c r="D67" s="13">
        <v>1.4</v>
      </c>
      <c r="E67" s="13">
        <v>1.4</v>
      </c>
      <c r="F67" s="13">
        <v>1.4</v>
      </c>
      <c r="G67" s="13">
        <v>1.4</v>
      </c>
      <c r="H67" s="13">
        <v>1.4</v>
      </c>
    </row>
    <row r="68" spans="1:8" x14ac:dyDescent="0.3">
      <c r="B68" t="s">
        <v>14</v>
      </c>
      <c r="C68" s="13">
        <v>1.5</v>
      </c>
      <c r="D68" s="13">
        <v>1.5</v>
      </c>
      <c r="E68" s="13">
        <v>1.5</v>
      </c>
      <c r="F68" s="13">
        <v>1.5</v>
      </c>
      <c r="G68" s="13">
        <v>1.5</v>
      </c>
      <c r="H68" s="13">
        <v>1.5</v>
      </c>
    </row>
    <row r="69" spans="1:8" x14ac:dyDescent="0.3">
      <c r="A69" t="s">
        <v>33</v>
      </c>
      <c r="B69" t="s">
        <v>15</v>
      </c>
      <c r="C69" s="13">
        <v>1.77</v>
      </c>
      <c r="D69" s="13">
        <v>1.64</v>
      </c>
      <c r="E69" s="13">
        <v>1.57</v>
      </c>
      <c r="F69" s="13">
        <v>1.53</v>
      </c>
      <c r="G69" s="13">
        <v>1.51</v>
      </c>
      <c r="H69" s="13">
        <v>1.5</v>
      </c>
    </row>
    <row r="70" spans="1:8" x14ac:dyDescent="0.3">
      <c r="B70" t="s">
        <v>16</v>
      </c>
      <c r="C70" s="13">
        <v>1.85</v>
      </c>
      <c r="D70" s="13">
        <v>1.75</v>
      </c>
      <c r="E70" s="13">
        <v>1.7</v>
      </c>
      <c r="F70" s="13">
        <v>1.68</v>
      </c>
      <c r="G70" s="13">
        <v>1.67</v>
      </c>
      <c r="H70" s="13">
        <v>1.67</v>
      </c>
    </row>
    <row r="71" spans="1:8" x14ac:dyDescent="0.3">
      <c r="B71" t="s">
        <v>14</v>
      </c>
      <c r="C71" s="13">
        <v>1.86</v>
      </c>
      <c r="D71" s="13">
        <v>1.78</v>
      </c>
      <c r="E71" s="13">
        <v>1.73</v>
      </c>
      <c r="F71" s="13">
        <v>1.71</v>
      </c>
      <c r="G71" s="13">
        <v>1.7</v>
      </c>
      <c r="H71" s="13">
        <v>1.7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6"/>
  <sheetViews>
    <sheetView workbookViewId="0">
      <selection activeCell="O8" sqref="O8"/>
    </sheetView>
  </sheetViews>
  <sheetFormatPr defaultRowHeight="14.4" x14ac:dyDescent="0.3"/>
  <cols>
    <col min="1" max="1" width="18.21875" customWidth="1"/>
  </cols>
  <sheetData>
    <row r="1" spans="1:13" x14ac:dyDescent="0.3">
      <c r="A1" s="2" t="s">
        <v>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s="7" customFormat="1" x14ac:dyDescent="0.3">
      <c r="B2" s="34">
        <v>2026</v>
      </c>
      <c r="C2" s="34"/>
      <c r="D2" s="34">
        <v>2031</v>
      </c>
      <c r="E2" s="34"/>
      <c r="F2" s="34">
        <v>2036</v>
      </c>
      <c r="G2" s="34"/>
      <c r="H2" s="34">
        <v>2041</v>
      </c>
      <c r="I2" s="34"/>
      <c r="J2" s="34">
        <v>2046</v>
      </c>
      <c r="K2" s="34"/>
      <c r="L2" s="34">
        <v>2051</v>
      </c>
      <c r="M2" s="34"/>
    </row>
    <row r="3" spans="1:13" s="3" customFormat="1" x14ac:dyDescent="0.3">
      <c r="A3" s="3" t="s">
        <v>1</v>
      </c>
      <c r="B3" s="3" t="s">
        <v>16</v>
      </c>
      <c r="C3" s="3" t="s">
        <v>46</v>
      </c>
      <c r="D3" s="3" t="s">
        <v>16</v>
      </c>
      <c r="E3" s="3" t="s">
        <v>46</v>
      </c>
      <c r="F3" s="3" t="s">
        <v>16</v>
      </c>
      <c r="G3" s="3" t="s">
        <v>46</v>
      </c>
      <c r="H3" s="3" t="s">
        <v>16</v>
      </c>
      <c r="I3" s="3" t="s">
        <v>46</v>
      </c>
      <c r="J3" s="3" t="s">
        <v>16</v>
      </c>
      <c r="K3" s="3" t="s">
        <v>46</v>
      </c>
      <c r="L3" s="3" t="s">
        <v>16</v>
      </c>
      <c r="M3" s="3" t="s">
        <v>46</v>
      </c>
    </row>
    <row r="4" spans="1:13" x14ac:dyDescent="0.3">
      <c r="A4" t="s">
        <v>45</v>
      </c>
      <c r="B4">
        <v>68.3</v>
      </c>
      <c r="C4">
        <v>71.900000000000006</v>
      </c>
      <c r="D4">
        <v>69.900000000000006</v>
      </c>
      <c r="E4">
        <v>73.7</v>
      </c>
      <c r="F4">
        <v>71.400000000000006</v>
      </c>
      <c r="G4">
        <v>75.5</v>
      </c>
      <c r="H4">
        <v>72.900000000000006</v>
      </c>
      <c r="I4">
        <v>71.099999999999994</v>
      </c>
      <c r="J4">
        <v>74.3</v>
      </c>
      <c r="K4">
        <v>78.599999999999994</v>
      </c>
      <c r="L4">
        <v>75.599999999999994</v>
      </c>
      <c r="M4">
        <v>80</v>
      </c>
    </row>
    <row r="5" spans="1:13" x14ac:dyDescent="0.3">
      <c r="A5" t="s">
        <v>2</v>
      </c>
      <c r="B5">
        <v>67.400000000000006</v>
      </c>
      <c r="C5">
        <v>69</v>
      </c>
      <c r="D5">
        <v>68.900000000000006</v>
      </c>
      <c r="E5">
        <v>70.8</v>
      </c>
      <c r="F5">
        <v>70.400000000000006</v>
      </c>
      <c r="G5">
        <v>72.400000000000006</v>
      </c>
      <c r="H5">
        <v>71.900000000000006</v>
      </c>
      <c r="I5">
        <v>74</v>
      </c>
      <c r="J5">
        <v>73.2</v>
      </c>
      <c r="K5">
        <v>75.5</v>
      </c>
      <c r="L5">
        <v>74.5</v>
      </c>
      <c r="M5">
        <v>77</v>
      </c>
    </row>
    <row r="6" spans="1:13" x14ac:dyDescent="0.3">
      <c r="A6" t="s">
        <v>3</v>
      </c>
      <c r="B6">
        <v>69.3</v>
      </c>
      <c r="C6">
        <v>71</v>
      </c>
      <c r="D6">
        <v>70.900000000000006</v>
      </c>
      <c r="E6">
        <v>72.900000000000006</v>
      </c>
      <c r="F6">
        <v>72.400000000000006</v>
      </c>
      <c r="G6">
        <v>74.599999999999994</v>
      </c>
      <c r="H6">
        <v>73.900000000000006</v>
      </c>
      <c r="I6">
        <v>76.2</v>
      </c>
      <c r="J6">
        <v>75.400000000000006</v>
      </c>
      <c r="K6">
        <v>77.7</v>
      </c>
      <c r="L6">
        <v>76.7</v>
      </c>
      <c r="M6">
        <v>79.2</v>
      </c>
    </row>
    <row r="7" spans="1:13" x14ac:dyDescent="0.3">
      <c r="A7" t="s">
        <v>4</v>
      </c>
      <c r="B7">
        <v>61.6</v>
      </c>
      <c r="C7">
        <v>67.599999999999994</v>
      </c>
      <c r="D7">
        <v>62.6</v>
      </c>
      <c r="E7">
        <v>69.2</v>
      </c>
      <c r="F7">
        <v>63.7</v>
      </c>
      <c r="G7">
        <v>70.8</v>
      </c>
      <c r="H7">
        <v>64.7</v>
      </c>
      <c r="I7">
        <v>72.3</v>
      </c>
      <c r="J7">
        <v>65.7</v>
      </c>
      <c r="K7">
        <v>73.2</v>
      </c>
      <c r="L7">
        <v>66.7</v>
      </c>
      <c r="M7">
        <v>75.2</v>
      </c>
    </row>
    <row r="8" spans="1:13" x14ac:dyDescent="0.3">
      <c r="A8" t="s">
        <v>5</v>
      </c>
      <c r="B8">
        <v>72.5</v>
      </c>
      <c r="C8">
        <v>77</v>
      </c>
      <c r="D8">
        <v>74.3</v>
      </c>
      <c r="E8">
        <v>79</v>
      </c>
      <c r="F8">
        <v>75.900000000000006</v>
      </c>
      <c r="G8">
        <v>80.7</v>
      </c>
      <c r="H8">
        <v>77.400000000000006</v>
      </c>
      <c r="I8">
        <v>82.3</v>
      </c>
      <c r="J8">
        <v>78.900000000000006</v>
      </c>
      <c r="K8">
        <v>82.6</v>
      </c>
      <c r="L8">
        <v>80.2</v>
      </c>
      <c r="M8">
        <v>85</v>
      </c>
    </row>
    <row r="9" spans="1:13" x14ac:dyDescent="0.3">
      <c r="A9" t="s">
        <v>6</v>
      </c>
      <c r="B9">
        <v>66.2</v>
      </c>
      <c r="C9">
        <v>72.3</v>
      </c>
      <c r="D9">
        <v>67.599999999999994</v>
      </c>
      <c r="E9">
        <v>74.2</v>
      </c>
      <c r="F9">
        <v>69</v>
      </c>
      <c r="G9">
        <v>75.900000000000006</v>
      </c>
      <c r="H9">
        <v>70.3</v>
      </c>
      <c r="I9">
        <v>77.599999999999994</v>
      </c>
      <c r="J9">
        <v>71.599999999999994</v>
      </c>
      <c r="K9">
        <v>79.099999999999994</v>
      </c>
      <c r="L9">
        <v>72.900000000000006</v>
      </c>
      <c r="M9">
        <v>80.5</v>
      </c>
    </row>
    <row r="10" spans="1:13" x14ac:dyDescent="0.3">
      <c r="A10" t="s">
        <v>7</v>
      </c>
      <c r="B10">
        <v>66.5</v>
      </c>
      <c r="C10">
        <v>71.599999999999994</v>
      </c>
      <c r="D10">
        <v>67.900000000000006</v>
      </c>
      <c r="E10">
        <v>73.5</v>
      </c>
      <c r="F10">
        <v>69.400000000000006</v>
      </c>
      <c r="G10">
        <v>75.3</v>
      </c>
      <c r="H10">
        <v>70.7</v>
      </c>
      <c r="I10">
        <v>76.900000000000006</v>
      </c>
      <c r="J10">
        <v>72</v>
      </c>
      <c r="K10">
        <v>78.400000000000006</v>
      </c>
      <c r="L10">
        <v>73.3</v>
      </c>
      <c r="M10">
        <v>79.900000000000006</v>
      </c>
    </row>
    <row r="11" spans="1:13" x14ac:dyDescent="0.3">
      <c r="A11" t="s">
        <v>8</v>
      </c>
      <c r="B11">
        <v>70.3</v>
      </c>
      <c r="C11">
        <v>75.7</v>
      </c>
      <c r="D11">
        <v>71.900000000000006</v>
      </c>
      <c r="E11">
        <v>77.7</v>
      </c>
      <c r="F11">
        <v>73.5</v>
      </c>
      <c r="G11">
        <v>79.400000000000006</v>
      </c>
      <c r="H11">
        <v>75</v>
      </c>
      <c r="I11">
        <v>81</v>
      </c>
      <c r="J11">
        <v>76.5</v>
      </c>
      <c r="K11">
        <v>82.4</v>
      </c>
      <c r="L11">
        <v>77.900000000000006</v>
      </c>
      <c r="M11">
        <v>83.7</v>
      </c>
    </row>
    <row r="12" spans="1:13" x14ac:dyDescent="0.3">
      <c r="A12" t="s">
        <v>9</v>
      </c>
      <c r="B12">
        <v>74.2</v>
      </c>
      <c r="C12">
        <v>77.099999999999994</v>
      </c>
      <c r="D12">
        <v>75.900000000000006</v>
      </c>
      <c r="E12">
        <v>79</v>
      </c>
      <c r="F12">
        <v>77.599999999999994</v>
      </c>
      <c r="G12">
        <v>80.8</v>
      </c>
      <c r="H12">
        <v>79.2</v>
      </c>
      <c r="I12">
        <v>82.4</v>
      </c>
      <c r="J12">
        <v>80.7</v>
      </c>
      <c r="K12">
        <v>83.8</v>
      </c>
      <c r="L12">
        <v>81.900000000000006</v>
      </c>
      <c r="M12">
        <v>85</v>
      </c>
    </row>
    <row r="13" spans="1:13" x14ac:dyDescent="0.3">
      <c r="A13" t="s">
        <v>10</v>
      </c>
      <c r="B13">
        <v>69.3</v>
      </c>
      <c r="C13">
        <v>71</v>
      </c>
      <c r="D13">
        <v>70.900000000000006</v>
      </c>
      <c r="E13">
        <v>72.900000000000006</v>
      </c>
      <c r="F13">
        <v>72.400000000000006</v>
      </c>
      <c r="G13">
        <v>74.599999999999994</v>
      </c>
      <c r="H13">
        <v>73.900000000000006</v>
      </c>
      <c r="I13">
        <v>76.2</v>
      </c>
      <c r="J13">
        <v>75.400000000000006</v>
      </c>
      <c r="K13">
        <v>77.7</v>
      </c>
      <c r="L13">
        <v>76.7</v>
      </c>
      <c r="M13">
        <v>79.2</v>
      </c>
    </row>
    <row r="14" spans="1:13" x14ac:dyDescent="0.3">
      <c r="A14" t="s">
        <v>11</v>
      </c>
      <c r="B14">
        <v>67.2</v>
      </c>
      <c r="C14">
        <v>72.8</v>
      </c>
      <c r="D14">
        <v>68.7</v>
      </c>
      <c r="E14">
        <v>74.7</v>
      </c>
      <c r="F14">
        <v>70.2</v>
      </c>
      <c r="G14">
        <v>76.400000000000006</v>
      </c>
      <c r="H14">
        <v>71.599999999999994</v>
      </c>
      <c r="I14">
        <v>76</v>
      </c>
      <c r="J14">
        <v>72.900000000000006</v>
      </c>
      <c r="K14">
        <v>79.599999999999994</v>
      </c>
      <c r="L14">
        <v>74.2</v>
      </c>
      <c r="M14">
        <v>80.400000000000006</v>
      </c>
    </row>
    <row r="15" spans="1:13" x14ac:dyDescent="0.3">
      <c r="A15" t="s">
        <v>12</v>
      </c>
      <c r="B15">
        <v>72.3</v>
      </c>
      <c r="C15">
        <v>78</v>
      </c>
      <c r="D15">
        <v>74</v>
      </c>
      <c r="E15">
        <v>79.900000000000006</v>
      </c>
      <c r="F15">
        <v>75.7</v>
      </c>
      <c r="G15">
        <v>81.7</v>
      </c>
      <c r="H15">
        <v>77.2</v>
      </c>
      <c r="I15">
        <v>83.2</v>
      </c>
      <c r="J15">
        <v>78.599999999999994</v>
      </c>
      <c r="K15">
        <v>84.5</v>
      </c>
      <c r="L15">
        <v>80</v>
      </c>
      <c r="M15">
        <v>85.7</v>
      </c>
    </row>
    <row r="16" spans="1:13" x14ac:dyDescent="0.3">
      <c r="A16" t="s">
        <v>23</v>
      </c>
      <c r="B16">
        <v>65.099999999999994</v>
      </c>
      <c r="C16">
        <v>70</v>
      </c>
      <c r="D16">
        <v>66.400000000000006</v>
      </c>
      <c r="E16">
        <v>71.7</v>
      </c>
      <c r="F16">
        <v>67.7</v>
      </c>
      <c r="G16">
        <v>73.5</v>
      </c>
      <c r="H16">
        <v>69</v>
      </c>
      <c r="I16">
        <v>75.099999999999994</v>
      </c>
      <c r="J16">
        <v>70.3</v>
      </c>
      <c r="K16">
        <v>76.599999999999994</v>
      </c>
      <c r="L16">
        <v>71.400000000000006</v>
      </c>
      <c r="M16">
        <v>78</v>
      </c>
    </row>
    <row r="17" spans="1:13" x14ac:dyDescent="0.3">
      <c r="A17" t="s">
        <v>24</v>
      </c>
      <c r="B17">
        <v>69.5</v>
      </c>
      <c r="C17">
        <v>75.8</v>
      </c>
      <c r="D17">
        <v>71.099999999999994</v>
      </c>
      <c r="E17">
        <v>77.8</v>
      </c>
      <c r="F17">
        <v>72.7</v>
      </c>
      <c r="G17">
        <v>79.5</v>
      </c>
      <c r="H17">
        <v>74.2</v>
      </c>
      <c r="I17">
        <v>81.099999999999994</v>
      </c>
      <c r="J17">
        <v>75.599999999999994</v>
      </c>
      <c r="K17">
        <v>82.5</v>
      </c>
      <c r="L17">
        <v>77</v>
      </c>
      <c r="M17">
        <v>83.8</v>
      </c>
    </row>
    <row r="18" spans="1:13" x14ac:dyDescent="0.3">
      <c r="A18" t="s">
        <v>25</v>
      </c>
      <c r="B18">
        <v>68.900000000000006</v>
      </c>
      <c r="C18">
        <v>72.099999999999994</v>
      </c>
      <c r="D18">
        <v>70.5</v>
      </c>
      <c r="E18">
        <v>73.900000000000006</v>
      </c>
      <c r="F18">
        <v>72</v>
      </c>
      <c r="G18">
        <v>75.7</v>
      </c>
      <c r="H18">
        <v>73.5</v>
      </c>
      <c r="I18">
        <v>77.400000000000006</v>
      </c>
      <c r="J18">
        <v>74.8</v>
      </c>
      <c r="K18">
        <v>78.8</v>
      </c>
      <c r="L18">
        <v>76.2</v>
      </c>
      <c r="M18">
        <v>80.2</v>
      </c>
    </row>
    <row r="19" spans="1:13" x14ac:dyDescent="0.3">
      <c r="A19" t="s">
        <v>26</v>
      </c>
      <c r="B19">
        <v>68.099999999999994</v>
      </c>
      <c r="C19">
        <v>73.2</v>
      </c>
      <c r="D19">
        <v>69.599999999999994</v>
      </c>
      <c r="E19">
        <v>75.2</v>
      </c>
      <c r="F19">
        <v>71.099999999999994</v>
      </c>
      <c r="G19">
        <v>76.900000000000006</v>
      </c>
      <c r="H19">
        <v>72.5</v>
      </c>
      <c r="I19">
        <v>78.599999999999994</v>
      </c>
      <c r="J19">
        <v>73.900000000000006</v>
      </c>
      <c r="K19">
        <v>80</v>
      </c>
      <c r="L19">
        <v>75.3</v>
      </c>
      <c r="M19">
        <v>81.400000000000006</v>
      </c>
    </row>
    <row r="20" spans="1:13" x14ac:dyDescent="0.3">
      <c r="A20" t="s">
        <v>27</v>
      </c>
      <c r="B20">
        <v>68.2</v>
      </c>
      <c r="C20">
        <v>73.599999999999994</v>
      </c>
      <c r="D20">
        <v>69.8</v>
      </c>
      <c r="E20">
        <v>75.599999999999994</v>
      </c>
      <c r="F20">
        <v>71.3</v>
      </c>
      <c r="G20">
        <v>77.3</v>
      </c>
      <c r="H20">
        <v>72.7</v>
      </c>
      <c r="I20">
        <v>79.3</v>
      </c>
      <c r="J20">
        <v>74.099999999999994</v>
      </c>
      <c r="K20">
        <v>80.5</v>
      </c>
      <c r="L20">
        <v>75.400000000000006</v>
      </c>
      <c r="M20">
        <v>81.8</v>
      </c>
    </row>
    <row r="21" spans="1:13" x14ac:dyDescent="0.3">
      <c r="A21" t="s">
        <v>28</v>
      </c>
      <c r="B21">
        <v>71.2</v>
      </c>
      <c r="C21">
        <v>76.3</v>
      </c>
      <c r="D21">
        <v>73</v>
      </c>
      <c r="E21">
        <v>78.3</v>
      </c>
      <c r="F21">
        <v>74.599999999999994</v>
      </c>
      <c r="G21">
        <v>80</v>
      </c>
      <c r="H21">
        <v>76.099999999999994</v>
      </c>
      <c r="I21">
        <v>81.599999999999994</v>
      </c>
      <c r="J21">
        <v>77.599999999999994</v>
      </c>
      <c r="K21">
        <v>83</v>
      </c>
      <c r="L21">
        <v>78.900000000000006</v>
      </c>
      <c r="M21">
        <v>84.3</v>
      </c>
    </row>
    <row r="22" spans="1:13" x14ac:dyDescent="0.3">
      <c r="A22" t="s">
        <v>29</v>
      </c>
      <c r="B22">
        <v>69.7</v>
      </c>
      <c r="C22">
        <v>76</v>
      </c>
      <c r="D22">
        <v>71.400000000000006</v>
      </c>
      <c r="E22">
        <v>74</v>
      </c>
      <c r="F22">
        <v>72.900000000000006</v>
      </c>
      <c r="G22">
        <v>75.900000000000006</v>
      </c>
      <c r="H22">
        <v>74.400000000000006</v>
      </c>
      <c r="I22">
        <v>77.5</v>
      </c>
      <c r="J22">
        <v>75.900000000000006</v>
      </c>
      <c r="K22">
        <v>79</v>
      </c>
      <c r="L22">
        <v>77.2</v>
      </c>
      <c r="M22">
        <v>80.400000000000006</v>
      </c>
    </row>
    <row r="23" spans="1:13" x14ac:dyDescent="0.3">
      <c r="A23" t="s">
        <v>30</v>
      </c>
      <c r="B23">
        <v>66.5</v>
      </c>
      <c r="C23">
        <v>69.3</v>
      </c>
      <c r="D23">
        <v>67.900000000000006</v>
      </c>
      <c r="E23">
        <v>71</v>
      </c>
      <c r="F23">
        <v>69.400000000000006</v>
      </c>
      <c r="G23">
        <v>72.7</v>
      </c>
      <c r="H23">
        <v>70.7</v>
      </c>
      <c r="I23">
        <v>74.400000000000006</v>
      </c>
      <c r="J23">
        <v>72</v>
      </c>
      <c r="K23">
        <v>75.900000000000006</v>
      </c>
      <c r="L23">
        <v>73.3</v>
      </c>
      <c r="M23">
        <v>77.3</v>
      </c>
    </row>
    <row r="24" spans="1:13" x14ac:dyDescent="0.3">
      <c r="A24" t="s">
        <v>31</v>
      </c>
      <c r="B24">
        <v>67.8</v>
      </c>
      <c r="C24">
        <v>72.3</v>
      </c>
      <c r="D24">
        <v>69.3</v>
      </c>
      <c r="E24">
        <v>74.2</v>
      </c>
      <c r="F24">
        <v>70.8</v>
      </c>
      <c r="G24">
        <v>75.900000000000006</v>
      </c>
      <c r="H24">
        <v>72.2</v>
      </c>
      <c r="I24">
        <v>77.599999999999994</v>
      </c>
      <c r="J24">
        <v>73.599999999999994</v>
      </c>
      <c r="K24">
        <v>79.099999999999994</v>
      </c>
      <c r="L24">
        <v>74.900000000000006</v>
      </c>
      <c r="M24">
        <v>80.5</v>
      </c>
    </row>
    <row r="25" spans="1:13" x14ac:dyDescent="0.3">
      <c r="A25" t="s">
        <v>32</v>
      </c>
      <c r="B25">
        <v>71.099999999999994</v>
      </c>
      <c r="C25">
        <v>74.400000000000006</v>
      </c>
      <c r="D25">
        <v>72.8</v>
      </c>
      <c r="E25">
        <v>76.3</v>
      </c>
      <c r="F25">
        <v>74.400000000000006</v>
      </c>
      <c r="G25">
        <v>78</v>
      </c>
      <c r="H25">
        <v>75.900000000000006</v>
      </c>
      <c r="I25">
        <v>79.7</v>
      </c>
      <c r="J25">
        <v>77.400000000000006</v>
      </c>
      <c r="K25">
        <v>81.2</v>
      </c>
      <c r="L25">
        <v>78.7</v>
      </c>
      <c r="M25">
        <v>82.5</v>
      </c>
    </row>
    <row r="26" spans="1:13" x14ac:dyDescent="0.3">
      <c r="A26" t="s">
        <v>33</v>
      </c>
      <c r="B26">
        <v>68.3</v>
      </c>
      <c r="C26">
        <v>73</v>
      </c>
      <c r="D26">
        <v>69.900000000000006</v>
      </c>
      <c r="E26">
        <v>74.900000000000006</v>
      </c>
      <c r="F26">
        <v>71.400000000000006</v>
      </c>
      <c r="G26">
        <v>76.7</v>
      </c>
      <c r="H26">
        <v>72.900000000000006</v>
      </c>
      <c r="I26">
        <v>78.400000000000006</v>
      </c>
      <c r="J26">
        <v>74.3</v>
      </c>
      <c r="K26">
        <v>79.900000000000006</v>
      </c>
      <c r="L26">
        <v>75.599999999999994</v>
      </c>
      <c r="M26">
        <v>81.3</v>
      </c>
    </row>
  </sheetData>
  <mergeCells count="6">
    <mergeCell ref="L2:M2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5"/>
  <sheetViews>
    <sheetView workbookViewId="0">
      <selection activeCell="N16" sqref="N16"/>
    </sheetView>
  </sheetViews>
  <sheetFormatPr defaultRowHeight="14.4" x14ac:dyDescent="0.3"/>
  <cols>
    <col min="1" max="1" width="29.33203125" customWidth="1"/>
    <col min="2" max="2" width="8.88671875" style="6"/>
    <col min="3" max="3" width="17.33203125" style="6" bestFit="1" customWidth="1"/>
    <col min="4" max="11" width="8.88671875" style="6"/>
  </cols>
  <sheetData>
    <row r="1" spans="1:11" x14ac:dyDescent="0.3">
      <c r="A1" s="2" t="s">
        <v>47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3" customFormat="1" x14ac:dyDescent="0.3">
      <c r="A2" s="3" t="s">
        <v>1</v>
      </c>
      <c r="B2" s="3">
        <v>2011</v>
      </c>
      <c r="C2" s="3" t="s">
        <v>50</v>
      </c>
      <c r="D2" s="3">
        <v>2016</v>
      </c>
      <c r="E2" s="3">
        <v>2021</v>
      </c>
      <c r="F2" s="3">
        <v>2026</v>
      </c>
      <c r="G2" s="3">
        <v>2031</v>
      </c>
      <c r="H2" s="3">
        <v>2036</v>
      </c>
      <c r="I2" s="3">
        <v>2041</v>
      </c>
      <c r="J2" s="3">
        <v>2046</v>
      </c>
      <c r="K2" s="3">
        <v>2051</v>
      </c>
    </row>
    <row r="3" spans="1:11" x14ac:dyDescent="0.3">
      <c r="A3" t="s">
        <v>45</v>
      </c>
      <c r="B3" s="6">
        <v>106</v>
      </c>
      <c r="C3" s="6" t="s">
        <v>51</v>
      </c>
      <c r="D3" s="6">
        <v>106</v>
      </c>
      <c r="E3" s="6">
        <v>106</v>
      </c>
      <c r="F3" s="6">
        <v>106</v>
      </c>
      <c r="G3" s="6">
        <v>106</v>
      </c>
      <c r="H3" s="6">
        <v>106</v>
      </c>
      <c r="I3" s="6">
        <v>106</v>
      </c>
      <c r="J3" s="6">
        <v>106</v>
      </c>
      <c r="K3" s="6">
        <v>106</v>
      </c>
    </row>
    <row r="4" spans="1:11" x14ac:dyDescent="0.3">
      <c r="A4" t="s">
        <v>2</v>
      </c>
      <c r="B4" s="6">
        <v>105</v>
      </c>
      <c r="C4" s="6" t="s">
        <v>51</v>
      </c>
      <c r="D4" s="6">
        <v>105</v>
      </c>
      <c r="E4" s="6">
        <v>105</v>
      </c>
      <c r="F4" s="6">
        <v>105</v>
      </c>
      <c r="G4" s="6">
        <v>105</v>
      </c>
      <c r="H4" s="6">
        <v>105</v>
      </c>
      <c r="I4" s="6">
        <v>105</v>
      </c>
      <c r="J4" s="6">
        <v>105</v>
      </c>
      <c r="K4" s="6">
        <v>105</v>
      </c>
    </row>
    <row r="5" spans="1:11" x14ac:dyDescent="0.3">
      <c r="A5" t="s">
        <v>3</v>
      </c>
      <c r="B5" s="6">
        <v>110</v>
      </c>
      <c r="C5" s="6" t="s">
        <v>51</v>
      </c>
      <c r="D5" s="6">
        <v>110</v>
      </c>
      <c r="E5" s="6">
        <v>110</v>
      </c>
      <c r="F5" s="6">
        <v>110</v>
      </c>
      <c r="G5" s="6">
        <v>110</v>
      </c>
      <c r="H5" s="6">
        <v>110</v>
      </c>
      <c r="I5" s="6">
        <v>110</v>
      </c>
      <c r="J5" s="6">
        <v>110</v>
      </c>
      <c r="K5" s="6">
        <v>110</v>
      </c>
    </row>
    <row r="6" spans="1:11" x14ac:dyDescent="0.3">
      <c r="A6" t="s">
        <v>4</v>
      </c>
      <c r="B6" s="6">
        <v>104</v>
      </c>
      <c r="C6" s="6" t="s">
        <v>51</v>
      </c>
      <c r="D6" s="6">
        <v>104</v>
      </c>
      <c r="E6" s="6">
        <v>104</v>
      </c>
      <c r="F6" s="6">
        <v>104</v>
      </c>
      <c r="G6" s="6">
        <v>104</v>
      </c>
      <c r="H6" s="6">
        <v>104</v>
      </c>
      <c r="I6" s="6">
        <v>104</v>
      </c>
      <c r="J6" s="6">
        <v>104</v>
      </c>
      <c r="K6" s="6">
        <v>104</v>
      </c>
    </row>
    <row r="7" spans="1:11" x14ac:dyDescent="0.3">
      <c r="A7" t="s">
        <v>6</v>
      </c>
      <c r="B7" s="6">
        <v>113</v>
      </c>
      <c r="C7" s="6">
        <v>107</v>
      </c>
      <c r="D7" s="6">
        <v>112</v>
      </c>
      <c r="E7" s="6">
        <v>111</v>
      </c>
      <c r="F7" s="6">
        <v>110</v>
      </c>
      <c r="G7" s="6">
        <v>110</v>
      </c>
      <c r="H7" s="6">
        <v>109</v>
      </c>
      <c r="I7" s="6">
        <v>109</v>
      </c>
      <c r="J7" s="6">
        <v>108</v>
      </c>
      <c r="K7" s="6">
        <v>108</v>
      </c>
    </row>
    <row r="8" spans="1:11" x14ac:dyDescent="0.3">
      <c r="A8" t="s">
        <v>7</v>
      </c>
      <c r="B8" s="6">
        <v>120</v>
      </c>
      <c r="C8" s="6">
        <v>107</v>
      </c>
      <c r="D8" s="6">
        <v>118</v>
      </c>
      <c r="E8" s="6">
        <v>117</v>
      </c>
      <c r="F8" s="6">
        <v>116</v>
      </c>
      <c r="G8" s="6">
        <v>115</v>
      </c>
      <c r="H8" s="6">
        <v>114</v>
      </c>
      <c r="I8" s="6">
        <v>113</v>
      </c>
      <c r="J8" s="6">
        <v>112</v>
      </c>
      <c r="K8" s="6">
        <v>111</v>
      </c>
    </row>
    <row r="9" spans="1:11" x14ac:dyDescent="0.3">
      <c r="A9" t="s">
        <v>48</v>
      </c>
      <c r="B9" s="6">
        <v>110</v>
      </c>
      <c r="C9" s="6">
        <v>107</v>
      </c>
      <c r="D9" s="6">
        <v>109</v>
      </c>
      <c r="E9" s="6">
        <v>108</v>
      </c>
      <c r="F9" s="6">
        <v>108</v>
      </c>
      <c r="G9" s="6">
        <v>107</v>
      </c>
      <c r="H9" s="6">
        <v>107</v>
      </c>
      <c r="I9" s="6">
        <v>107</v>
      </c>
      <c r="J9" s="6">
        <v>107</v>
      </c>
      <c r="K9" s="6">
        <v>107</v>
      </c>
    </row>
    <row r="10" spans="1:11" x14ac:dyDescent="0.3">
      <c r="A10" t="s">
        <v>49</v>
      </c>
      <c r="B10" s="6">
        <v>128</v>
      </c>
      <c r="C10" s="6">
        <v>107</v>
      </c>
      <c r="D10" s="6">
        <v>125</v>
      </c>
      <c r="E10" s="6">
        <v>124</v>
      </c>
      <c r="F10" s="6">
        <v>123</v>
      </c>
      <c r="G10" s="6">
        <v>122</v>
      </c>
      <c r="H10" s="6">
        <v>121</v>
      </c>
      <c r="I10" s="6">
        <v>120</v>
      </c>
      <c r="J10" s="6">
        <v>120</v>
      </c>
      <c r="K10" s="6">
        <v>119</v>
      </c>
    </row>
    <row r="11" spans="1:11" x14ac:dyDescent="0.3">
      <c r="A11" t="s">
        <v>10</v>
      </c>
      <c r="B11" s="6">
        <v>108</v>
      </c>
      <c r="C11" s="6" t="s">
        <v>51</v>
      </c>
      <c r="D11" s="6">
        <v>108</v>
      </c>
      <c r="E11" s="6">
        <v>108</v>
      </c>
      <c r="F11" s="6">
        <v>108</v>
      </c>
      <c r="G11" s="6">
        <v>108</v>
      </c>
      <c r="H11" s="6">
        <v>108</v>
      </c>
      <c r="I11" s="6">
        <v>108</v>
      </c>
      <c r="J11" s="6">
        <v>108</v>
      </c>
      <c r="K11" s="6">
        <v>108</v>
      </c>
    </row>
    <row r="12" spans="1:11" x14ac:dyDescent="0.3">
      <c r="A12" t="s">
        <v>11</v>
      </c>
      <c r="B12" s="6">
        <v>105</v>
      </c>
      <c r="C12" s="6" t="s">
        <v>51</v>
      </c>
      <c r="D12" s="6">
        <v>105</v>
      </c>
      <c r="E12" s="6">
        <v>105</v>
      </c>
      <c r="F12" s="6">
        <v>105</v>
      </c>
      <c r="G12" s="6">
        <v>105</v>
      </c>
      <c r="H12" s="6">
        <v>105</v>
      </c>
      <c r="I12" s="6">
        <v>105</v>
      </c>
      <c r="J12" s="6">
        <v>105</v>
      </c>
      <c r="K12" s="6">
        <v>105</v>
      </c>
    </row>
    <row r="13" spans="1:11" x14ac:dyDescent="0.3">
      <c r="A13" t="s">
        <v>12</v>
      </c>
      <c r="B13" s="6">
        <v>102</v>
      </c>
      <c r="C13" s="6" t="s">
        <v>51</v>
      </c>
      <c r="D13" s="6">
        <v>102</v>
      </c>
      <c r="E13" s="6">
        <v>102</v>
      </c>
      <c r="F13" s="6">
        <v>102</v>
      </c>
      <c r="G13" s="6">
        <v>102</v>
      </c>
      <c r="H13" s="6">
        <v>102</v>
      </c>
      <c r="I13" s="6">
        <v>102</v>
      </c>
      <c r="J13" s="6">
        <v>102</v>
      </c>
      <c r="K13" s="6">
        <v>102</v>
      </c>
    </row>
    <row r="14" spans="1:11" x14ac:dyDescent="0.3">
      <c r="A14" t="s">
        <v>23</v>
      </c>
      <c r="B14" s="6">
        <v>108</v>
      </c>
      <c r="C14" s="6" t="s">
        <v>51</v>
      </c>
      <c r="D14" s="6">
        <v>108</v>
      </c>
      <c r="E14" s="6">
        <v>108</v>
      </c>
      <c r="F14" s="6">
        <v>108</v>
      </c>
      <c r="G14" s="6">
        <v>108</v>
      </c>
      <c r="H14" s="6">
        <v>108</v>
      </c>
      <c r="I14" s="6">
        <v>108</v>
      </c>
      <c r="J14" s="6">
        <v>108</v>
      </c>
      <c r="K14" s="6">
        <v>108</v>
      </c>
    </row>
    <row r="15" spans="1:11" x14ac:dyDescent="0.3">
      <c r="A15" t="s">
        <v>24</v>
      </c>
      <c r="B15" s="6">
        <v>114</v>
      </c>
      <c r="C15" s="6" t="s">
        <v>51</v>
      </c>
      <c r="D15" s="6">
        <v>114</v>
      </c>
      <c r="E15" s="6">
        <v>114</v>
      </c>
      <c r="F15" s="6">
        <v>114</v>
      </c>
      <c r="G15" s="6">
        <v>114</v>
      </c>
      <c r="H15" s="6">
        <v>114</v>
      </c>
      <c r="I15" s="6">
        <v>114</v>
      </c>
      <c r="J15" s="6">
        <v>114</v>
      </c>
      <c r="K15" s="6">
        <v>114</v>
      </c>
    </row>
    <row r="16" spans="1:11" x14ac:dyDescent="0.3">
      <c r="A16" t="s">
        <v>5</v>
      </c>
      <c r="B16" s="6">
        <v>114</v>
      </c>
      <c r="C16" s="6">
        <v>107</v>
      </c>
      <c r="D16" s="6">
        <v>113</v>
      </c>
      <c r="E16" s="6">
        <v>112</v>
      </c>
      <c r="F16" s="6">
        <v>111</v>
      </c>
      <c r="G16" s="6">
        <v>110</v>
      </c>
      <c r="H16" s="6">
        <v>110</v>
      </c>
      <c r="I16" s="6">
        <v>109</v>
      </c>
      <c r="J16" s="6">
        <v>109</v>
      </c>
      <c r="K16" s="6">
        <v>109</v>
      </c>
    </row>
    <row r="17" spans="1:11" x14ac:dyDescent="0.3">
      <c r="A17" t="s">
        <v>25</v>
      </c>
      <c r="B17" s="6">
        <v>106</v>
      </c>
      <c r="C17" s="6" t="s">
        <v>51</v>
      </c>
      <c r="D17" s="6">
        <v>106</v>
      </c>
      <c r="E17" s="6">
        <v>106</v>
      </c>
      <c r="F17" s="6">
        <v>106</v>
      </c>
      <c r="G17" s="6">
        <v>106</v>
      </c>
      <c r="H17" s="6">
        <v>106</v>
      </c>
      <c r="I17" s="6">
        <v>106</v>
      </c>
      <c r="J17" s="6">
        <v>106</v>
      </c>
      <c r="K17" s="6">
        <v>106</v>
      </c>
    </row>
    <row r="18" spans="1:11" x14ac:dyDescent="0.3">
      <c r="A18" t="s">
        <v>26</v>
      </c>
      <c r="B18" s="6">
        <v>118</v>
      </c>
      <c r="C18" s="6">
        <v>107</v>
      </c>
      <c r="D18" s="6">
        <v>115</v>
      </c>
      <c r="E18" s="6">
        <v>113</v>
      </c>
      <c r="F18" s="6">
        <v>111</v>
      </c>
      <c r="G18" s="6">
        <v>110</v>
      </c>
      <c r="H18" s="6">
        <v>109</v>
      </c>
      <c r="I18" s="6">
        <v>108</v>
      </c>
      <c r="J18" s="6">
        <v>108</v>
      </c>
      <c r="K18" s="6">
        <v>108</v>
      </c>
    </row>
    <row r="19" spans="1:11" x14ac:dyDescent="0.3">
      <c r="A19" t="s">
        <v>27</v>
      </c>
      <c r="B19" s="6">
        <v>114</v>
      </c>
      <c r="C19" s="6">
        <v>107</v>
      </c>
      <c r="D19" s="6">
        <v>114</v>
      </c>
      <c r="E19" s="6">
        <v>112</v>
      </c>
      <c r="F19" s="6">
        <v>112</v>
      </c>
      <c r="G19" s="6">
        <v>112</v>
      </c>
      <c r="H19" s="6">
        <v>111</v>
      </c>
      <c r="I19" s="6">
        <v>111</v>
      </c>
      <c r="J19" s="6">
        <v>111</v>
      </c>
      <c r="K19" s="6">
        <v>111</v>
      </c>
    </row>
    <row r="20" spans="1:11" x14ac:dyDescent="0.3">
      <c r="A20" t="s">
        <v>28</v>
      </c>
      <c r="B20" s="6">
        <v>106</v>
      </c>
      <c r="C20" s="6" t="s">
        <v>51</v>
      </c>
      <c r="D20" s="6">
        <v>106</v>
      </c>
      <c r="E20" s="6">
        <v>106</v>
      </c>
      <c r="F20" s="6">
        <v>106</v>
      </c>
      <c r="G20" s="6">
        <v>106</v>
      </c>
      <c r="H20" s="6">
        <v>106</v>
      </c>
      <c r="I20" s="6">
        <v>106</v>
      </c>
      <c r="J20" s="6">
        <v>106</v>
      </c>
      <c r="K20" s="6">
        <v>106</v>
      </c>
    </row>
    <row r="21" spans="1:11" x14ac:dyDescent="0.3">
      <c r="A21" t="s">
        <v>29</v>
      </c>
      <c r="B21" s="6">
        <v>108</v>
      </c>
      <c r="C21" s="6">
        <v>105</v>
      </c>
      <c r="D21" s="6">
        <v>108</v>
      </c>
      <c r="E21" s="6">
        <v>108</v>
      </c>
      <c r="F21" s="6">
        <v>108</v>
      </c>
      <c r="G21" s="6">
        <v>108</v>
      </c>
      <c r="H21" s="6">
        <v>108</v>
      </c>
      <c r="I21" s="6">
        <v>107</v>
      </c>
      <c r="J21" s="6">
        <v>107</v>
      </c>
      <c r="K21" s="6">
        <v>107</v>
      </c>
    </row>
    <row r="22" spans="1:11" x14ac:dyDescent="0.3">
      <c r="A22" t="s">
        <v>31</v>
      </c>
      <c r="B22" s="6">
        <v>114</v>
      </c>
      <c r="C22" s="6">
        <v>107</v>
      </c>
      <c r="D22" s="6">
        <v>113</v>
      </c>
      <c r="E22" s="6">
        <v>112</v>
      </c>
      <c r="F22" s="6">
        <v>112</v>
      </c>
      <c r="G22" s="6">
        <v>112</v>
      </c>
      <c r="H22" s="6">
        <v>111</v>
      </c>
      <c r="I22" s="6">
        <v>111</v>
      </c>
      <c r="J22" s="6">
        <v>111</v>
      </c>
      <c r="K22" s="6">
        <v>111</v>
      </c>
    </row>
    <row r="23" spans="1:11" x14ac:dyDescent="0.3">
      <c r="A23" t="s">
        <v>30</v>
      </c>
      <c r="B23" s="6">
        <v>111</v>
      </c>
      <c r="C23" s="6" t="s">
        <v>51</v>
      </c>
      <c r="D23" s="6">
        <v>111</v>
      </c>
      <c r="E23" s="6">
        <v>111</v>
      </c>
      <c r="F23" s="6">
        <v>111</v>
      </c>
      <c r="G23" s="6">
        <v>111</v>
      </c>
      <c r="H23" s="6">
        <v>111</v>
      </c>
      <c r="I23" s="6">
        <v>111</v>
      </c>
      <c r="J23" s="6">
        <v>111</v>
      </c>
      <c r="K23" s="6">
        <v>111</v>
      </c>
    </row>
    <row r="24" spans="1:11" x14ac:dyDescent="0.3">
      <c r="A24" t="s">
        <v>32</v>
      </c>
      <c r="B24" s="6">
        <v>105</v>
      </c>
      <c r="C24" s="6" t="s">
        <v>51</v>
      </c>
      <c r="D24" s="6">
        <v>105</v>
      </c>
      <c r="E24" s="6">
        <v>105</v>
      </c>
      <c r="F24" s="6">
        <v>105</v>
      </c>
      <c r="G24" s="6">
        <v>105</v>
      </c>
      <c r="H24" s="6">
        <v>105</v>
      </c>
      <c r="I24" s="6">
        <v>105</v>
      </c>
      <c r="J24" s="6">
        <v>105</v>
      </c>
      <c r="K24" s="6">
        <v>105</v>
      </c>
    </row>
    <row r="25" spans="1:11" x14ac:dyDescent="0.3">
      <c r="A25" t="s">
        <v>33</v>
      </c>
      <c r="B25" s="6">
        <v>110</v>
      </c>
      <c r="C25" s="6">
        <v>107</v>
      </c>
      <c r="D25" s="6">
        <v>110</v>
      </c>
      <c r="E25" s="6">
        <v>110</v>
      </c>
      <c r="F25" s="6">
        <v>110</v>
      </c>
      <c r="G25" s="6">
        <v>110</v>
      </c>
      <c r="H25" s="6">
        <v>110</v>
      </c>
      <c r="I25" s="6">
        <v>110</v>
      </c>
      <c r="J25" s="6">
        <v>110</v>
      </c>
      <c r="K25" s="6">
        <v>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40"/>
  <sheetViews>
    <sheetView workbookViewId="0">
      <selection activeCell="K6" sqref="K6"/>
    </sheetView>
  </sheetViews>
  <sheetFormatPr defaultRowHeight="14.4" x14ac:dyDescent="0.3"/>
  <cols>
    <col min="1" max="1" width="31.77734375" customWidth="1"/>
  </cols>
  <sheetData>
    <row r="1" spans="1:7" x14ac:dyDescent="0.3">
      <c r="A1" s="2" t="s">
        <v>88</v>
      </c>
      <c r="B1" s="1"/>
      <c r="C1" s="1"/>
      <c r="D1" s="1"/>
      <c r="E1" s="1"/>
      <c r="F1" s="1"/>
      <c r="G1" s="1"/>
    </row>
    <row r="2" spans="1:7" s="3" customFormat="1" x14ac:dyDescent="0.3">
      <c r="A2" s="3" t="s">
        <v>52</v>
      </c>
      <c r="B2" s="3">
        <v>2026</v>
      </c>
      <c r="C2" s="3">
        <v>2031</v>
      </c>
      <c r="D2" s="3">
        <v>2036</v>
      </c>
      <c r="E2" s="3">
        <v>2041</v>
      </c>
      <c r="F2" s="3">
        <v>2046</v>
      </c>
      <c r="G2" s="3">
        <v>2051</v>
      </c>
    </row>
    <row r="3" spans="1:7" x14ac:dyDescent="0.3">
      <c r="A3" s="7" t="s">
        <v>53</v>
      </c>
    </row>
    <row r="4" spans="1:7" x14ac:dyDescent="0.3">
      <c r="A4" t="s">
        <v>54</v>
      </c>
      <c r="B4">
        <v>1.43</v>
      </c>
      <c r="C4">
        <v>1.41</v>
      </c>
      <c r="D4">
        <v>1.4</v>
      </c>
      <c r="E4">
        <v>1.4</v>
      </c>
      <c r="F4">
        <v>1.4</v>
      </c>
      <c r="G4">
        <v>1.4</v>
      </c>
    </row>
    <row r="5" spans="1:7" x14ac:dyDescent="0.3">
      <c r="A5" t="s">
        <v>55</v>
      </c>
      <c r="B5">
        <v>0.69</v>
      </c>
      <c r="C5">
        <v>0.68</v>
      </c>
      <c r="D5">
        <v>0.68</v>
      </c>
      <c r="E5">
        <v>0.68</v>
      </c>
      <c r="F5">
        <v>0.68</v>
      </c>
      <c r="G5">
        <v>0.68</v>
      </c>
    </row>
    <row r="6" spans="1:7" x14ac:dyDescent="0.3">
      <c r="A6" t="s">
        <v>56</v>
      </c>
      <c r="B6">
        <v>0.64</v>
      </c>
      <c r="C6">
        <v>0.64</v>
      </c>
      <c r="D6">
        <v>0.64</v>
      </c>
      <c r="E6">
        <v>0.62</v>
      </c>
      <c r="F6">
        <v>0.65</v>
      </c>
      <c r="G6">
        <v>0.66</v>
      </c>
    </row>
    <row r="7" spans="1:7" x14ac:dyDescent="0.3">
      <c r="A7" t="s">
        <v>57</v>
      </c>
      <c r="B7">
        <v>25.3</v>
      </c>
      <c r="C7">
        <v>25.7</v>
      </c>
      <c r="D7">
        <v>26.1</v>
      </c>
      <c r="E7">
        <v>26.4</v>
      </c>
      <c r="F7">
        <v>26.8</v>
      </c>
      <c r="G7">
        <v>27.1</v>
      </c>
    </row>
    <row r="8" spans="1:7" x14ac:dyDescent="0.3">
      <c r="A8" t="s">
        <v>58</v>
      </c>
      <c r="B8">
        <v>0.2</v>
      </c>
      <c r="C8">
        <v>0.19</v>
      </c>
      <c r="D8">
        <v>0.18</v>
      </c>
      <c r="E8">
        <v>0.18</v>
      </c>
      <c r="F8">
        <v>0.18</v>
      </c>
      <c r="G8">
        <v>0.18</v>
      </c>
    </row>
    <row r="9" spans="1:7" x14ac:dyDescent="0.3">
      <c r="A9" s="7" t="s">
        <v>59</v>
      </c>
    </row>
    <row r="10" spans="1:7" x14ac:dyDescent="0.3">
      <c r="A10" t="s">
        <v>60</v>
      </c>
      <c r="B10">
        <v>68.2</v>
      </c>
      <c r="C10">
        <v>69.900000000000006</v>
      </c>
      <c r="D10">
        <v>71.3</v>
      </c>
      <c r="E10">
        <v>72.8</v>
      </c>
      <c r="F10">
        <v>74.2</v>
      </c>
      <c r="G10">
        <v>75.5</v>
      </c>
    </row>
    <row r="11" spans="1:7" x14ac:dyDescent="0.3">
      <c r="A11" t="s">
        <v>61</v>
      </c>
      <c r="B11">
        <v>71.8</v>
      </c>
      <c r="C11">
        <v>73.599999999999994</v>
      </c>
      <c r="D11">
        <v>75.400000000000006</v>
      </c>
      <c r="E11">
        <v>71</v>
      </c>
      <c r="F11">
        <v>78.5</v>
      </c>
      <c r="G11">
        <v>80</v>
      </c>
    </row>
    <row r="12" spans="1:7" x14ac:dyDescent="0.3">
      <c r="A12" t="s">
        <v>62</v>
      </c>
      <c r="B12">
        <v>70</v>
      </c>
      <c r="C12">
        <v>71.8</v>
      </c>
      <c r="D12">
        <v>73.400000000000006</v>
      </c>
      <c r="E12">
        <v>71.900000000000006</v>
      </c>
      <c r="F12">
        <v>76.400000000000006</v>
      </c>
      <c r="G12">
        <v>77.8</v>
      </c>
    </row>
    <row r="13" spans="1:7" x14ac:dyDescent="0.3">
      <c r="A13" t="s">
        <v>63</v>
      </c>
      <c r="B13">
        <v>55</v>
      </c>
      <c r="C13">
        <v>48.4</v>
      </c>
      <c r="D13">
        <v>42.2</v>
      </c>
      <c r="E13">
        <v>46.3</v>
      </c>
      <c r="F13">
        <v>32.5</v>
      </c>
      <c r="G13">
        <v>27.8</v>
      </c>
    </row>
    <row r="14" spans="1:7" x14ac:dyDescent="0.3">
      <c r="A14" t="s">
        <v>64</v>
      </c>
      <c r="B14">
        <v>67.099999999999994</v>
      </c>
      <c r="C14">
        <v>57.6</v>
      </c>
      <c r="D14">
        <v>49.7</v>
      </c>
      <c r="E14">
        <v>56.7</v>
      </c>
      <c r="F14">
        <v>37.1</v>
      </c>
      <c r="G14">
        <v>31.9</v>
      </c>
    </row>
    <row r="15" spans="1:7" x14ac:dyDescent="0.3">
      <c r="A15" s="7" t="s">
        <v>89</v>
      </c>
    </row>
    <row r="16" spans="1:7" x14ac:dyDescent="0.3">
      <c r="A16" t="s">
        <v>74</v>
      </c>
      <c r="B16">
        <v>-1324</v>
      </c>
      <c r="C16">
        <v>-1318</v>
      </c>
      <c r="D16">
        <v>-1315</v>
      </c>
      <c r="E16">
        <v>-1313</v>
      </c>
      <c r="F16">
        <v>-1312</v>
      </c>
      <c r="G16">
        <v>-1312</v>
      </c>
    </row>
    <row r="17" spans="1:7" x14ac:dyDescent="0.3">
      <c r="A17" t="s">
        <v>75</v>
      </c>
      <c r="B17">
        <v>-1435</v>
      </c>
      <c r="C17">
        <v>-1420</v>
      </c>
      <c r="D17">
        <v>-1413</v>
      </c>
      <c r="E17">
        <v>-1409</v>
      </c>
      <c r="F17">
        <v>-1407</v>
      </c>
      <c r="G17">
        <v>-1406</v>
      </c>
    </row>
    <row r="18" spans="1:7" x14ac:dyDescent="0.3">
      <c r="A18" t="s">
        <v>73</v>
      </c>
      <c r="B18">
        <v>-2759</v>
      </c>
      <c r="C18">
        <v>-2738</v>
      </c>
      <c r="D18">
        <v>-2728</v>
      </c>
      <c r="E18">
        <v>-2722</v>
      </c>
      <c r="F18">
        <v>-2719</v>
      </c>
      <c r="G18">
        <v>-2718</v>
      </c>
    </row>
    <row r="19" spans="1:7" x14ac:dyDescent="0.3">
      <c r="A19" s="7" t="s">
        <v>65</v>
      </c>
    </row>
    <row r="20" spans="1:7" x14ac:dyDescent="0.3">
      <c r="A20" t="s">
        <v>66</v>
      </c>
      <c r="B20">
        <v>11.2</v>
      </c>
      <c r="C20">
        <v>10</v>
      </c>
      <c r="D20">
        <v>9.3000000000000007</v>
      </c>
      <c r="E20">
        <v>8.6999999999999993</v>
      </c>
      <c r="F20">
        <v>8.1</v>
      </c>
      <c r="G20">
        <v>7.5</v>
      </c>
    </row>
    <row r="21" spans="1:7" x14ac:dyDescent="0.3">
      <c r="A21" t="s">
        <v>67</v>
      </c>
      <c r="B21">
        <v>8.5</v>
      </c>
      <c r="C21">
        <v>8.8000000000000007</v>
      </c>
      <c r="D21">
        <v>8.9</v>
      </c>
      <c r="E21">
        <v>11</v>
      </c>
      <c r="F21">
        <v>9.9</v>
      </c>
      <c r="G21">
        <v>10.8</v>
      </c>
    </row>
    <row r="22" spans="1:7" x14ac:dyDescent="0.3">
      <c r="A22" t="s">
        <v>68</v>
      </c>
      <c r="B22">
        <v>0.27</v>
      </c>
      <c r="C22">
        <v>0.13</v>
      </c>
      <c r="D22">
        <v>0.04</v>
      </c>
      <c r="E22">
        <v>-0.23</v>
      </c>
      <c r="F22">
        <v>-0.18</v>
      </c>
      <c r="G22">
        <v>-0.33</v>
      </c>
    </row>
    <row r="23" spans="1:7" x14ac:dyDescent="0.3">
      <c r="A23" t="s">
        <v>90</v>
      </c>
      <c r="B23">
        <v>0.26</v>
      </c>
      <c r="C23">
        <v>0.12</v>
      </c>
      <c r="D23">
        <v>0.04</v>
      </c>
      <c r="E23">
        <v>-0.23</v>
      </c>
      <c r="F23">
        <v>-0.19</v>
      </c>
      <c r="G23">
        <v>-0.33</v>
      </c>
    </row>
    <row r="24" spans="1:7" x14ac:dyDescent="0.3">
      <c r="A24" s="7" t="s">
        <v>69</v>
      </c>
    </row>
    <row r="25" spans="1:7" x14ac:dyDescent="0.3">
      <c r="A25" t="s">
        <v>70</v>
      </c>
      <c r="B25">
        <v>0.61</v>
      </c>
      <c r="C25">
        <v>0.55000000000000004</v>
      </c>
      <c r="D25">
        <v>0.51</v>
      </c>
      <c r="E25">
        <v>0.48</v>
      </c>
      <c r="F25">
        <v>0.44</v>
      </c>
      <c r="G25">
        <v>0.4</v>
      </c>
    </row>
    <row r="26" spans="1:7" x14ac:dyDescent="0.3">
      <c r="A26" t="s">
        <v>71</v>
      </c>
      <c r="B26">
        <v>0.46</v>
      </c>
      <c r="C26">
        <v>0.48</v>
      </c>
      <c r="D26">
        <v>0.49</v>
      </c>
      <c r="E26">
        <v>0.6</v>
      </c>
      <c r="F26">
        <v>0.53</v>
      </c>
      <c r="G26">
        <v>0.57999999999999996</v>
      </c>
    </row>
    <row r="27" spans="1:7" x14ac:dyDescent="0.3">
      <c r="A27" s="7" t="s">
        <v>72</v>
      </c>
    </row>
    <row r="28" spans="1:7" x14ac:dyDescent="0.3">
      <c r="A28" t="s">
        <v>73</v>
      </c>
      <c r="B28">
        <v>54.1</v>
      </c>
      <c r="C28">
        <v>54.6</v>
      </c>
      <c r="D28">
        <v>54.7</v>
      </c>
      <c r="E28">
        <v>54.4</v>
      </c>
      <c r="F28">
        <v>53.9</v>
      </c>
      <c r="G28">
        <v>53.2</v>
      </c>
    </row>
    <row r="29" spans="1:7" x14ac:dyDescent="0.3">
      <c r="A29" t="s">
        <v>74</v>
      </c>
      <c r="B29">
        <v>27</v>
      </c>
      <c r="C29">
        <v>27.3</v>
      </c>
      <c r="D29">
        <v>27.3</v>
      </c>
      <c r="E29">
        <v>27.2</v>
      </c>
      <c r="F29">
        <v>27</v>
      </c>
      <c r="G29">
        <v>26.5</v>
      </c>
    </row>
    <row r="30" spans="1:7" x14ac:dyDescent="0.3">
      <c r="A30" t="s">
        <v>75</v>
      </c>
      <c r="B30">
        <v>27.1</v>
      </c>
      <c r="C30">
        <v>27.3</v>
      </c>
      <c r="D30">
        <v>27.4</v>
      </c>
      <c r="E30">
        <v>27.2</v>
      </c>
      <c r="F30">
        <v>26.9</v>
      </c>
      <c r="G30">
        <v>26.7</v>
      </c>
    </row>
    <row r="31" spans="1:7" x14ac:dyDescent="0.3">
      <c r="A31" t="s">
        <v>76</v>
      </c>
      <c r="B31">
        <v>5.5</v>
      </c>
      <c r="C31">
        <v>5</v>
      </c>
      <c r="D31">
        <v>4.5999999999999996</v>
      </c>
      <c r="E31">
        <v>4.3</v>
      </c>
      <c r="F31">
        <v>4</v>
      </c>
      <c r="G31">
        <v>3.8</v>
      </c>
    </row>
    <row r="32" spans="1:7" x14ac:dyDescent="0.3">
      <c r="A32" t="s">
        <v>77</v>
      </c>
      <c r="B32">
        <v>12.9</v>
      </c>
      <c r="C32">
        <v>11.3</v>
      </c>
      <c r="D32">
        <v>10.3</v>
      </c>
      <c r="E32">
        <v>9.5</v>
      </c>
      <c r="F32">
        <v>8.9</v>
      </c>
      <c r="G32">
        <v>8.4</v>
      </c>
    </row>
    <row r="33" spans="1:7" x14ac:dyDescent="0.3">
      <c r="A33" t="s">
        <v>78</v>
      </c>
      <c r="B33">
        <v>14.3</v>
      </c>
      <c r="C33">
        <v>13.3</v>
      </c>
      <c r="D33">
        <v>12.7</v>
      </c>
      <c r="E33">
        <v>11.3</v>
      </c>
      <c r="F33">
        <v>10.4</v>
      </c>
      <c r="G33">
        <v>9.6999999999999993</v>
      </c>
    </row>
    <row r="34" spans="1:7" x14ac:dyDescent="0.3">
      <c r="A34" t="s">
        <v>79</v>
      </c>
      <c r="B34">
        <v>54.9</v>
      </c>
      <c r="C34">
        <v>54.1</v>
      </c>
      <c r="D34">
        <v>51.6</v>
      </c>
      <c r="E34">
        <v>48.6</v>
      </c>
      <c r="F34">
        <v>45.5</v>
      </c>
      <c r="G34">
        <v>42.2</v>
      </c>
    </row>
    <row r="35" spans="1:7" x14ac:dyDescent="0.3">
      <c r="A35" t="s">
        <v>80</v>
      </c>
      <c r="B35">
        <v>67.400000000000006</v>
      </c>
      <c r="C35">
        <v>67.3</v>
      </c>
      <c r="D35">
        <v>65.8</v>
      </c>
      <c r="E35">
        <v>64.5</v>
      </c>
      <c r="F35">
        <v>61.8</v>
      </c>
      <c r="G35">
        <v>58.7</v>
      </c>
    </row>
    <row r="36" spans="1:7" x14ac:dyDescent="0.3">
      <c r="A36" t="s">
        <v>81</v>
      </c>
      <c r="B36">
        <v>14.3</v>
      </c>
      <c r="C36">
        <v>16.399999999999999</v>
      </c>
      <c r="D36">
        <v>19.399999999999999</v>
      </c>
      <c r="E36">
        <v>21.8</v>
      </c>
      <c r="F36">
        <v>25.3</v>
      </c>
      <c r="G36">
        <v>29.1</v>
      </c>
    </row>
    <row r="37" spans="1:7" x14ac:dyDescent="0.3">
      <c r="A37" t="s">
        <v>82</v>
      </c>
      <c r="B37">
        <v>54.3</v>
      </c>
      <c r="C37">
        <v>53.3</v>
      </c>
      <c r="D37">
        <v>50.4</v>
      </c>
      <c r="E37">
        <v>47.3</v>
      </c>
      <c r="F37">
        <v>44.4</v>
      </c>
      <c r="G37">
        <v>41</v>
      </c>
    </row>
    <row r="38" spans="1:7" x14ac:dyDescent="0.3">
      <c r="A38" t="s">
        <v>83</v>
      </c>
      <c r="B38">
        <v>99.9</v>
      </c>
      <c r="C38">
        <v>99.8</v>
      </c>
      <c r="D38">
        <v>99.6</v>
      </c>
      <c r="E38">
        <v>100.2</v>
      </c>
      <c r="F38">
        <v>100.1</v>
      </c>
      <c r="G38">
        <v>99.3</v>
      </c>
    </row>
    <row r="39" spans="1:7" x14ac:dyDescent="0.3">
      <c r="A39" t="s">
        <v>84</v>
      </c>
      <c r="B39">
        <v>47.8</v>
      </c>
      <c r="C39">
        <v>48.4</v>
      </c>
      <c r="D39">
        <v>48.5</v>
      </c>
      <c r="E39">
        <v>51.9</v>
      </c>
      <c r="F39">
        <v>55.1</v>
      </c>
      <c r="G39">
        <v>61.7</v>
      </c>
    </row>
    <row r="40" spans="1:7" x14ac:dyDescent="0.3">
      <c r="A40" t="s">
        <v>85</v>
      </c>
      <c r="B40">
        <v>35</v>
      </c>
      <c r="C40">
        <v>38</v>
      </c>
      <c r="D40">
        <v>40</v>
      </c>
      <c r="E40">
        <v>43</v>
      </c>
      <c r="F40">
        <v>45</v>
      </c>
      <c r="G40">
        <v>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21"/>
  <sheetViews>
    <sheetView workbookViewId="0">
      <selection activeCell="V6" sqref="V6"/>
    </sheetView>
  </sheetViews>
  <sheetFormatPr defaultRowHeight="14.4" x14ac:dyDescent="0.3"/>
  <cols>
    <col min="1" max="1" width="10.109375" customWidth="1"/>
  </cols>
  <sheetData>
    <row r="1" spans="1:19" x14ac:dyDescent="0.3">
      <c r="A1" s="2" t="s">
        <v>92</v>
      </c>
      <c r="B1" s="1"/>
      <c r="C1" s="1"/>
      <c r="D1" s="1"/>
      <c r="E1" s="1"/>
      <c r="F1" s="1"/>
      <c r="G1" s="1"/>
      <c r="H1" s="1"/>
      <c r="I1" s="1"/>
      <c r="J1" s="1"/>
    </row>
    <row r="2" spans="1:19" s="7" customFormat="1" x14ac:dyDescent="0.3">
      <c r="A2" s="8" t="s">
        <v>34</v>
      </c>
      <c r="B2" s="34">
        <v>2026</v>
      </c>
      <c r="C2" s="34"/>
      <c r="D2" s="34"/>
      <c r="E2" s="34">
        <v>2031</v>
      </c>
      <c r="F2" s="34"/>
      <c r="G2" s="34"/>
      <c r="H2" s="34">
        <v>2036</v>
      </c>
      <c r="I2" s="34"/>
      <c r="J2" s="34"/>
      <c r="K2" s="37">
        <v>2041</v>
      </c>
      <c r="L2" s="37"/>
      <c r="M2" s="37"/>
      <c r="N2" s="37">
        <v>2046</v>
      </c>
      <c r="O2" s="37"/>
      <c r="P2" s="37"/>
      <c r="Q2" s="37">
        <v>2051</v>
      </c>
      <c r="R2" s="37"/>
      <c r="S2" s="37"/>
    </row>
    <row r="3" spans="1:19" s="7" customFormat="1" x14ac:dyDescent="0.3">
      <c r="B3" s="3" t="s">
        <v>16</v>
      </c>
      <c r="C3" s="3" t="s">
        <v>46</v>
      </c>
      <c r="D3" s="3" t="s">
        <v>91</v>
      </c>
      <c r="E3" s="3" t="s">
        <v>16</v>
      </c>
      <c r="F3" s="3" t="s">
        <v>46</v>
      </c>
      <c r="G3" s="3" t="s">
        <v>91</v>
      </c>
      <c r="H3" s="3" t="s">
        <v>16</v>
      </c>
      <c r="I3" s="3" t="s">
        <v>46</v>
      </c>
      <c r="J3" s="3" t="s">
        <v>91</v>
      </c>
      <c r="K3" s="3" t="s">
        <v>16</v>
      </c>
      <c r="L3" s="3" t="s">
        <v>46</v>
      </c>
      <c r="M3" s="3" t="s">
        <v>91</v>
      </c>
      <c r="N3" s="3" t="s">
        <v>16</v>
      </c>
      <c r="O3" s="3" t="s">
        <v>46</v>
      </c>
      <c r="P3" s="3" t="s">
        <v>91</v>
      </c>
      <c r="Q3" s="3" t="s">
        <v>16</v>
      </c>
      <c r="R3" s="3" t="s">
        <v>46</v>
      </c>
      <c r="S3" s="3" t="s">
        <v>91</v>
      </c>
    </row>
    <row r="4" spans="1:19" x14ac:dyDescent="0.3">
      <c r="A4" t="s">
        <v>94</v>
      </c>
      <c r="B4" s="6">
        <v>5.62</v>
      </c>
      <c r="C4" s="6">
        <v>5.32</v>
      </c>
      <c r="D4" s="6">
        <v>5.47</v>
      </c>
      <c r="E4" s="6">
        <v>5.09</v>
      </c>
      <c r="F4" s="6">
        <v>4.82</v>
      </c>
      <c r="G4" s="6">
        <v>4.96</v>
      </c>
      <c r="H4" s="6">
        <v>4.68</v>
      </c>
      <c r="I4" s="6">
        <v>4.42</v>
      </c>
      <c r="J4" s="6">
        <v>4.55</v>
      </c>
      <c r="K4" s="6">
        <v>4.41</v>
      </c>
      <c r="L4" s="6">
        <v>4.12</v>
      </c>
      <c r="M4" s="6">
        <v>4.2699999999999996</v>
      </c>
      <c r="N4" s="6">
        <v>4.16</v>
      </c>
      <c r="O4" s="6">
        <v>3.91</v>
      </c>
      <c r="P4" s="6">
        <v>4.04</v>
      </c>
      <c r="Q4" s="6">
        <v>3.9</v>
      </c>
      <c r="R4" s="6">
        <v>3.67</v>
      </c>
      <c r="S4" s="6">
        <v>3.78</v>
      </c>
    </row>
    <row r="5" spans="1:19" x14ac:dyDescent="0.3">
      <c r="A5" t="s">
        <v>95</v>
      </c>
      <c r="B5" s="6">
        <v>6.13</v>
      </c>
      <c r="C5" s="6">
        <v>5.81</v>
      </c>
      <c r="D5" s="6">
        <v>5.97</v>
      </c>
      <c r="E5" s="6">
        <v>5.52</v>
      </c>
      <c r="F5" s="6">
        <v>5.23</v>
      </c>
      <c r="G5" s="6">
        <v>5.38</v>
      </c>
      <c r="H5" s="6">
        <v>5.05</v>
      </c>
      <c r="I5" s="6">
        <v>4.76</v>
      </c>
      <c r="J5" s="6">
        <v>4.9000000000000004</v>
      </c>
      <c r="K5" s="6">
        <v>4.67</v>
      </c>
      <c r="L5" s="6">
        <v>4.43</v>
      </c>
      <c r="M5" s="6">
        <v>4.55</v>
      </c>
      <c r="N5" s="6">
        <v>4.4400000000000004</v>
      </c>
      <c r="O5" s="6">
        <v>4.13</v>
      </c>
      <c r="P5" s="6">
        <v>4.28</v>
      </c>
      <c r="Q5" s="6">
        <v>4.22</v>
      </c>
      <c r="R5" s="6">
        <v>3.93</v>
      </c>
      <c r="S5" s="6">
        <v>4.08</v>
      </c>
    </row>
    <row r="6" spans="1:19" x14ac:dyDescent="0.3">
      <c r="A6" t="s">
        <v>96</v>
      </c>
      <c r="B6" s="6">
        <v>7.09</v>
      </c>
      <c r="C6" s="6">
        <v>6.72</v>
      </c>
      <c r="D6" s="6">
        <v>6.91</v>
      </c>
      <c r="E6" s="6">
        <v>6.07</v>
      </c>
      <c r="F6" s="6">
        <v>5.74</v>
      </c>
      <c r="G6" s="6">
        <v>5.91</v>
      </c>
      <c r="H6" s="6">
        <v>5.5</v>
      </c>
      <c r="I6" s="6">
        <v>5.2</v>
      </c>
      <c r="J6" s="6">
        <v>5.35</v>
      </c>
      <c r="K6" s="6">
        <v>5.05</v>
      </c>
      <c r="L6" s="6">
        <v>4.8</v>
      </c>
      <c r="M6" s="6">
        <v>4.93</v>
      </c>
      <c r="N6" s="6">
        <v>4.71</v>
      </c>
      <c r="O6" s="6">
        <v>4.47</v>
      </c>
      <c r="P6" s="6">
        <v>4.59</v>
      </c>
      <c r="Q6" s="6">
        <v>4.51</v>
      </c>
      <c r="R6" s="6">
        <v>4.17</v>
      </c>
      <c r="S6" s="6">
        <v>4.34</v>
      </c>
    </row>
    <row r="7" spans="1:19" x14ac:dyDescent="0.3">
      <c r="A7" t="s">
        <v>35</v>
      </c>
      <c r="B7" s="6">
        <v>6.75</v>
      </c>
      <c r="C7" s="6">
        <v>6.41</v>
      </c>
      <c r="D7" s="6">
        <v>6.58</v>
      </c>
      <c r="E7" s="6">
        <v>7.02</v>
      </c>
      <c r="F7" s="6">
        <v>6.65</v>
      </c>
      <c r="G7" s="6">
        <v>6.83</v>
      </c>
      <c r="H7" s="6">
        <v>6.04</v>
      </c>
      <c r="I7" s="6">
        <v>5.71</v>
      </c>
      <c r="J7" s="6">
        <v>5.87</v>
      </c>
      <c r="K7" s="6">
        <v>5.51</v>
      </c>
      <c r="L7" s="6">
        <v>5.23</v>
      </c>
      <c r="M7" s="6">
        <v>5.37</v>
      </c>
      <c r="N7" s="6">
        <v>5.0999999999999996</v>
      </c>
      <c r="O7" s="6">
        <v>4.84</v>
      </c>
      <c r="P7" s="6">
        <v>4.97</v>
      </c>
      <c r="Q7" s="6">
        <v>4.79</v>
      </c>
      <c r="R7" s="6">
        <v>4.5</v>
      </c>
      <c r="S7" s="6">
        <v>4.6500000000000004</v>
      </c>
    </row>
    <row r="8" spans="1:19" x14ac:dyDescent="0.3">
      <c r="A8" t="s">
        <v>36</v>
      </c>
      <c r="B8" s="6">
        <v>7.9</v>
      </c>
      <c r="C8" s="6">
        <v>7.48</v>
      </c>
      <c r="D8" s="6">
        <v>7.69</v>
      </c>
      <c r="E8" s="6">
        <v>6.66</v>
      </c>
      <c r="F8" s="6">
        <v>6.33</v>
      </c>
      <c r="G8" s="6">
        <v>6.5</v>
      </c>
      <c r="H8" s="6">
        <v>6.97</v>
      </c>
      <c r="I8" s="6">
        <v>6.6</v>
      </c>
      <c r="J8" s="6">
        <v>6.79</v>
      </c>
      <c r="K8" s="6">
        <v>6.04</v>
      </c>
      <c r="L8" s="6">
        <v>5.74</v>
      </c>
      <c r="M8" s="6">
        <v>5.89</v>
      </c>
      <c r="N8" s="6">
        <v>5.55</v>
      </c>
      <c r="O8" s="6">
        <v>5.27</v>
      </c>
      <c r="P8" s="6">
        <v>5.41</v>
      </c>
      <c r="Q8" s="6">
        <v>5.18</v>
      </c>
      <c r="R8" s="6">
        <v>4.88</v>
      </c>
      <c r="S8" s="6">
        <v>5.03</v>
      </c>
    </row>
    <row r="9" spans="1:19" x14ac:dyDescent="0.3">
      <c r="A9" t="s">
        <v>37</v>
      </c>
      <c r="B9" s="6">
        <v>8.7200000000000006</v>
      </c>
      <c r="C9" s="6">
        <v>8.2799999999999994</v>
      </c>
      <c r="D9" s="6">
        <v>8.5</v>
      </c>
      <c r="E9" s="6">
        <v>7.8</v>
      </c>
      <c r="F9" s="6">
        <v>7.38</v>
      </c>
      <c r="G9" s="6">
        <v>7.59</v>
      </c>
      <c r="H9" s="6">
        <v>6.62</v>
      </c>
      <c r="I9" s="6">
        <v>6.28</v>
      </c>
      <c r="J9" s="6">
        <v>6.45</v>
      </c>
      <c r="K9" s="6">
        <v>6.97</v>
      </c>
      <c r="L9" s="6">
        <v>6.63</v>
      </c>
      <c r="M9" s="6">
        <v>6.8</v>
      </c>
      <c r="N9" s="6">
        <v>6.08</v>
      </c>
      <c r="O9" s="6">
        <v>5.78</v>
      </c>
      <c r="P9" s="6">
        <v>5.93</v>
      </c>
      <c r="Q9" s="6">
        <v>5.64</v>
      </c>
      <c r="R9" s="6">
        <v>5.31</v>
      </c>
      <c r="S9" s="6">
        <v>5.47</v>
      </c>
    </row>
    <row r="10" spans="1:19" x14ac:dyDescent="0.3">
      <c r="A10" t="s">
        <v>38</v>
      </c>
      <c r="B10" s="6">
        <v>8.8800000000000008</v>
      </c>
      <c r="C10" s="6">
        <v>8.2100000000000009</v>
      </c>
      <c r="D10" s="6">
        <v>8.5399999999999991</v>
      </c>
      <c r="E10" s="6">
        <v>8.6</v>
      </c>
      <c r="F10" s="6">
        <v>8.16</v>
      </c>
      <c r="G10" s="6">
        <v>8.3800000000000008</v>
      </c>
      <c r="H10" s="6">
        <v>7.74</v>
      </c>
      <c r="I10" s="6">
        <v>7.31</v>
      </c>
      <c r="J10" s="6">
        <v>7.52</v>
      </c>
      <c r="K10" s="6">
        <v>6.61</v>
      </c>
      <c r="L10" s="6">
        <v>6.3</v>
      </c>
      <c r="M10" s="6">
        <v>6.45</v>
      </c>
      <c r="N10" s="6">
        <v>7.02</v>
      </c>
      <c r="O10" s="6">
        <v>6.67</v>
      </c>
      <c r="P10" s="6">
        <v>6.84</v>
      </c>
      <c r="Q10" s="6">
        <v>6.17</v>
      </c>
      <c r="R10" s="6">
        <v>5.82</v>
      </c>
      <c r="S10" s="6">
        <v>5.99</v>
      </c>
    </row>
    <row r="11" spans="1:19" x14ac:dyDescent="0.3">
      <c r="A11" t="s">
        <v>39</v>
      </c>
      <c r="B11" s="6">
        <v>8.5399999999999991</v>
      </c>
      <c r="C11" s="6">
        <v>8.6199999999999992</v>
      </c>
      <c r="D11" s="6">
        <v>8.58</v>
      </c>
      <c r="E11" s="6">
        <v>8.74</v>
      </c>
      <c r="F11" s="6">
        <v>8.09</v>
      </c>
      <c r="G11" s="6">
        <v>8.41</v>
      </c>
      <c r="H11" s="6">
        <v>8.52</v>
      </c>
      <c r="I11" s="6">
        <v>8.09</v>
      </c>
      <c r="J11" s="6">
        <v>8.3000000000000007</v>
      </c>
      <c r="K11" s="6">
        <v>7.72</v>
      </c>
      <c r="L11" s="6">
        <v>7.34</v>
      </c>
      <c r="M11" s="6">
        <v>7.53</v>
      </c>
      <c r="N11" s="6">
        <v>6.65</v>
      </c>
      <c r="O11" s="6">
        <v>6.33</v>
      </c>
      <c r="P11" s="6">
        <v>6.49</v>
      </c>
      <c r="Q11" s="6">
        <v>7.11</v>
      </c>
      <c r="R11" s="6">
        <v>6.71</v>
      </c>
      <c r="S11" s="6">
        <v>6.91</v>
      </c>
    </row>
    <row r="12" spans="1:19" x14ac:dyDescent="0.3">
      <c r="A12" t="s">
        <v>40</v>
      </c>
      <c r="B12" s="6">
        <v>7.92</v>
      </c>
      <c r="C12" s="6">
        <v>8.35</v>
      </c>
      <c r="D12" s="6">
        <v>8.14</v>
      </c>
      <c r="E12" s="6">
        <v>8.3800000000000008</v>
      </c>
      <c r="F12" s="6">
        <v>8.4700000000000006</v>
      </c>
      <c r="G12" s="6">
        <v>8.43</v>
      </c>
      <c r="H12" s="6">
        <v>8.64</v>
      </c>
      <c r="I12" s="6">
        <v>8</v>
      </c>
      <c r="J12" s="6">
        <v>8.32</v>
      </c>
      <c r="K12" s="6">
        <v>8.48</v>
      </c>
      <c r="L12" s="6">
        <v>8.1</v>
      </c>
      <c r="M12" s="6">
        <v>8.2899999999999991</v>
      </c>
      <c r="N12" s="6">
        <v>7.75</v>
      </c>
      <c r="O12" s="6">
        <v>7.37</v>
      </c>
      <c r="P12" s="6">
        <v>7.56</v>
      </c>
      <c r="Q12" s="6">
        <v>6.73</v>
      </c>
      <c r="R12" s="6">
        <v>6.37</v>
      </c>
      <c r="S12" s="6">
        <v>6.55</v>
      </c>
    </row>
    <row r="13" spans="1:19" x14ac:dyDescent="0.3">
      <c r="A13" t="s">
        <v>41</v>
      </c>
      <c r="B13" s="6">
        <v>6.85</v>
      </c>
      <c r="C13" s="6">
        <v>6.93</v>
      </c>
      <c r="D13" s="6">
        <v>6.89</v>
      </c>
      <c r="E13" s="6">
        <v>7.74</v>
      </c>
      <c r="F13" s="6">
        <v>8.19</v>
      </c>
      <c r="G13" s="6">
        <v>7.96</v>
      </c>
      <c r="H13" s="6">
        <v>8.25</v>
      </c>
      <c r="I13" s="6">
        <v>8.36</v>
      </c>
      <c r="J13" s="6">
        <v>8.31</v>
      </c>
      <c r="K13" s="6">
        <v>8.56</v>
      </c>
      <c r="L13" s="6">
        <v>7.99</v>
      </c>
      <c r="M13" s="6">
        <v>8.2799999999999994</v>
      </c>
      <c r="N13" s="6">
        <v>8.48</v>
      </c>
      <c r="O13" s="6">
        <v>8.11</v>
      </c>
      <c r="P13" s="6">
        <v>8.3000000000000007</v>
      </c>
      <c r="Q13" s="6">
        <v>7.82</v>
      </c>
      <c r="R13" s="6">
        <v>7.4</v>
      </c>
      <c r="S13" s="6">
        <v>7.61</v>
      </c>
    </row>
    <row r="14" spans="1:19" x14ac:dyDescent="0.3">
      <c r="A14" t="s">
        <v>97</v>
      </c>
      <c r="B14" s="6">
        <v>6.59</v>
      </c>
      <c r="C14" s="6">
        <v>7.06</v>
      </c>
      <c r="D14" s="6">
        <v>6.83</v>
      </c>
      <c r="E14" s="6">
        <v>6.63</v>
      </c>
      <c r="F14" s="6">
        <v>6.76</v>
      </c>
      <c r="G14" s="6">
        <v>6.69</v>
      </c>
      <c r="H14" s="6">
        <v>7.55</v>
      </c>
      <c r="I14" s="6">
        <v>8.0500000000000007</v>
      </c>
      <c r="J14" s="6">
        <v>7.8</v>
      </c>
      <c r="K14" s="6">
        <v>8.1199999999999992</v>
      </c>
      <c r="L14" s="6">
        <v>8.31</v>
      </c>
      <c r="M14" s="6">
        <v>8.2100000000000009</v>
      </c>
      <c r="N14" s="6">
        <v>8.51</v>
      </c>
      <c r="O14" s="6">
        <v>7.97</v>
      </c>
      <c r="P14" s="6">
        <v>8.24</v>
      </c>
      <c r="Q14" s="6">
        <v>8.51</v>
      </c>
      <c r="R14" s="6">
        <v>8.1199999999999992</v>
      </c>
      <c r="S14" s="6">
        <v>8.31</v>
      </c>
    </row>
    <row r="15" spans="1:19" x14ac:dyDescent="0.3">
      <c r="A15" t="s">
        <v>98</v>
      </c>
      <c r="B15" s="6">
        <v>5.71</v>
      </c>
      <c r="C15" s="6">
        <v>5.57</v>
      </c>
      <c r="D15" s="6">
        <v>5.64</v>
      </c>
      <c r="E15" s="6">
        <v>6.28</v>
      </c>
      <c r="F15" s="6">
        <v>6.84</v>
      </c>
      <c r="G15" s="6">
        <v>6.56</v>
      </c>
      <c r="H15" s="6">
        <v>6.38</v>
      </c>
      <c r="I15" s="6">
        <v>6.6</v>
      </c>
      <c r="J15" s="6">
        <v>6.49</v>
      </c>
      <c r="K15" s="6">
        <v>7.33</v>
      </c>
      <c r="L15" s="6">
        <v>7.94</v>
      </c>
      <c r="M15" s="6">
        <v>7.63</v>
      </c>
      <c r="N15" s="6">
        <v>7.97</v>
      </c>
      <c r="O15" s="6">
        <v>8.24</v>
      </c>
      <c r="P15" s="6">
        <v>8.1</v>
      </c>
      <c r="Q15" s="6">
        <v>8.44</v>
      </c>
      <c r="R15" s="6">
        <v>7.95</v>
      </c>
      <c r="S15" s="6">
        <v>8.19</v>
      </c>
    </row>
    <row r="16" spans="1:19" x14ac:dyDescent="0.3">
      <c r="A16" t="s">
        <v>99</v>
      </c>
      <c r="B16" s="6">
        <v>4.7</v>
      </c>
      <c r="C16" s="6">
        <v>4.79</v>
      </c>
      <c r="D16" s="6">
        <v>4.74</v>
      </c>
      <c r="E16" s="6">
        <v>5.32</v>
      </c>
      <c r="F16" s="6">
        <v>5.33</v>
      </c>
      <c r="G16" s="6">
        <v>5.32</v>
      </c>
      <c r="H16" s="6">
        <v>5.92</v>
      </c>
      <c r="I16" s="6">
        <v>6.6</v>
      </c>
      <c r="J16" s="6">
        <v>6.26</v>
      </c>
      <c r="K16" s="6">
        <v>6.08</v>
      </c>
      <c r="L16" s="6">
        <v>6.42</v>
      </c>
      <c r="M16" s="6">
        <v>6.25</v>
      </c>
      <c r="N16" s="6">
        <v>7.08</v>
      </c>
      <c r="O16" s="6">
        <v>7.8</v>
      </c>
      <c r="P16" s="6">
        <v>7.44</v>
      </c>
      <c r="Q16" s="6">
        <v>7.78</v>
      </c>
      <c r="R16" s="6">
        <v>8.16</v>
      </c>
      <c r="S16" s="6">
        <v>7.97</v>
      </c>
    </row>
    <row r="17" spans="1:19" x14ac:dyDescent="0.3">
      <c r="A17" t="s">
        <v>100</v>
      </c>
      <c r="B17" s="6">
        <v>3.44</v>
      </c>
      <c r="C17" s="6">
        <v>3.58</v>
      </c>
      <c r="D17" s="6">
        <v>3.51</v>
      </c>
      <c r="E17" s="6">
        <v>4.2300000000000004</v>
      </c>
      <c r="F17" s="6">
        <v>4.47</v>
      </c>
      <c r="G17" s="6">
        <v>4.3499999999999996</v>
      </c>
      <c r="H17" s="6">
        <v>4.8600000000000003</v>
      </c>
      <c r="I17" s="6">
        <v>5.03</v>
      </c>
      <c r="J17" s="6">
        <v>4.95</v>
      </c>
      <c r="K17" s="6">
        <v>5.48</v>
      </c>
      <c r="L17" s="6">
        <v>6.26</v>
      </c>
      <c r="M17" s="6">
        <v>5.87</v>
      </c>
      <c r="N17" s="6">
        <v>5.71</v>
      </c>
      <c r="O17" s="6">
        <v>6.18</v>
      </c>
      <c r="P17" s="6">
        <v>5.95</v>
      </c>
      <c r="Q17" s="6">
        <v>6.75</v>
      </c>
      <c r="R17" s="6">
        <v>7.61</v>
      </c>
      <c r="S17" s="6">
        <v>7.18</v>
      </c>
    </row>
    <row r="18" spans="1:19" x14ac:dyDescent="0.3">
      <c r="A18" t="s">
        <v>101</v>
      </c>
      <c r="B18" s="6">
        <v>2.1800000000000002</v>
      </c>
      <c r="C18" s="6">
        <v>2.79</v>
      </c>
      <c r="D18" s="6">
        <v>2.4900000000000002</v>
      </c>
      <c r="E18" s="6">
        <v>2.9</v>
      </c>
      <c r="F18" s="6">
        <v>3.17</v>
      </c>
      <c r="G18" s="6">
        <v>3.04</v>
      </c>
      <c r="H18" s="6">
        <v>3.63</v>
      </c>
      <c r="I18" s="6">
        <v>4.03</v>
      </c>
      <c r="J18" s="6">
        <v>3.83</v>
      </c>
      <c r="K18" s="6">
        <v>4.25</v>
      </c>
      <c r="L18" s="6">
        <v>4.53</v>
      </c>
      <c r="M18" s="6">
        <v>4.3899999999999997</v>
      </c>
      <c r="N18" s="6">
        <v>4.8899999999999997</v>
      </c>
      <c r="O18" s="6">
        <v>5.78</v>
      </c>
      <c r="P18" s="6">
        <v>5.33</v>
      </c>
      <c r="Q18" s="6">
        <v>5.2</v>
      </c>
      <c r="R18" s="6">
        <v>5.84</v>
      </c>
      <c r="S18" s="6">
        <v>5.52</v>
      </c>
    </row>
    <row r="19" spans="1:19" x14ac:dyDescent="0.3">
      <c r="A19" t="s">
        <v>102</v>
      </c>
      <c r="B19" s="6">
        <v>1.86</v>
      </c>
      <c r="C19" s="6">
        <v>2.52</v>
      </c>
      <c r="D19" s="6">
        <v>2.19</v>
      </c>
      <c r="E19" s="6">
        <v>1.61</v>
      </c>
      <c r="F19" s="6">
        <v>2.2200000000000002</v>
      </c>
      <c r="G19" s="6">
        <v>1.92</v>
      </c>
      <c r="H19" s="6">
        <v>2.21</v>
      </c>
      <c r="I19" s="6">
        <v>2.6</v>
      </c>
      <c r="J19" s="6">
        <v>2.41</v>
      </c>
      <c r="K19" s="6">
        <v>2.84</v>
      </c>
      <c r="L19" s="6">
        <v>3.26</v>
      </c>
      <c r="M19" s="6">
        <v>3.05</v>
      </c>
      <c r="N19" s="6">
        <v>3.41</v>
      </c>
      <c r="O19" s="6">
        <v>3.83</v>
      </c>
      <c r="P19" s="6">
        <v>3.62</v>
      </c>
      <c r="Q19" s="6">
        <v>4.0199999999999996</v>
      </c>
      <c r="R19" s="6">
        <v>5.1100000000000003</v>
      </c>
      <c r="S19" s="6">
        <v>4.57</v>
      </c>
    </row>
    <row r="20" spans="1:19" x14ac:dyDescent="0.3">
      <c r="A20" t="s">
        <v>103</v>
      </c>
      <c r="B20" s="6">
        <v>1.1200000000000001</v>
      </c>
      <c r="C20" s="6">
        <v>1.55</v>
      </c>
      <c r="D20" s="6">
        <v>1.33</v>
      </c>
      <c r="E20" s="6">
        <v>1.41</v>
      </c>
      <c r="F20" s="6">
        <v>2.16</v>
      </c>
      <c r="G20" s="6">
        <v>1.79</v>
      </c>
      <c r="H20" s="6">
        <v>1.45</v>
      </c>
      <c r="I20" s="6">
        <v>2.35</v>
      </c>
      <c r="J20" s="6">
        <v>1.9</v>
      </c>
      <c r="K20" s="6">
        <v>1.88</v>
      </c>
      <c r="L20" s="6">
        <v>2.6</v>
      </c>
      <c r="M20" s="6">
        <v>2.2400000000000002</v>
      </c>
      <c r="N20" s="6">
        <v>2.5</v>
      </c>
      <c r="O20" s="6">
        <v>3.34</v>
      </c>
      <c r="P20" s="6">
        <v>2.92</v>
      </c>
      <c r="Q20" s="6">
        <v>3.23</v>
      </c>
      <c r="R20" s="6">
        <v>4.46</v>
      </c>
      <c r="S20" s="6">
        <v>3.85</v>
      </c>
    </row>
    <row r="21" spans="1:19" x14ac:dyDescent="0.3">
      <c r="A21" t="s">
        <v>73</v>
      </c>
      <c r="B21" s="6">
        <v>100</v>
      </c>
      <c r="C21" s="6">
        <v>100</v>
      </c>
      <c r="D21" s="6">
        <v>100</v>
      </c>
      <c r="E21" s="6">
        <v>100</v>
      </c>
      <c r="F21" s="6">
        <v>100</v>
      </c>
      <c r="G21" s="6">
        <v>100</v>
      </c>
      <c r="H21" s="6">
        <v>100</v>
      </c>
      <c r="I21" s="6">
        <v>100</v>
      </c>
      <c r="J21" s="6">
        <v>100</v>
      </c>
      <c r="K21" s="6">
        <v>100</v>
      </c>
      <c r="L21" s="6">
        <v>100</v>
      </c>
      <c r="M21" s="6">
        <v>100</v>
      </c>
      <c r="N21" s="6">
        <v>100</v>
      </c>
      <c r="O21" s="6">
        <v>100</v>
      </c>
      <c r="P21" s="6">
        <v>100</v>
      </c>
      <c r="Q21" s="6">
        <v>100</v>
      </c>
      <c r="R21" s="6">
        <v>100</v>
      </c>
      <c r="S21" s="6">
        <v>100</v>
      </c>
    </row>
  </sheetData>
  <mergeCells count="6">
    <mergeCell ref="Q2:S2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39"/>
  <sheetViews>
    <sheetView workbookViewId="0">
      <selection activeCell="I12" sqref="I12"/>
    </sheetView>
  </sheetViews>
  <sheetFormatPr defaultRowHeight="14.4" x14ac:dyDescent="0.3"/>
  <cols>
    <col min="1" max="1" width="31.21875" customWidth="1"/>
  </cols>
  <sheetData>
    <row r="1" spans="1:7" x14ac:dyDescent="0.3">
      <c r="A1" s="2" t="s">
        <v>104</v>
      </c>
      <c r="B1" s="1"/>
      <c r="C1" s="1"/>
      <c r="D1" s="1"/>
      <c r="E1" s="1"/>
      <c r="F1" s="1"/>
      <c r="G1" s="1"/>
    </row>
    <row r="2" spans="1:7" x14ac:dyDescent="0.3">
      <c r="A2" t="s">
        <v>52</v>
      </c>
      <c r="B2">
        <v>2026</v>
      </c>
      <c r="C2">
        <v>2031</v>
      </c>
      <c r="D2">
        <v>2036</v>
      </c>
      <c r="E2">
        <v>2041</v>
      </c>
      <c r="F2">
        <v>2046</v>
      </c>
      <c r="G2">
        <v>2051</v>
      </c>
    </row>
    <row r="3" spans="1:7" x14ac:dyDescent="0.3">
      <c r="A3" t="s">
        <v>53</v>
      </c>
    </row>
    <row r="4" spans="1:7" x14ac:dyDescent="0.3">
      <c r="A4" t="s">
        <v>54</v>
      </c>
      <c r="B4">
        <v>1.9</v>
      </c>
      <c r="C4">
        <v>1.78</v>
      </c>
      <c r="D4">
        <v>1.71</v>
      </c>
      <c r="E4">
        <v>1.65</v>
      </c>
      <c r="F4">
        <v>1.63</v>
      </c>
      <c r="G4">
        <v>1.61</v>
      </c>
    </row>
    <row r="5" spans="1:7" x14ac:dyDescent="0.3">
      <c r="A5" t="s">
        <v>55</v>
      </c>
      <c r="B5">
        <v>0.93</v>
      </c>
      <c r="C5">
        <v>0.87</v>
      </c>
      <c r="D5">
        <v>0.83</v>
      </c>
      <c r="E5">
        <v>0.8</v>
      </c>
      <c r="F5">
        <v>0.8</v>
      </c>
      <c r="G5">
        <v>0.79</v>
      </c>
    </row>
    <row r="6" spans="1:7" x14ac:dyDescent="0.3">
      <c r="A6" t="s">
        <v>56</v>
      </c>
      <c r="B6">
        <v>0.84</v>
      </c>
      <c r="C6">
        <v>0.8</v>
      </c>
      <c r="D6">
        <v>0.77</v>
      </c>
      <c r="E6">
        <v>0.75</v>
      </c>
      <c r="F6">
        <v>0.75</v>
      </c>
      <c r="G6">
        <v>0.75</v>
      </c>
    </row>
    <row r="7" spans="1:7" x14ac:dyDescent="0.3">
      <c r="A7" t="s">
        <v>57</v>
      </c>
      <c r="B7">
        <v>27</v>
      </c>
      <c r="C7">
        <v>27</v>
      </c>
      <c r="D7">
        <v>27</v>
      </c>
      <c r="E7">
        <v>27.1</v>
      </c>
      <c r="F7">
        <v>27.1</v>
      </c>
      <c r="G7">
        <v>27.1</v>
      </c>
    </row>
    <row r="8" spans="1:7" x14ac:dyDescent="0.3">
      <c r="A8" t="s">
        <v>58</v>
      </c>
      <c r="B8">
        <v>0.28000000000000003</v>
      </c>
      <c r="C8">
        <v>0.26</v>
      </c>
      <c r="D8">
        <v>0.24</v>
      </c>
      <c r="E8">
        <v>0.23</v>
      </c>
      <c r="F8">
        <v>0.22</v>
      </c>
      <c r="G8">
        <v>0.22</v>
      </c>
    </row>
    <row r="9" spans="1:7" x14ac:dyDescent="0.3">
      <c r="A9" t="s">
        <v>59</v>
      </c>
    </row>
    <row r="10" spans="1:7" x14ac:dyDescent="0.3">
      <c r="A10" t="s">
        <v>60</v>
      </c>
      <c r="B10">
        <v>67.3</v>
      </c>
      <c r="C10">
        <v>68.8</v>
      </c>
      <c r="D10">
        <v>70.400000000000006</v>
      </c>
      <c r="E10">
        <v>71.8</v>
      </c>
      <c r="F10">
        <v>73.099999999999994</v>
      </c>
      <c r="G10">
        <v>74.5</v>
      </c>
    </row>
    <row r="11" spans="1:7" x14ac:dyDescent="0.3">
      <c r="A11" t="s">
        <v>61</v>
      </c>
      <c r="B11">
        <v>69</v>
      </c>
      <c r="C11">
        <v>70.7</v>
      </c>
      <c r="D11">
        <v>72.3</v>
      </c>
      <c r="E11">
        <v>73.900000000000006</v>
      </c>
      <c r="F11">
        <v>75.400000000000006</v>
      </c>
      <c r="G11">
        <v>76.900000000000006</v>
      </c>
    </row>
    <row r="12" spans="1:7" x14ac:dyDescent="0.3">
      <c r="A12" t="s">
        <v>62</v>
      </c>
      <c r="B12">
        <v>68.099999999999994</v>
      </c>
      <c r="C12">
        <v>69.8</v>
      </c>
      <c r="D12">
        <v>71.3</v>
      </c>
      <c r="E12">
        <v>72.900000000000006</v>
      </c>
      <c r="F12">
        <v>74.3</v>
      </c>
      <c r="G12">
        <v>75.599999999999994</v>
      </c>
    </row>
    <row r="13" spans="1:7" x14ac:dyDescent="0.3">
      <c r="A13" t="s">
        <v>63</v>
      </c>
      <c r="B13">
        <v>62</v>
      </c>
      <c r="C13">
        <v>55.6</v>
      </c>
      <c r="D13">
        <v>49.5</v>
      </c>
      <c r="E13">
        <v>43.8</v>
      </c>
      <c r="F13">
        <v>38.6</v>
      </c>
      <c r="G13">
        <v>34</v>
      </c>
    </row>
    <row r="14" spans="1:7" x14ac:dyDescent="0.3">
      <c r="A14" t="s">
        <v>64</v>
      </c>
      <c r="B14">
        <v>77.5</v>
      </c>
      <c r="C14">
        <v>67.900000000000006</v>
      </c>
      <c r="D14">
        <v>59.5</v>
      </c>
      <c r="E14">
        <v>51.9</v>
      </c>
      <c r="F14">
        <v>45.3</v>
      </c>
      <c r="G14">
        <v>39.4</v>
      </c>
    </row>
    <row r="15" spans="1:7" x14ac:dyDescent="0.3">
      <c r="A15" t="s">
        <v>105</v>
      </c>
    </row>
    <row r="16" spans="1:7" x14ac:dyDescent="0.3">
      <c r="A16" t="s">
        <v>74</v>
      </c>
      <c r="B16">
        <v>-472</v>
      </c>
      <c r="C16">
        <v>-467</v>
      </c>
      <c r="D16">
        <v>-465</v>
      </c>
      <c r="E16">
        <v>-464</v>
      </c>
      <c r="F16">
        <v>-463</v>
      </c>
      <c r="G16">
        <v>-463</v>
      </c>
    </row>
    <row r="17" spans="1:7" x14ac:dyDescent="0.3">
      <c r="A17" t="s">
        <v>75</v>
      </c>
      <c r="B17" s="14">
        <v>-1339</v>
      </c>
      <c r="C17" s="14">
        <v>-1372</v>
      </c>
      <c r="D17" s="14">
        <v>-1389</v>
      </c>
      <c r="E17" s="14">
        <v>-1399</v>
      </c>
      <c r="F17" s="14">
        <v>-1404</v>
      </c>
      <c r="G17" s="14">
        <v>-1407</v>
      </c>
    </row>
    <row r="18" spans="1:7" x14ac:dyDescent="0.3">
      <c r="A18" t="s">
        <v>73</v>
      </c>
      <c r="B18" s="14">
        <v>-1811</v>
      </c>
      <c r="C18" s="14">
        <v>-1839</v>
      </c>
      <c r="D18" s="14">
        <v>-1854</v>
      </c>
      <c r="E18" s="14">
        <v>-1863</v>
      </c>
      <c r="F18" s="14">
        <v>-1867</v>
      </c>
      <c r="G18" s="14">
        <v>-1870</v>
      </c>
    </row>
    <row r="19" spans="1:7" x14ac:dyDescent="0.3">
      <c r="A19" t="s">
        <v>65</v>
      </c>
    </row>
    <row r="20" spans="1:7" x14ac:dyDescent="0.3">
      <c r="A20" t="s">
        <v>66</v>
      </c>
      <c r="B20">
        <v>16.5</v>
      </c>
      <c r="C20">
        <v>14.8</v>
      </c>
      <c r="D20">
        <v>13.1</v>
      </c>
      <c r="E20">
        <v>11.8</v>
      </c>
      <c r="F20">
        <v>11.1</v>
      </c>
      <c r="G20">
        <v>10.5</v>
      </c>
    </row>
    <row r="21" spans="1:7" x14ac:dyDescent="0.3">
      <c r="A21" t="s">
        <v>67</v>
      </c>
      <c r="B21">
        <v>7</v>
      </c>
      <c r="C21">
        <v>7.1</v>
      </c>
      <c r="D21">
        <v>7.3</v>
      </c>
      <c r="E21">
        <v>7.7</v>
      </c>
      <c r="F21">
        <v>8.3000000000000007</v>
      </c>
      <c r="G21">
        <v>8.9</v>
      </c>
    </row>
    <row r="22" spans="1:7" x14ac:dyDescent="0.3">
      <c r="A22" t="s">
        <v>68</v>
      </c>
      <c r="B22">
        <v>0.95</v>
      </c>
      <c r="C22">
        <v>0.77</v>
      </c>
      <c r="D22">
        <v>0.59</v>
      </c>
      <c r="E22">
        <v>0.41</v>
      </c>
      <c r="F22">
        <v>0.28000000000000003</v>
      </c>
      <c r="G22">
        <v>0.16</v>
      </c>
    </row>
    <row r="23" spans="1:7" x14ac:dyDescent="0.3">
      <c r="A23" t="s">
        <v>69</v>
      </c>
    </row>
    <row r="24" spans="1:7" x14ac:dyDescent="0.3">
      <c r="A24" t="s">
        <v>70</v>
      </c>
      <c r="B24">
        <v>0.61</v>
      </c>
      <c r="C24">
        <v>0.56999999999999995</v>
      </c>
      <c r="D24">
        <v>0.53</v>
      </c>
      <c r="E24">
        <v>0.48</v>
      </c>
      <c r="F24">
        <v>0.46</v>
      </c>
      <c r="G24">
        <v>0.44</v>
      </c>
    </row>
    <row r="25" spans="1:7" x14ac:dyDescent="0.3">
      <c r="A25" t="s">
        <v>71</v>
      </c>
      <c r="B25">
        <v>0.26</v>
      </c>
      <c r="C25">
        <v>0.27</v>
      </c>
      <c r="D25">
        <v>0.28999999999999998</v>
      </c>
      <c r="E25">
        <v>0.32</v>
      </c>
      <c r="F25">
        <v>0.35</v>
      </c>
      <c r="G25">
        <v>0.37</v>
      </c>
    </row>
    <row r="26" spans="1:7" x14ac:dyDescent="0.3">
      <c r="A26" t="s">
        <v>72</v>
      </c>
    </row>
    <row r="27" spans="1:7" x14ac:dyDescent="0.3">
      <c r="A27" t="s">
        <v>73</v>
      </c>
      <c r="B27">
        <v>37.200000000000003</v>
      </c>
      <c r="C27">
        <v>38.799999999999997</v>
      </c>
      <c r="D27">
        <v>40.1</v>
      </c>
      <c r="E27">
        <v>41.1</v>
      </c>
      <c r="F27">
        <v>41.8</v>
      </c>
      <c r="G27">
        <v>42.1</v>
      </c>
    </row>
    <row r="28" spans="1:7" x14ac:dyDescent="0.3">
      <c r="A28" t="s">
        <v>74</v>
      </c>
      <c r="B28">
        <v>18.899999999999999</v>
      </c>
      <c r="C28">
        <v>19.7</v>
      </c>
      <c r="D28">
        <v>20.3</v>
      </c>
      <c r="E28">
        <v>20.8</v>
      </c>
      <c r="F28">
        <v>21.1</v>
      </c>
      <c r="G28">
        <v>21.2</v>
      </c>
    </row>
    <row r="29" spans="1:7" x14ac:dyDescent="0.3">
      <c r="A29" t="s">
        <v>75</v>
      </c>
      <c r="B29">
        <v>18.3</v>
      </c>
      <c r="C29">
        <v>19.100000000000001</v>
      </c>
      <c r="D29">
        <v>19.8</v>
      </c>
      <c r="E29">
        <v>20.3</v>
      </c>
      <c r="F29">
        <v>20.7</v>
      </c>
      <c r="G29">
        <v>20.9</v>
      </c>
    </row>
    <row r="30" spans="1:7" x14ac:dyDescent="0.3">
      <c r="A30" t="s">
        <v>76</v>
      </c>
      <c r="B30">
        <v>7.8</v>
      </c>
      <c r="C30">
        <v>7.1</v>
      </c>
      <c r="D30">
        <v>6.4</v>
      </c>
      <c r="E30">
        <v>5.8</v>
      </c>
      <c r="F30">
        <v>5.4</v>
      </c>
      <c r="G30">
        <v>5.0999999999999996</v>
      </c>
    </row>
    <row r="31" spans="1:7" x14ac:dyDescent="0.3">
      <c r="A31" t="s">
        <v>77</v>
      </c>
      <c r="B31">
        <v>16</v>
      </c>
      <c r="C31">
        <v>15</v>
      </c>
      <c r="D31">
        <v>13.9</v>
      </c>
      <c r="E31">
        <v>12.9</v>
      </c>
      <c r="F31">
        <v>11.7</v>
      </c>
      <c r="G31">
        <v>10.9</v>
      </c>
    </row>
    <row r="32" spans="1:7" x14ac:dyDescent="0.3">
      <c r="A32" t="s">
        <v>78</v>
      </c>
      <c r="B32">
        <v>17.8</v>
      </c>
      <c r="C32">
        <v>15.6</v>
      </c>
      <c r="D32">
        <v>14.7</v>
      </c>
      <c r="E32">
        <v>14.1</v>
      </c>
      <c r="F32">
        <v>13.3</v>
      </c>
      <c r="G32">
        <v>12.5</v>
      </c>
    </row>
    <row r="33" spans="1:7" x14ac:dyDescent="0.3">
      <c r="A33" t="s">
        <v>79</v>
      </c>
      <c r="B33">
        <v>56.1</v>
      </c>
      <c r="C33">
        <v>55.2</v>
      </c>
      <c r="D33">
        <v>53.8</v>
      </c>
      <c r="E33">
        <v>52.5</v>
      </c>
      <c r="F33">
        <v>50.9</v>
      </c>
      <c r="G33">
        <v>48.3</v>
      </c>
    </row>
    <row r="34" spans="1:7" x14ac:dyDescent="0.3">
      <c r="A34" t="s">
        <v>80</v>
      </c>
      <c r="B34">
        <v>66.400000000000006</v>
      </c>
      <c r="C34">
        <v>66.2</v>
      </c>
      <c r="D34">
        <v>65.7</v>
      </c>
      <c r="E34">
        <v>65.3</v>
      </c>
      <c r="F34">
        <v>64.2</v>
      </c>
      <c r="G34">
        <v>62.8</v>
      </c>
    </row>
    <row r="35" spans="1:7" x14ac:dyDescent="0.3">
      <c r="A35" t="s">
        <v>81</v>
      </c>
      <c r="B35">
        <v>9.9</v>
      </c>
      <c r="C35">
        <v>11.7</v>
      </c>
      <c r="D35">
        <v>14</v>
      </c>
      <c r="E35">
        <v>16</v>
      </c>
      <c r="F35">
        <v>18.7</v>
      </c>
      <c r="G35">
        <v>21.3</v>
      </c>
    </row>
    <row r="36" spans="1:7" x14ac:dyDescent="0.3">
      <c r="A36" t="s">
        <v>82</v>
      </c>
      <c r="B36">
        <v>56.5</v>
      </c>
      <c r="C36">
        <v>55.4</v>
      </c>
      <c r="D36">
        <v>53.6</v>
      </c>
      <c r="E36">
        <v>51.7</v>
      </c>
      <c r="F36">
        <v>50.2</v>
      </c>
      <c r="G36">
        <v>47.5</v>
      </c>
    </row>
    <row r="37" spans="1:7" x14ac:dyDescent="0.3">
      <c r="A37" t="s">
        <v>83</v>
      </c>
      <c r="B37">
        <v>103.4</v>
      </c>
      <c r="C37">
        <v>103.1</v>
      </c>
      <c r="D37">
        <v>102.7</v>
      </c>
      <c r="E37">
        <v>102.3</v>
      </c>
      <c r="F37">
        <v>101.9</v>
      </c>
      <c r="G37">
        <v>101.5</v>
      </c>
    </row>
    <row r="38" spans="1:7" x14ac:dyDescent="0.3">
      <c r="A38" t="s">
        <v>84</v>
      </c>
      <c r="B38">
        <v>0.4</v>
      </c>
      <c r="C38">
        <v>0.4</v>
      </c>
      <c r="D38">
        <v>0.4</v>
      </c>
      <c r="E38">
        <v>0.4</v>
      </c>
      <c r="F38">
        <v>0.4</v>
      </c>
      <c r="G38">
        <v>0.5</v>
      </c>
    </row>
    <row r="39" spans="1:7" x14ac:dyDescent="0.3">
      <c r="A39" t="s">
        <v>85</v>
      </c>
      <c r="B39">
        <v>30</v>
      </c>
      <c r="C39">
        <v>32</v>
      </c>
      <c r="D39">
        <v>34</v>
      </c>
      <c r="E39">
        <v>37</v>
      </c>
      <c r="F39">
        <v>39</v>
      </c>
      <c r="G39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S21"/>
  <sheetViews>
    <sheetView workbookViewId="0">
      <selection activeCell="U5" sqref="U5"/>
    </sheetView>
  </sheetViews>
  <sheetFormatPr defaultRowHeight="14.4" x14ac:dyDescent="0.3"/>
  <sheetData>
    <row r="1" spans="1:19" x14ac:dyDescent="0.3">
      <c r="A1" s="2" t="s">
        <v>106</v>
      </c>
      <c r="B1" s="1"/>
      <c r="C1" s="1"/>
      <c r="D1" s="1"/>
      <c r="E1" s="1"/>
      <c r="F1" s="1"/>
      <c r="G1" s="1"/>
      <c r="H1" s="1"/>
      <c r="I1" s="1"/>
      <c r="J1" s="1"/>
    </row>
    <row r="2" spans="1:19" x14ac:dyDescent="0.3">
      <c r="A2" t="s">
        <v>93</v>
      </c>
      <c r="B2" s="34">
        <v>2026</v>
      </c>
      <c r="C2" s="34"/>
      <c r="D2" s="34"/>
      <c r="E2" s="34">
        <v>2031</v>
      </c>
      <c r="F2" s="34"/>
      <c r="G2" s="34"/>
      <c r="H2" s="34">
        <v>2036</v>
      </c>
      <c r="I2" s="34"/>
      <c r="J2" s="34"/>
      <c r="K2" s="37">
        <v>2041</v>
      </c>
      <c r="L2" s="37"/>
      <c r="M2" s="37"/>
      <c r="N2" s="37">
        <v>2046</v>
      </c>
      <c r="O2" s="37"/>
      <c r="P2" s="37"/>
      <c r="Q2" s="37">
        <v>2051</v>
      </c>
      <c r="R2" s="37"/>
      <c r="S2" s="37"/>
    </row>
    <row r="3" spans="1:19" x14ac:dyDescent="0.3">
      <c r="B3" t="s">
        <v>16</v>
      </c>
      <c r="C3" t="s">
        <v>46</v>
      </c>
      <c r="D3" t="s">
        <v>91</v>
      </c>
      <c r="E3" t="s">
        <v>16</v>
      </c>
      <c r="F3" t="s">
        <v>46</v>
      </c>
      <c r="G3" t="s">
        <v>91</v>
      </c>
      <c r="H3" t="s">
        <v>16</v>
      </c>
      <c r="I3" t="s">
        <v>46</v>
      </c>
      <c r="J3" t="s">
        <v>91</v>
      </c>
      <c r="K3" t="s">
        <v>16</v>
      </c>
      <c r="L3" t="s">
        <v>46</v>
      </c>
      <c r="M3" t="s">
        <v>91</v>
      </c>
      <c r="N3" t="s">
        <v>16</v>
      </c>
      <c r="O3" t="s">
        <v>46</v>
      </c>
      <c r="P3" t="s">
        <v>91</v>
      </c>
      <c r="Q3" t="s">
        <v>16</v>
      </c>
      <c r="R3" t="s">
        <v>46</v>
      </c>
      <c r="S3" t="s">
        <v>91</v>
      </c>
    </row>
    <row r="4" spans="1:19" x14ac:dyDescent="0.3">
      <c r="A4" t="s">
        <v>94</v>
      </c>
      <c r="B4">
        <v>7.82</v>
      </c>
      <c r="C4">
        <v>7.67</v>
      </c>
      <c r="D4">
        <v>7.75</v>
      </c>
      <c r="E4">
        <v>7.21</v>
      </c>
      <c r="F4">
        <v>7.05</v>
      </c>
      <c r="G4">
        <v>7.13</v>
      </c>
      <c r="H4">
        <v>6.48</v>
      </c>
      <c r="I4">
        <v>6.32</v>
      </c>
      <c r="J4">
        <v>6.4</v>
      </c>
      <c r="K4">
        <v>5.85</v>
      </c>
      <c r="L4">
        <v>5.68</v>
      </c>
      <c r="M4">
        <v>5.76</v>
      </c>
      <c r="N4">
        <v>5.48</v>
      </c>
      <c r="O4">
        <v>5.31</v>
      </c>
      <c r="P4">
        <v>5.4</v>
      </c>
      <c r="Q4">
        <v>5.22</v>
      </c>
      <c r="R4">
        <v>5.03</v>
      </c>
      <c r="S4">
        <v>5.13</v>
      </c>
    </row>
    <row r="5" spans="1:19" x14ac:dyDescent="0.3">
      <c r="A5" t="s">
        <v>95</v>
      </c>
      <c r="B5">
        <v>8.09</v>
      </c>
      <c r="C5">
        <v>7.93</v>
      </c>
      <c r="D5">
        <v>8.01</v>
      </c>
      <c r="E5">
        <v>7.43</v>
      </c>
      <c r="F5">
        <v>7.25</v>
      </c>
      <c r="G5">
        <v>7.34</v>
      </c>
      <c r="H5">
        <v>6.93</v>
      </c>
      <c r="I5">
        <v>6.74</v>
      </c>
      <c r="J5">
        <v>6.84</v>
      </c>
      <c r="K5">
        <v>6.31</v>
      </c>
      <c r="L5">
        <v>6.11</v>
      </c>
      <c r="M5">
        <v>6.21</v>
      </c>
      <c r="N5">
        <v>5.73</v>
      </c>
      <c r="O5">
        <v>5.54</v>
      </c>
      <c r="P5">
        <v>5.64</v>
      </c>
      <c r="Q5">
        <v>5.42</v>
      </c>
      <c r="R5">
        <v>5.22</v>
      </c>
      <c r="S5">
        <v>5.32</v>
      </c>
    </row>
    <row r="6" spans="1:19" x14ac:dyDescent="0.3">
      <c r="A6" t="s">
        <v>96</v>
      </c>
      <c r="B6">
        <v>8.01</v>
      </c>
      <c r="C6">
        <v>7.87</v>
      </c>
      <c r="D6">
        <v>7.94</v>
      </c>
      <c r="E6">
        <v>7.75</v>
      </c>
      <c r="F6">
        <v>7.57</v>
      </c>
      <c r="G6">
        <v>7.66</v>
      </c>
      <c r="H6">
        <v>7.19</v>
      </c>
      <c r="I6">
        <v>6.99</v>
      </c>
      <c r="J6">
        <v>7.09</v>
      </c>
      <c r="K6">
        <v>6.77</v>
      </c>
      <c r="L6">
        <v>6.56</v>
      </c>
      <c r="M6">
        <v>6.67</v>
      </c>
      <c r="N6">
        <v>6.21</v>
      </c>
      <c r="O6">
        <v>5.99</v>
      </c>
      <c r="P6">
        <v>6.1</v>
      </c>
      <c r="Q6">
        <v>5.68</v>
      </c>
      <c r="R6">
        <v>5.47</v>
      </c>
      <c r="S6">
        <v>5.57</v>
      </c>
    </row>
    <row r="7" spans="1:19" x14ac:dyDescent="0.3">
      <c r="A7" t="s">
        <v>35</v>
      </c>
      <c r="B7">
        <v>8.43</v>
      </c>
      <c r="C7">
        <v>8.42</v>
      </c>
      <c r="D7">
        <v>8.42</v>
      </c>
      <c r="E7">
        <v>7.67</v>
      </c>
      <c r="F7">
        <v>7.51</v>
      </c>
      <c r="G7">
        <v>7.59</v>
      </c>
      <c r="H7">
        <v>7.5</v>
      </c>
      <c r="I7">
        <v>7.3</v>
      </c>
      <c r="J7">
        <v>7.4</v>
      </c>
      <c r="K7">
        <v>7.02</v>
      </c>
      <c r="L7">
        <v>6.8</v>
      </c>
      <c r="M7">
        <v>6.91</v>
      </c>
      <c r="N7">
        <v>6.66</v>
      </c>
      <c r="O7">
        <v>6.43</v>
      </c>
      <c r="P7">
        <v>6.55</v>
      </c>
      <c r="Q7">
        <v>6.15</v>
      </c>
      <c r="R7">
        <v>5.91</v>
      </c>
      <c r="S7">
        <v>6.03</v>
      </c>
    </row>
    <row r="8" spans="1:19" x14ac:dyDescent="0.3">
      <c r="A8" t="s">
        <v>36</v>
      </c>
      <c r="B8">
        <v>9.42</v>
      </c>
      <c r="C8">
        <v>9.3800000000000008</v>
      </c>
      <c r="D8">
        <v>9.4</v>
      </c>
      <c r="E8">
        <v>8.06</v>
      </c>
      <c r="F8">
        <v>8.02</v>
      </c>
      <c r="G8">
        <v>8.0399999999999991</v>
      </c>
      <c r="H8">
        <v>7.41</v>
      </c>
      <c r="I8">
        <v>7.23</v>
      </c>
      <c r="J8">
        <v>7.32</v>
      </c>
      <c r="K8">
        <v>7.32</v>
      </c>
      <c r="L8">
        <v>7.09</v>
      </c>
      <c r="M8">
        <v>7.21</v>
      </c>
      <c r="N8">
        <v>6.91</v>
      </c>
      <c r="O8">
        <v>6.66</v>
      </c>
      <c r="P8">
        <v>6.78</v>
      </c>
      <c r="Q8">
        <v>6.6</v>
      </c>
      <c r="R8">
        <v>6.34</v>
      </c>
      <c r="S8">
        <v>6.47</v>
      </c>
    </row>
    <row r="9" spans="1:19" x14ac:dyDescent="0.3">
      <c r="A9" t="s">
        <v>37</v>
      </c>
      <c r="B9">
        <v>9.3000000000000007</v>
      </c>
      <c r="C9">
        <v>9.16</v>
      </c>
      <c r="D9">
        <v>9.23</v>
      </c>
      <c r="E9">
        <v>9</v>
      </c>
      <c r="F9">
        <v>8.94</v>
      </c>
      <c r="G9">
        <v>8.9700000000000006</v>
      </c>
      <c r="H9">
        <v>7.78</v>
      </c>
      <c r="I9">
        <v>7.71</v>
      </c>
      <c r="J9">
        <v>7.75</v>
      </c>
      <c r="K9">
        <v>7.22</v>
      </c>
      <c r="L9">
        <v>7.02</v>
      </c>
      <c r="M9">
        <v>7.12</v>
      </c>
      <c r="N9">
        <v>7.19</v>
      </c>
      <c r="O9">
        <v>6.94</v>
      </c>
      <c r="P9">
        <v>7.07</v>
      </c>
      <c r="Q9">
        <v>6.83</v>
      </c>
      <c r="R9">
        <v>6.56</v>
      </c>
      <c r="S9">
        <v>6.7</v>
      </c>
    </row>
    <row r="10" spans="1:19" x14ac:dyDescent="0.3">
      <c r="A10" t="s">
        <v>38</v>
      </c>
      <c r="B10">
        <v>8.26</v>
      </c>
      <c r="C10">
        <v>7.89</v>
      </c>
      <c r="D10">
        <v>8.07</v>
      </c>
      <c r="E10">
        <v>8.8699999999999992</v>
      </c>
      <c r="F10">
        <v>8.7100000000000009</v>
      </c>
      <c r="G10">
        <v>8.7899999999999991</v>
      </c>
      <c r="H10">
        <v>8.68</v>
      </c>
      <c r="I10">
        <v>8.58</v>
      </c>
      <c r="J10">
        <v>8.6300000000000008</v>
      </c>
      <c r="K10">
        <v>7.58</v>
      </c>
      <c r="L10">
        <v>7.48</v>
      </c>
      <c r="M10">
        <v>7.53</v>
      </c>
      <c r="N10">
        <v>7.09</v>
      </c>
      <c r="O10">
        <v>6.86</v>
      </c>
      <c r="P10">
        <v>6.98</v>
      </c>
      <c r="Q10">
        <v>7.11</v>
      </c>
      <c r="R10">
        <v>6.83</v>
      </c>
      <c r="S10">
        <v>6.97</v>
      </c>
    </row>
    <row r="11" spans="1:19" x14ac:dyDescent="0.3">
      <c r="A11" t="s">
        <v>39</v>
      </c>
      <c r="B11">
        <v>7.29</v>
      </c>
      <c r="C11">
        <v>7.97</v>
      </c>
      <c r="D11">
        <v>7.62</v>
      </c>
      <c r="E11">
        <v>7.86</v>
      </c>
      <c r="F11">
        <v>7.49</v>
      </c>
      <c r="G11">
        <v>7.68</v>
      </c>
      <c r="H11">
        <v>8.5399999999999991</v>
      </c>
      <c r="I11">
        <v>8.36</v>
      </c>
      <c r="J11">
        <v>8.4499999999999993</v>
      </c>
      <c r="K11">
        <v>8.44</v>
      </c>
      <c r="L11">
        <v>8.32</v>
      </c>
      <c r="M11">
        <v>8.3800000000000008</v>
      </c>
      <c r="N11">
        <v>7.43</v>
      </c>
      <c r="O11">
        <v>7.31</v>
      </c>
      <c r="P11">
        <v>7.37</v>
      </c>
      <c r="Q11">
        <v>7</v>
      </c>
      <c r="R11">
        <v>6.75</v>
      </c>
      <c r="S11">
        <v>6.88</v>
      </c>
    </row>
    <row r="12" spans="1:19" x14ac:dyDescent="0.3">
      <c r="A12" t="s">
        <v>40</v>
      </c>
      <c r="B12">
        <v>7.13</v>
      </c>
      <c r="C12">
        <v>7.55</v>
      </c>
      <c r="D12">
        <v>7.33</v>
      </c>
      <c r="E12">
        <v>6.92</v>
      </c>
      <c r="F12">
        <v>7.55</v>
      </c>
      <c r="G12">
        <v>7.23</v>
      </c>
      <c r="H12">
        <v>7.55</v>
      </c>
      <c r="I12">
        <v>7.18</v>
      </c>
      <c r="J12">
        <v>7.37</v>
      </c>
      <c r="K12">
        <v>8.2899999999999991</v>
      </c>
      <c r="L12">
        <v>8.09</v>
      </c>
      <c r="M12">
        <v>8.19</v>
      </c>
      <c r="N12">
        <v>8.26</v>
      </c>
      <c r="O12">
        <v>8.1199999999999992</v>
      </c>
      <c r="P12">
        <v>8.19</v>
      </c>
      <c r="Q12">
        <v>7.33</v>
      </c>
      <c r="R12">
        <v>7.18</v>
      </c>
      <c r="S12">
        <v>7.26</v>
      </c>
    </row>
    <row r="13" spans="1:19" x14ac:dyDescent="0.3">
      <c r="A13" t="s">
        <v>41</v>
      </c>
      <c r="B13">
        <v>5.94</v>
      </c>
      <c r="C13">
        <v>6.09</v>
      </c>
      <c r="D13">
        <v>6.01</v>
      </c>
      <c r="E13">
        <v>6.73</v>
      </c>
      <c r="F13">
        <v>7.13</v>
      </c>
      <c r="G13">
        <v>6.93</v>
      </c>
      <c r="H13">
        <v>6.61</v>
      </c>
      <c r="I13">
        <v>7.21</v>
      </c>
      <c r="J13">
        <v>6.91</v>
      </c>
      <c r="K13">
        <v>7.29</v>
      </c>
      <c r="L13">
        <v>6.93</v>
      </c>
      <c r="M13">
        <v>7.11</v>
      </c>
      <c r="N13">
        <v>8.08</v>
      </c>
      <c r="O13">
        <v>7.87</v>
      </c>
      <c r="P13">
        <v>7.98</v>
      </c>
      <c r="Q13">
        <v>8.1199999999999992</v>
      </c>
      <c r="R13">
        <v>7.96</v>
      </c>
      <c r="S13">
        <v>8.0399999999999991</v>
      </c>
    </row>
    <row r="14" spans="1:19" x14ac:dyDescent="0.3">
      <c r="A14" t="s">
        <v>97</v>
      </c>
      <c r="B14">
        <v>5.72</v>
      </c>
      <c r="C14">
        <v>5.76</v>
      </c>
      <c r="D14">
        <v>5.74</v>
      </c>
      <c r="E14">
        <v>5.55</v>
      </c>
      <c r="F14">
        <v>5.72</v>
      </c>
      <c r="G14">
        <v>5.64</v>
      </c>
      <c r="H14">
        <v>6.37</v>
      </c>
      <c r="I14">
        <v>6.78</v>
      </c>
      <c r="J14">
        <v>6.57</v>
      </c>
      <c r="K14">
        <v>6.34</v>
      </c>
      <c r="L14">
        <v>6.93</v>
      </c>
      <c r="M14">
        <v>6.63</v>
      </c>
      <c r="N14">
        <v>7.06</v>
      </c>
      <c r="O14">
        <v>6.71</v>
      </c>
      <c r="P14">
        <v>6.89</v>
      </c>
      <c r="Q14">
        <v>7.88</v>
      </c>
      <c r="R14">
        <v>7.69</v>
      </c>
      <c r="S14">
        <v>7.79</v>
      </c>
    </row>
    <row r="15" spans="1:19" x14ac:dyDescent="0.3">
      <c r="A15" t="s">
        <v>98</v>
      </c>
      <c r="B15">
        <v>4.63</v>
      </c>
      <c r="C15">
        <v>4.42</v>
      </c>
      <c r="D15">
        <v>4.5199999999999996</v>
      </c>
      <c r="E15">
        <v>5.26</v>
      </c>
      <c r="F15">
        <v>5.36</v>
      </c>
      <c r="G15">
        <v>5.31</v>
      </c>
      <c r="H15">
        <v>5.18</v>
      </c>
      <c r="I15">
        <v>5.39</v>
      </c>
      <c r="J15">
        <v>5.28</v>
      </c>
      <c r="K15">
        <v>6.02</v>
      </c>
      <c r="L15">
        <v>6.46</v>
      </c>
      <c r="M15">
        <v>6.24</v>
      </c>
      <c r="N15">
        <v>6.05</v>
      </c>
      <c r="O15">
        <v>6.67</v>
      </c>
      <c r="P15">
        <v>6.36</v>
      </c>
      <c r="Q15">
        <v>6.8</v>
      </c>
      <c r="R15">
        <v>6.52</v>
      </c>
      <c r="S15">
        <v>6.66</v>
      </c>
    </row>
    <row r="16" spans="1:19" x14ac:dyDescent="0.3">
      <c r="A16" t="s">
        <v>99</v>
      </c>
      <c r="B16">
        <v>3.85</v>
      </c>
      <c r="C16">
        <v>3.7</v>
      </c>
      <c r="D16">
        <v>3.77</v>
      </c>
      <c r="E16">
        <v>4.16</v>
      </c>
      <c r="F16">
        <v>4.05</v>
      </c>
      <c r="G16">
        <v>4.1100000000000003</v>
      </c>
      <c r="H16">
        <v>4.8</v>
      </c>
      <c r="I16">
        <v>4.99</v>
      </c>
      <c r="J16">
        <v>4.8899999999999997</v>
      </c>
      <c r="K16">
        <v>4.8</v>
      </c>
      <c r="L16">
        <v>5.08</v>
      </c>
      <c r="M16">
        <v>4.9400000000000004</v>
      </c>
      <c r="N16">
        <v>5.65</v>
      </c>
      <c r="O16">
        <v>6.16</v>
      </c>
      <c r="P16">
        <v>5.9</v>
      </c>
      <c r="Q16">
        <v>5.74</v>
      </c>
      <c r="R16">
        <v>6.42</v>
      </c>
      <c r="S16">
        <v>6.08</v>
      </c>
    </row>
    <row r="17" spans="1:19" x14ac:dyDescent="0.3">
      <c r="A17" t="s">
        <v>100</v>
      </c>
      <c r="B17">
        <v>2.69</v>
      </c>
      <c r="C17">
        <v>2.56</v>
      </c>
      <c r="D17">
        <v>2.63</v>
      </c>
      <c r="E17">
        <v>3.34</v>
      </c>
      <c r="F17">
        <v>3.29</v>
      </c>
      <c r="G17">
        <v>3.31</v>
      </c>
      <c r="H17">
        <v>3.67</v>
      </c>
      <c r="I17">
        <v>3.67</v>
      </c>
      <c r="J17">
        <v>3.67</v>
      </c>
      <c r="K17">
        <v>4.3099999999999996</v>
      </c>
      <c r="L17">
        <v>4.58</v>
      </c>
      <c r="M17">
        <v>4.45</v>
      </c>
      <c r="N17">
        <v>4.37</v>
      </c>
      <c r="O17">
        <v>4.7300000000000004</v>
      </c>
      <c r="P17">
        <v>4.55</v>
      </c>
      <c r="Q17">
        <v>5.22</v>
      </c>
      <c r="R17">
        <v>5.81</v>
      </c>
      <c r="S17">
        <v>5.51</v>
      </c>
    </row>
    <row r="18" spans="1:19" x14ac:dyDescent="0.3">
      <c r="A18" t="s">
        <v>101</v>
      </c>
      <c r="B18">
        <v>1.67</v>
      </c>
      <c r="C18">
        <v>1.65</v>
      </c>
      <c r="D18">
        <v>1.66</v>
      </c>
      <c r="E18">
        <v>2.19</v>
      </c>
      <c r="F18">
        <v>2.14</v>
      </c>
      <c r="G18">
        <v>2.17</v>
      </c>
      <c r="H18">
        <v>2.76</v>
      </c>
      <c r="I18">
        <v>2.82</v>
      </c>
      <c r="J18">
        <v>2.79</v>
      </c>
      <c r="K18">
        <v>3.11</v>
      </c>
      <c r="L18">
        <v>3.21</v>
      </c>
      <c r="M18">
        <v>3.16</v>
      </c>
      <c r="N18">
        <v>3.72</v>
      </c>
      <c r="O18">
        <v>4.08</v>
      </c>
      <c r="P18">
        <v>3.9</v>
      </c>
      <c r="Q18">
        <v>3.84</v>
      </c>
      <c r="R18">
        <v>4.29</v>
      </c>
      <c r="S18">
        <v>4.0599999999999996</v>
      </c>
    </row>
    <row r="19" spans="1:19" x14ac:dyDescent="0.3">
      <c r="A19" t="s">
        <v>102</v>
      </c>
      <c r="B19">
        <v>1.1200000000000001</v>
      </c>
      <c r="C19">
        <v>1.25</v>
      </c>
      <c r="D19">
        <v>1.19</v>
      </c>
      <c r="E19">
        <v>1.19</v>
      </c>
      <c r="F19">
        <v>1.22</v>
      </c>
      <c r="G19">
        <v>1.21</v>
      </c>
      <c r="H19">
        <v>1.6</v>
      </c>
      <c r="I19">
        <v>1.65</v>
      </c>
      <c r="J19">
        <v>1.62</v>
      </c>
      <c r="K19">
        <v>2.0699999999999998</v>
      </c>
      <c r="L19">
        <v>2.2200000000000002</v>
      </c>
      <c r="M19">
        <v>2.15</v>
      </c>
      <c r="N19">
        <v>2.4</v>
      </c>
      <c r="O19">
        <v>2.6</v>
      </c>
      <c r="P19">
        <v>2.5</v>
      </c>
      <c r="Q19">
        <v>2.94</v>
      </c>
      <c r="R19">
        <v>3.4</v>
      </c>
      <c r="S19">
        <v>3.16</v>
      </c>
    </row>
    <row r="20" spans="1:19" x14ac:dyDescent="0.3">
      <c r="A20" t="s">
        <v>103</v>
      </c>
      <c r="B20">
        <v>0.63</v>
      </c>
      <c r="C20">
        <v>0.75</v>
      </c>
      <c r="D20">
        <v>0.69</v>
      </c>
      <c r="E20">
        <v>0.8</v>
      </c>
      <c r="F20">
        <v>0.97</v>
      </c>
      <c r="G20">
        <v>0.89</v>
      </c>
      <c r="H20">
        <v>0.93</v>
      </c>
      <c r="I20">
        <v>1.0900000000000001</v>
      </c>
      <c r="J20">
        <v>1.01</v>
      </c>
      <c r="K20">
        <v>1.25</v>
      </c>
      <c r="L20">
        <v>1.45</v>
      </c>
      <c r="M20">
        <v>1.35</v>
      </c>
      <c r="N20">
        <v>1.7</v>
      </c>
      <c r="O20">
        <v>2.0099999999999998</v>
      </c>
      <c r="P20">
        <v>1.85</v>
      </c>
      <c r="Q20">
        <v>2.13</v>
      </c>
      <c r="R20">
        <v>2.61</v>
      </c>
      <c r="S20">
        <v>2.37</v>
      </c>
    </row>
    <row r="21" spans="1:19" x14ac:dyDescent="0.3">
      <c r="A21" t="s">
        <v>73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</row>
  </sheetData>
  <mergeCells count="6">
    <mergeCell ref="Q2:S2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39"/>
  <sheetViews>
    <sheetView workbookViewId="0">
      <selection activeCell="J4" sqref="J4"/>
    </sheetView>
  </sheetViews>
  <sheetFormatPr defaultRowHeight="14.4" x14ac:dyDescent="0.3"/>
  <cols>
    <col min="1" max="1" width="30.88671875" customWidth="1"/>
  </cols>
  <sheetData>
    <row r="1" spans="1:7" x14ac:dyDescent="0.3">
      <c r="A1" s="2" t="s">
        <v>107</v>
      </c>
      <c r="B1" s="1"/>
      <c r="C1" s="1"/>
      <c r="D1" s="1"/>
      <c r="E1" s="1"/>
      <c r="F1" s="1"/>
      <c r="G1" s="1"/>
    </row>
    <row r="2" spans="1:7" s="3" customFormat="1" x14ac:dyDescent="0.3">
      <c r="A2" s="3" t="s">
        <v>52</v>
      </c>
      <c r="B2" s="3">
        <v>2026</v>
      </c>
      <c r="C2" s="3">
        <v>2031</v>
      </c>
      <c r="D2" s="3">
        <v>2036</v>
      </c>
      <c r="E2" s="3">
        <v>2041</v>
      </c>
      <c r="F2" s="3">
        <v>2046</v>
      </c>
      <c r="G2" s="3">
        <v>2051</v>
      </c>
    </row>
    <row r="3" spans="1:7" x14ac:dyDescent="0.3">
      <c r="A3" t="s">
        <v>53</v>
      </c>
    </row>
    <row r="4" spans="1:7" x14ac:dyDescent="0.3">
      <c r="A4" t="s">
        <v>54</v>
      </c>
      <c r="B4">
        <v>2.5</v>
      </c>
      <c r="C4">
        <v>2.2400000000000002</v>
      </c>
      <c r="D4">
        <v>2.0499999999999998</v>
      </c>
      <c r="E4">
        <v>1.94</v>
      </c>
      <c r="F4">
        <v>1.88</v>
      </c>
      <c r="G4">
        <v>1.86</v>
      </c>
    </row>
    <row r="5" spans="1:7" x14ac:dyDescent="0.3">
      <c r="A5" t="s">
        <v>55</v>
      </c>
      <c r="B5">
        <v>1.19</v>
      </c>
      <c r="C5">
        <v>1.07</v>
      </c>
      <c r="D5">
        <v>0.98</v>
      </c>
      <c r="E5">
        <v>0.92</v>
      </c>
      <c r="F5">
        <v>0.9</v>
      </c>
      <c r="G5">
        <v>0.89</v>
      </c>
    </row>
    <row r="6" spans="1:7" x14ac:dyDescent="0.3">
      <c r="A6" t="s">
        <v>56</v>
      </c>
      <c r="B6">
        <v>1.0900000000000001</v>
      </c>
      <c r="C6">
        <v>0.99</v>
      </c>
      <c r="D6">
        <v>0.92</v>
      </c>
      <c r="E6">
        <v>0.88</v>
      </c>
      <c r="F6">
        <v>0.85</v>
      </c>
      <c r="G6">
        <v>0.85</v>
      </c>
    </row>
    <row r="7" spans="1:7" x14ac:dyDescent="0.3">
      <c r="A7" t="s">
        <v>57</v>
      </c>
      <c r="B7">
        <v>27.5</v>
      </c>
      <c r="C7">
        <v>27.4</v>
      </c>
      <c r="D7">
        <v>27.3</v>
      </c>
      <c r="E7">
        <v>27.2</v>
      </c>
      <c r="F7">
        <v>27.1</v>
      </c>
      <c r="G7">
        <v>27.1</v>
      </c>
    </row>
    <row r="8" spans="1:7" x14ac:dyDescent="0.3">
      <c r="A8" t="s">
        <v>58</v>
      </c>
      <c r="B8">
        <v>0.39</v>
      </c>
      <c r="C8">
        <v>0.37</v>
      </c>
      <c r="D8">
        <v>0.32</v>
      </c>
      <c r="E8">
        <v>0.27</v>
      </c>
      <c r="F8">
        <v>0.25</v>
      </c>
      <c r="G8">
        <v>0.26</v>
      </c>
    </row>
    <row r="9" spans="1:7" x14ac:dyDescent="0.3">
      <c r="A9" t="s">
        <v>59</v>
      </c>
    </row>
    <row r="10" spans="1:7" x14ac:dyDescent="0.3">
      <c r="A10" t="s">
        <v>60</v>
      </c>
      <c r="B10">
        <v>69.3</v>
      </c>
      <c r="C10">
        <v>70.8</v>
      </c>
      <c r="D10">
        <v>72.3</v>
      </c>
      <c r="E10">
        <v>73.8</v>
      </c>
      <c r="F10">
        <v>75.400000000000006</v>
      </c>
      <c r="G10">
        <v>76.599999999999994</v>
      </c>
    </row>
    <row r="11" spans="1:7" x14ac:dyDescent="0.3">
      <c r="A11" t="s">
        <v>61</v>
      </c>
      <c r="B11">
        <v>70.900000000000006</v>
      </c>
      <c r="C11">
        <v>72.8</v>
      </c>
      <c r="D11">
        <v>74.599999999999994</v>
      </c>
      <c r="E11">
        <v>76.099999999999994</v>
      </c>
      <c r="F11">
        <v>77.5</v>
      </c>
      <c r="G11">
        <v>79.099999999999994</v>
      </c>
    </row>
    <row r="12" spans="1:7" x14ac:dyDescent="0.3">
      <c r="A12" t="s">
        <v>62</v>
      </c>
      <c r="B12">
        <v>70.099999999999994</v>
      </c>
      <c r="C12">
        <v>71.8</v>
      </c>
      <c r="D12">
        <v>73.400000000000006</v>
      </c>
      <c r="E12">
        <v>74.900000000000006</v>
      </c>
      <c r="F12">
        <v>76.400000000000006</v>
      </c>
      <c r="G12">
        <v>77.8</v>
      </c>
    </row>
    <row r="13" spans="1:7" x14ac:dyDescent="0.3">
      <c r="A13" t="s">
        <v>63</v>
      </c>
      <c r="B13">
        <v>54.2</v>
      </c>
      <c r="C13">
        <v>47.8</v>
      </c>
      <c r="D13">
        <v>41.9</v>
      </c>
      <c r="E13">
        <v>36.299999999999997</v>
      </c>
      <c r="F13">
        <v>31.3</v>
      </c>
      <c r="G13">
        <v>27.4</v>
      </c>
    </row>
    <row r="14" spans="1:7" x14ac:dyDescent="0.3">
      <c r="A14" t="s">
        <v>64</v>
      </c>
      <c r="B14">
        <v>65.900000000000006</v>
      </c>
      <c r="C14">
        <v>57.1</v>
      </c>
      <c r="D14">
        <v>49.2</v>
      </c>
      <c r="E14">
        <v>42.3</v>
      </c>
      <c r="F14">
        <v>36.299999999999997</v>
      </c>
      <c r="G14">
        <v>31.6</v>
      </c>
    </row>
    <row r="15" spans="1:7" x14ac:dyDescent="0.3">
      <c r="A15" t="s">
        <v>108</v>
      </c>
    </row>
    <row r="16" spans="1:7" x14ac:dyDescent="0.3">
      <c r="A16" t="s">
        <v>74</v>
      </c>
      <c r="B16">
        <v>-21720</v>
      </c>
      <c r="C16">
        <v>-21342</v>
      </c>
      <c r="D16">
        <v>-21165</v>
      </c>
      <c r="E16">
        <v>-21080</v>
      </c>
      <c r="F16">
        <v>-21040</v>
      </c>
      <c r="G16">
        <v>-21020</v>
      </c>
    </row>
    <row r="17" spans="1:7" x14ac:dyDescent="0.3">
      <c r="A17" t="s">
        <v>75</v>
      </c>
      <c r="B17">
        <v>-30660</v>
      </c>
      <c r="C17">
        <v>-31362</v>
      </c>
      <c r="D17">
        <v>-31734</v>
      </c>
      <c r="E17">
        <v>-31927</v>
      </c>
      <c r="F17">
        <v>-32027</v>
      </c>
      <c r="G17">
        <v>-32079</v>
      </c>
    </row>
    <row r="18" spans="1:7" x14ac:dyDescent="0.3">
      <c r="A18" t="s">
        <v>73</v>
      </c>
      <c r="B18">
        <v>-52380</v>
      </c>
      <c r="C18">
        <v>-52704</v>
      </c>
      <c r="D18">
        <v>-52899</v>
      </c>
      <c r="E18">
        <v>-53007</v>
      </c>
      <c r="F18">
        <v>-53067</v>
      </c>
      <c r="G18">
        <v>-53099</v>
      </c>
    </row>
    <row r="19" spans="1:7" x14ac:dyDescent="0.3">
      <c r="A19" t="s">
        <v>65</v>
      </c>
    </row>
    <row r="20" spans="1:7" x14ac:dyDescent="0.3">
      <c r="A20" t="s">
        <v>66</v>
      </c>
      <c r="B20">
        <v>22.3</v>
      </c>
      <c r="C20">
        <v>19.8</v>
      </c>
      <c r="D20">
        <v>16.5</v>
      </c>
      <c r="E20">
        <v>14.5</v>
      </c>
      <c r="F20">
        <v>13.7</v>
      </c>
      <c r="G20">
        <v>13.5</v>
      </c>
    </row>
    <row r="21" spans="1:7" x14ac:dyDescent="0.3">
      <c r="A21" t="s">
        <v>67</v>
      </c>
      <c r="B21">
        <v>6.5</v>
      </c>
      <c r="C21">
        <v>6.2</v>
      </c>
      <c r="D21">
        <v>5.7</v>
      </c>
      <c r="E21">
        <v>5.7</v>
      </c>
      <c r="F21">
        <v>5.9</v>
      </c>
      <c r="G21">
        <v>6.2</v>
      </c>
    </row>
    <row r="22" spans="1:7" x14ac:dyDescent="0.3">
      <c r="A22" t="s">
        <v>109</v>
      </c>
      <c r="B22">
        <v>1.58</v>
      </c>
      <c r="C22">
        <v>1.36</v>
      </c>
      <c r="D22">
        <v>1.08</v>
      </c>
      <c r="E22">
        <v>0.88</v>
      </c>
      <c r="F22">
        <v>0.79</v>
      </c>
      <c r="G22">
        <v>0.73</v>
      </c>
    </row>
    <row r="23" spans="1:7" x14ac:dyDescent="0.3">
      <c r="A23" t="s">
        <v>69</v>
      </c>
    </row>
    <row r="24" spans="1:7" x14ac:dyDescent="0.3">
      <c r="A24" t="s">
        <v>70</v>
      </c>
      <c r="B24">
        <v>2.94</v>
      </c>
      <c r="C24">
        <v>2.81</v>
      </c>
      <c r="D24">
        <v>2.48</v>
      </c>
      <c r="E24">
        <v>2.2799999999999998</v>
      </c>
      <c r="F24">
        <v>2.25</v>
      </c>
      <c r="G24">
        <v>2.29</v>
      </c>
    </row>
    <row r="25" spans="1:7" x14ac:dyDescent="0.3">
      <c r="A25" t="s">
        <v>71</v>
      </c>
      <c r="B25">
        <v>0.86</v>
      </c>
      <c r="C25">
        <v>0.87</v>
      </c>
      <c r="D25">
        <v>0.86</v>
      </c>
      <c r="E25">
        <v>0.89</v>
      </c>
      <c r="F25">
        <v>0.96</v>
      </c>
      <c r="G25">
        <v>1.05</v>
      </c>
    </row>
    <row r="26" spans="1:7" x14ac:dyDescent="0.3">
      <c r="A26" t="s">
        <v>72</v>
      </c>
    </row>
    <row r="27" spans="1:7" x14ac:dyDescent="0.3">
      <c r="A27" t="s">
        <v>73</v>
      </c>
      <c r="B27">
        <v>132.9</v>
      </c>
      <c r="C27">
        <v>142.80000000000001</v>
      </c>
      <c r="D27">
        <v>151.19999999999999</v>
      </c>
      <c r="E27">
        <v>158.19999999999999</v>
      </c>
      <c r="F27">
        <v>164.5</v>
      </c>
      <c r="G27">
        <v>170.5</v>
      </c>
    </row>
    <row r="28" spans="1:7" x14ac:dyDescent="0.3">
      <c r="A28" t="s">
        <v>74</v>
      </c>
      <c r="B28">
        <v>69.3</v>
      </c>
      <c r="C28">
        <v>74.400000000000006</v>
      </c>
      <c r="D28">
        <v>78.8</v>
      </c>
      <c r="E28">
        <v>82.4</v>
      </c>
      <c r="F28">
        <v>85.6</v>
      </c>
      <c r="G28">
        <v>88.7</v>
      </c>
    </row>
    <row r="29" spans="1:7" x14ac:dyDescent="0.3">
      <c r="A29" t="s">
        <v>75</v>
      </c>
      <c r="B29">
        <v>63.6</v>
      </c>
      <c r="C29">
        <v>68.400000000000006</v>
      </c>
      <c r="D29">
        <v>72.400000000000006</v>
      </c>
      <c r="E29">
        <v>75.8</v>
      </c>
      <c r="F29">
        <v>78.900000000000006</v>
      </c>
      <c r="G29">
        <v>81.8</v>
      </c>
    </row>
    <row r="30" spans="1:7" x14ac:dyDescent="0.3">
      <c r="A30" t="s">
        <v>76</v>
      </c>
      <c r="B30">
        <v>10.199999999999999</v>
      </c>
      <c r="C30">
        <v>9.6</v>
      </c>
      <c r="D30">
        <v>8.1999999999999993</v>
      </c>
      <c r="E30">
        <v>7.1</v>
      </c>
      <c r="F30">
        <v>6.6</v>
      </c>
      <c r="G30">
        <v>6.5</v>
      </c>
    </row>
    <row r="31" spans="1:7" x14ac:dyDescent="0.3">
      <c r="A31" t="s">
        <v>77</v>
      </c>
      <c r="B31">
        <v>18.399999999999999</v>
      </c>
      <c r="C31">
        <v>18.3</v>
      </c>
      <c r="D31">
        <v>17.899999999999999</v>
      </c>
      <c r="E31">
        <v>16.399999999999999</v>
      </c>
      <c r="F31">
        <v>14.3</v>
      </c>
      <c r="G31">
        <v>12.9</v>
      </c>
    </row>
    <row r="32" spans="1:7" x14ac:dyDescent="0.3">
      <c r="A32" t="s">
        <v>78</v>
      </c>
      <c r="B32">
        <v>20.7</v>
      </c>
      <c r="C32">
        <v>17</v>
      </c>
      <c r="D32">
        <v>16.100000000000001</v>
      </c>
      <c r="E32">
        <v>16.5</v>
      </c>
      <c r="F32">
        <v>16.3</v>
      </c>
      <c r="G32">
        <v>15.2</v>
      </c>
    </row>
    <row r="33" spans="1:7" x14ac:dyDescent="0.3">
      <c r="A33" t="s">
        <v>79</v>
      </c>
      <c r="B33">
        <v>54.6</v>
      </c>
      <c r="C33">
        <v>53.8</v>
      </c>
      <c r="D33">
        <v>54.1</v>
      </c>
      <c r="E33">
        <v>55</v>
      </c>
      <c r="F33">
        <v>55.4</v>
      </c>
      <c r="G33">
        <v>52.6</v>
      </c>
    </row>
    <row r="34" spans="1:7" x14ac:dyDescent="0.3">
      <c r="A34" t="s">
        <v>80</v>
      </c>
      <c r="B34">
        <v>62.8</v>
      </c>
      <c r="C34">
        <v>63</v>
      </c>
      <c r="D34">
        <v>63.2</v>
      </c>
      <c r="E34">
        <v>64.099999999999994</v>
      </c>
      <c r="F34">
        <v>65.2</v>
      </c>
      <c r="G34">
        <v>65.3</v>
      </c>
    </row>
    <row r="35" spans="1:7" x14ac:dyDescent="0.3">
      <c r="A35" t="s">
        <v>81</v>
      </c>
      <c r="B35">
        <v>8.6</v>
      </c>
      <c r="C35">
        <v>9.4</v>
      </c>
      <c r="D35">
        <v>10.9</v>
      </c>
      <c r="E35">
        <v>12.4</v>
      </c>
      <c r="F35">
        <v>14</v>
      </c>
      <c r="G35">
        <v>15.3</v>
      </c>
    </row>
    <row r="36" spans="1:7" x14ac:dyDescent="0.3">
      <c r="A36" t="s">
        <v>82</v>
      </c>
      <c r="B36">
        <v>54.5</v>
      </c>
      <c r="C36">
        <v>53.4</v>
      </c>
      <c r="D36">
        <v>53.3</v>
      </c>
      <c r="E36">
        <v>54.2</v>
      </c>
      <c r="F36">
        <v>54.9</v>
      </c>
      <c r="G36">
        <v>52.1</v>
      </c>
    </row>
    <row r="37" spans="1:7" x14ac:dyDescent="0.3">
      <c r="A37" t="s">
        <v>83</v>
      </c>
      <c r="B37">
        <v>108.9</v>
      </c>
      <c r="C37">
        <v>108.8</v>
      </c>
      <c r="D37">
        <v>108.7</v>
      </c>
      <c r="E37">
        <v>108.6</v>
      </c>
      <c r="F37">
        <v>108.5</v>
      </c>
      <c r="G37">
        <v>108.4</v>
      </c>
    </row>
    <row r="38" spans="1:7" x14ac:dyDescent="0.3">
      <c r="A38" t="s">
        <v>84</v>
      </c>
      <c r="B38">
        <v>62.3</v>
      </c>
      <c r="C38">
        <v>59.3</v>
      </c>
      <c r="D38">
        <v>59.7</v>
      </c>
      <c r="E38">
        <v>58.6</v>
      </c>
      <c r="F38">
        <v>55.9</v>
      </c>
      <c r="G38">
        <v>53.4</v>
      </c>
    </row>
    <row r="39" spans="1:7" x14ac:dyDescent="0.3">
      <c r="A39" t="s">
        <v>85</v>
      </c>
      <c r="B39">
        <v>25</v>
      </c>
      <c r="C39">
        <v>27</v>
      </c>
      <c r="D39">
        <v>30</v>
      </c>
      <c r="E39">
        <v>32</v>
      </c>
      <c r="F39">
        <v>34</v>
      </c>
      <c r="G39">
        <v>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S21"/>
  <sheetViews>
    <sheetView workbookViewId="0">
      <selection activeCell="N25" sqref="N25"/>
    </sheetView>
  </sheetViews>
  <sheetFormatPr defaultRowHeight="14.4" x14ac:dyDescent="0.3"/>
  <sheetData>
    <row r="1" spans="1:19" x14ac:dyDescent="0.3">
      <c r="A1" s="2" t="s">
        <v>110</v>
      </c>
      <c r="B1" s="1"/>
      <c r="C1" s="1"/>
      <c r="D1" s="1"/>
      <c r="E1" s="1"/>
      <c r="F1" s="1"/>
      <c r="G1" s="1"/>
      <c r="H1" s="1"/>
      <c r="I1" s="1"/>
      <c r="J1" s="1"/>
    </row>
    <row r="2" spans="1:19" s="3" customFormat="1" x14ac:dyDescent="0.3">
      <c r="A2" s="3" t="s">
        <v>34</v>
      </c>
      <c r="B2" s="34">
        <v>2026</v>
      </c>
      <c r="C2" s="34"/>
      <c r="D2" s="34"/>
      <c r="E2" s="34">
        <v>2031</v>
      </c>
      <c r="F2" s="34"/>
      <c r="G2" s="34"/>
      <c r="H2" s="34">
        <v>2036</v>
      </c>
      <c r="I2" s="34"/>
      <c r="J2" s="34"/>
      <c r="K2" s="37">
        <v>2041</v>
      </c>
      <c r="L2" s="37"/>
      <c r="M2" s="37"/>
      <c r="N2" s="37">
        <v>2046</v>
      </c>
      <c r="O2" s="37"/>
      <c r="P2" s="37"/>
      <c r="Q2" s="37">
        <v>2051</v>
      </c>
      <c r="R2" s="37"/>
      <c r="S2" s="37"/>
    </row>
    <row r="3" spans="1:19" s="3" customFormat="1" x14ac:dyDescent="0.3">
      <c r="B3" s="3" t="s">
        <v>16</v>
      </c>
      <c r="C3" s="3" t="s">
        <v>46</v>
      </c>
      <c r="D3" s="3" t="s">
        <v>91</v>
      </c>
      <c r="E3" s="3" t="s">
        <v>16</v>
      </c>
      <c r="F3" s="3" t="s">
        <v>46</v>
      </c>
      <c r="G3" s="3" t="s">
        <v>91</v>
      </c>
      <c r="H3" s="3" t="s">
        <v>16</v>
      </c>
      <c r="I3" s="3" t="s">
        <v>46</v>
      </c>
      <c r="J3" s="3" t="s">
        <v>91</v>
      </c>
      <c r="K3" s="3" t="s">
        <v>16</v>
      </c>
      <c r="L3" s="3" t="s">
        <v>46</v>
      </c>
      <c r="M3" s="3" t="s">
        <v>91</v>
      </c>
      <c r="N3" s="3" t="s">
        <v>16</v>
      </c>
      <c r="O3" s="3" t="s">
        <v>46</v>
      </c>
      <c r="P3" s="3" t="s">
        <v>91</v>
      </c>
      <c r="Q3" s="3" t="s">
        <v>16</v>
      </c>
      <c r="R3" s="3" t="s">
        <v>46</v>
      </c>
      <c r="S3" s="3" t="s">
        <v>91</v>
      </c>
    </row>
    <row r="4" spans="1:19" x14ac:dyDescent="0.3">
      <c r="A4" t="s">
        <v>94</v>
      </c>
      <c r="B4">
        <v>10.26</v>
      </c>
      <c r="C4">
        <v>10.11</v>
      </c>
      <c r="D4">
        <v>10.19</v>
      </c>
      <c r="E4">
        <v>9.65</v>
      </c>
      <c r="F4">
        <v>9.51</v>
      </c>
      <c r="G4">
        <v>9.59</v>
      </c>
      <c r="H4">
        <v>8.2799999999999994</v>
      </c>
      <c r="I4">
        <v>8.16</v>
      </c>
      <c r="J4">
        <v>8.2200000000000006</v>
      </c>
      <c r="K4">
        <v>7.13</v>
      </c>
      <c r="L4">
        <v>7.03</v>
      </c>
      <c r="M4">
        <v>7.08</v>
      </c>
      <c r="N4">
        <v>6.65</v>
      </c>
      <c r="O4">
        <v>6.54</v>
      </c>
      <c r="P4">
        <v>6.6</v>
      </c>
      <c r="Q4">
        <v>6.51</v>
      </c>
      <c r="R4">
        <v>6.4</v>
      </c>
      <c r="S4">
        <v>6.46</v>
      </c>
    </row>
    <row r="5" spans="1:19" x14ac:dyDescent="0.3">
      <c r="A5" t="s">
        <v>95</v>
      </c>
      <c r="B5">
        <v>9.73</v>
      </c>
      <c r="C5">
        <v>9.51</v>
      </c>
      <c r="D5">
        <v>9.6199999999999992</v>
      </c>
      <c r="E5">
        <v>9.48</v>
      </c>
      <c r="F5">
        <v>9.31</v>
      </c>
      <c r="G5">
        <v>9.4</v>
      </c>
      <c r="H5">
        <v>9.06</v>
      </c>
      <c r="I5">
        <v>8.91</v>
      </c>
      <c r="J5">
        <v>8.99</v>
      </c>
      <c r="K5">
        <v>7.87</v>
      </c>
      <c r="L5">
        <v>7.75</v>
      </c>
      <c r="M5">
        <v>7.81</v>
      </c>
      <c r="N5">
        <v>6.84</v>
      </c>
      <c r="O5">
        <v>6.72</v>
      </c>
      <c r="P5">
        <v>6.78</v>
      </c>
      <c r="Q5">
        <v>6.4</v>
      </c>
      <c r="R5">
        <v>6.27</v>
      </c>
      <c r="S5">
        <v>6.34</v>
      </c>
    </row>
    <row r="6" spans="1:19" x14ac:dyDescent="0.3">
      <c r="A6" t="s">
        <v>96</v>
      </c>
      <c r="B6">
        <v>8.92</v>
      </c>
      <c r="C6">
        <v>8.67</v>
      </c>
      <c r="D6">
        <v>8.8000000000000007</v>
      </c>
      <c r="E6">
        <v>9.0399999999999991</v>
      </c>
      <c r="F6">
        <v>8.83</v>
      </c>
      <c r="G6">
        <v>8.94</v>
      </c>
      <c r="H6">
        <v>8.94</v>
      </c>
      <c r="I6">
        <v>8.7799999999999994</v>
      </c>
      <c r="J6">
        <v>8.86</v>
      </c>
      <c r="K6">
        <v>8.65</v>
      </c>
      <c r="L6">
        <v>8.5</v>
      </c>
      <c r="M6">
        <v>8.58</v>
      </c>
      <c r="N6">
        <v>7.57</v>
      </c>
      <c r="O6">
        <v>7.44</v>
      </c>
      <c r="P6">
        <v>7.5</v>
      </c>
      <c r="Q6">
        <v>6.59</v>
      </c>
      <c r="R6">
        <v>6.47</v>
      </c>
      <c r="S6">
        <v>6.53</v>
      </c>
    </row>
    <row r="7" spans="1:19" x14ac:dyDescent="0.3">
      <c r="A7" t="s">
        <v>35</v>
      </c>
      <c r="B7">
        <v>9.39</v>
      </c>
      <c r="C7">
        <v>9.57</v>
      </c>
      <c r="D7">
        <v>9.48</v>
      </c>
      <c r="E7">
        <v>8.2899999999999991</v>
      </c>
      <c r="F7">
        <v>8.0500000000000007</v>
      </c>
      <c r="G7">
        <v>8.17</v>
      </c>
      <c r="H7">
        <v>8.52</v>
      </c>
      <c r="I7">
        <v>8.32</v>
      </c>
      <c r="J7">
        <v>8.42</v>
      </c>
      <c r="K7">
        <v>8.5299999999999994</v>
      </c>
      <c r="L7">
        <v>8.3699999999999992</v>
      </c>
      <c r="M7">
        <v>8.4499999999999993</v>
      </c>
      <c r="N7">
        <v>8.31</v>
      </c>
      <c r="O7">
        <v>8.15</v>
      </c>
      <c r="P7">
        <v>8.23</v>
      </c>
      <c r="Q7">
        <v>7.29</v>
      </c>
      <c r="R7">
        <v>7.16</v>
      </c>
      <c r="S7">
        <v>7.23</v>
      </c>
    </row>
    <row r="8" spans="1:19" x14ac:dyDescent="0.3">
      <c r="A8" t="s">
        <v>36</v>
      </c>
      <c r="B8">
        <v>11.18</v>
      </c>
      <c r="C8">
        <v>11.28</v>
      </c>
      <c r="D8">
        <v>11.23</v>
      </c>
      <c r="E8">
        <v>8.7100000000000009</v>
      </c>
      <c r="F8">
        <v>8.86</v>
      </c>
      <c r="G8">
        <v>8.7799999999999994</v>
      </c>
      <c r="H8">
        <v>7.8</v>
      </c>
      <c r="I8">
        <v>7.56</v>
      </c>
      <c r="J8">
        <v>7.68</v>
      </c>
      <c r="K8">
        <v>8.1199999999999992</v>
      </c>
      <c r="L8">
        <v>7.91</v>
      </c>
      <c r="M8">
        <v>8.02</v>
      </c>
      <c r="N8">
        <v>8.18</v>
      </c>
      <c r="O8">
        <v>8.01</v>
      </c>
      <c r="P8">
        <v>8.1</v>
      </c>
      <c r="Q8">
        <v>8</v>
      </c>
      <c r="R8">
        <v>7.83</v>
      </c>
      <c r="S8">
        <v>7.92</v>
      </c>
    </row>
    <row r="9" spans="1:19" x14ac:dyDescent="0.3">
      <c r="A9" t="s">
        <v>37</v>
      </c>
      <c r="B9">
        <v>10.45</v>
      </c>
      <c r="C9">
        <v>10.220000000000001</v>
      </c>
      <c r="D9">
        <v>10.34</v>
      </c>
      <c r="E9">
        <v>10.35</v>
      </c>
      <c r="F9">
        <v>10.43</v>
      </c>
      <c r="G9">
        <v>10.39</v>
      </c>
      <c r="H9">
        <v>8.18</v>
      </c>
      <c r="I9">
        <v>8.3000000000000007</v>
      </c>
      <c r="J9">
        <v>8.24</v>
      </c>
      <c r="K9">
        <v>7.41</v>
      </c>
      <c r="L9">
        <v>7.17</v>
      </c>
      <c r="M9">
        <v>7.3</v>
      </c>
      <c r="N9">
        <v>7.77</v>
      </c>
      <c r="O9">
        <v>7.55</v>
      </c>
      <c r="P9">
        <v>7.67</v>
      </c>
      <c r="Q9">
        <v>7.87</v>
      </c>
      <c r="R9">
        <v>7.68</v>
      </c>
      <c r="S9">
        <v>7.78</v>
      </c>
    </row>
    <row r="10" spans="1:19" x14ac:dyDescent="0.3">
      <c r="A10" t="s">
        <v>38</v>
      </c>
      <c r="B10">
        <v>7.49</v>
      </c>
      <c r="C10">
        <v>6.41</v>
      </c>
      <c r="D10">
        <v>6.97</v>
      </c>
      <c r="E10">
        <v>9.66</v>
      </c>
      <c r="F10">
        <v>9.43</v>
      </c>
      <c r="G10">
        <v>9.5500000000000007</v>
      </c>
      <c r="H10">
        <v>9.7100000000000009</v>
      </c>
      <c r="I10">
        <v>9.7799999999999994</v>
      </c>
      <c r="J10">
        <v>9.74</v>
      </c>
      <c r="K10">
        <v>7.77</v>
      </c>
      <c r="L10">
        <v>7.88</v>
      </c>
      <c r="M10">
        <v>7.82</v>
      </c>
      <c r="N10">
        <v>7.09</v>
      </c>
      <c r="O10">
        <v>6.84</v>
      </c>
      <c r="P10">
        <v>6.97</v>
      </c>
      <c r="Q10">
        <v>7.47</v>
      </c>
      <c r="R10">
        <v>7.24</v>
      </c>
      <c r="S10">
        <v>7.36</v>
      </c>
    </row>
    <row r="11" spans="1:19" x14ac:dyDescent="0.3">
      <c r="A11" t="s">
        <v>39</v>
      </c>
      <c r="B11">
        <v>5.91</v>
      </c>
      <c r="C11">
        <v>5.87</v>
      </c>
      <c r="D11">
        <v>5.89</v>
      </c>
      <c r="E11">
        <v>6.91</v>
      </c>
      <c r="F11">
        <v>5.9</v>
      </c>
      <c r="G11">
        <v>6.43</v>
      </c>
      <c r="H11">
        <v>9.0500000000000007</v>
      </c>
      <c r="I11">
        <v>8.84</v>
      </c>
      <c r="J11">
        <v>8.9499999999999993</v>
      </c>
      <c r="K11">
        <v>9.2200000000000006</v>
      </c>
      <c r="L11">
        <v>9.27</v>
      </c>
      <c r="M11">
        <v>9.25</v>
      </c>
      <c r="N11">
        <v>7.42</v>
      </c>
      <c r="O11">
        <v>7.52</v>
      </c>
      <c r="P11">
        <v>7.47</v>
      </c>
      <c r="Q11">
        <v>6.8</v>
      </c>
      <c r="R11">
        <v>6.56</v>
      </c>
      <c r="S11">
        <v>6.69</v>
      </c>
    </row>
    <row r="12" spans="1:19" x14ac:dyDescent="0.3">
      <c r="A12" t="s">
        <v>40</v>
      </c>
      <c r="B12">
        <v>5.34</v>
      </c>
      <c r="C12">
        <v>5.83</v>
      </c>
      <c r="D12">
        <v>5.57</v>
      </c>
      <c r="E12">
        <v>5.43</v>
      </c>
      <c r="F12">
        <v>5.39</v>
      </c>
      <c r="G12">
        <v>5.41</v>
      </c>
      <c r="H12">
        <v>6.45</v>
      </c>
      <c r="I12">
        <v>5.51</v>
      </c>
      <c r="J12">
        <v>6</v>
      </c>
      <c r="K12">
        <v>8.58</v>
      </c>
      <c r="L12">
        <v>8.36</v>
      </c>
      <c r="M12">
        <v>8.48</v>
      </c>
      <c r="N12">
        <v>8.81</v>
      </c>
      <c r="O12">
        <v>8.84</v>
      </c>
      <c r="P12">
        <v>8.82</v>
      </c>
      <c r="Q12">
        <v>7.12</v>
      </c>
      <c r="R12">
        <v>7.2</v>
      </c>
      <c r="S12">
        <v>7.15</v>
      </c>
    </row>
    <row r="13" spans="1:19" x14ac:dyDescent="0.3">
      <c r="A13" t="s">
        <v>41</v>
      </c>
      <c r="B13">
        <v>4.8499999999999996</v>
      </c>
      <c r="C13">
        <v>5.35</v>
      </c>
      <c r="D13">
        <v>5.09</v>
      </c>
      <c r="E13">
        <v>4.8899999999999997</v>
      </c>
      <c r="F13">
        <v>5.35</v>
      </c>
      <c r="G13">
        <v>5.1100000000000003</v>
      </c>
      <c r="H13">
        <v>5.0599999999999996</v>
      </c>
      <c r="I13">
        <v>5.03</v>
      </c>
      <c r="J13">
        <v>5.04</v>
      </c>
      <c r="K13">
        <v>6.09</v>
      </c>
      <c r="L13">
        <v>5.2</v>
      </c>
      <c r="M13">
        <v>5.67</v>
      </c>
      <c r="N13">
        <v>8.17</v>
      </c>
      <c r="O13">
        <v>7.97</v>
      </c>
      <c r="P13">
        <v>8.07</v>
      </c>
      <c r="Q13">
        <v>8.42</v>
      </c>
      <c r="R13">
        <v>8.4600000000000009</v>
      </c>
      <c r="S13">
        <v>8.44</v>
      </c>
    </row>
    <row r="14" spans="1:19" x14ac:dyDescent="0.3">
      <c r="A14" t="s">
        <v>97</v>
      </c>
      <c r="B14">
        <v>4.5</v>
      </c>
      <c r="C14">
        <v>4.7</v>
      </c>
      <c r="D14">
        <v>4.5999999999999996</v>
      </c>
      <c r="E14">
        <v>4.4000000000000004</v>
      </c>
      <c r="F14">
        <v>4.8899999999999997</v>
      </c>
      <c r="G14">
        <v>4.63</v>
      </c>
      <c r="H14">
        <v>4.51</v>
      </c>
      <c r="I14">
        <v>4.97</v>
      </c>
      <c r="J14">
        <v>4.7300000000000004</v>
      </c>
      <c r="K14">
        <v>4.74</v>
      </c>
      <c r="L14">
        <v>4.7300000000000004</v>
      </c>
      <c r="M14">
        <v>4.74</v>
      </c>
      <c r="N14">
        <v>5.77</v>
      </c>
      <c r="O14">
        <v>4.9400000000000004</v>
      </c>
      <c r="P14">
        <v>5.37</v>
      </c>
      <c r="Q14">
        <v>7.77</v>
      </c>
      <c r="R14">
        <v>7.61</v>
      </c>
      <c r="S14">
        <v>7.69</v>
      </c>
    </row>
    <row r="15" spans="1:19" x14ac:dyDescent="0.3">
      <c r="A15" t="s">
        <v>98</v>
      </c>
      <c r="B15">
        <v>3.64</v>
      </c>
      <c r="C15">
        <v>3.54</v>
      </c>
      <c r="D15">
        <v>3.59</v>
      </c>
      <c r="E15">
        <v>4.03</v>
      </c>
      <c r="F15">
        <v>4.2699999999999996</v>
      </c>
      <c r="G15">
        <v>4.1399999999999997</v>
      </c>
      <c r="H15">
        <v>4.01</v>
      </c>
      <c r="I15">
        <v>4.51</v>
      </c>
      <c r="J15">
        <v>4.25</v>
      </c>
      <c r="K15">
        <v>4.18</v>
      </c>
      <c r="L15">
        <v>4.66</v>
      </c>
      <c r="M15">
        <v>4.41</v>
      </c>
      <c r="N15">
        <v>4.4400000000000004</v>
      </c>
      <c r="O15">
        <v>4.47</v>
      </c>
      <c r="P15">
        <v>4.45</v>
      </c>
      <c r="Q15">
        <v>5.43</v>
      </c>
      <c r="R15">
        <v>4.6900000000000004</v>
      </c>
      <c r="S15">
        <v>5.08</v>
      </c>
    </row>
    <row r="16" spans="1:19" x14ac:dyDescent="0.3">
      <c r="A16" t="s">
        <v>99</v>
      </c>
      <c r="B16">
        <v>2.79</v>
      </c>
      <c r="C16">
        <v>2.94</v>
      </c>
      <c r="D16">
        <v>2.86</v>
      </c>
      <c r="E16">
        <v>3.2</v>
      </c>
      <c r="F16">
        <v>3.17</v>
      </c>
      <c r="G16">
        <v>3.18</v>
      </c>
      <c r="H16">
        <v>3.61</v>
      </c>
      <c r="I16">
        <v>3.89</v>
      </c>
      <c r="J16">
        <v>3.74</v>
      </c>
      <c r="K16">
        <v>3.66</v>
      </c>
      <c r="L16">
        <v>4.18</v>
      </c>
      <c r="M16">
        <v>3.91</v>
      </c>
      <c r="N16">
        <v>3.85</v>
      </c>
      <c r="O16">
        <v>4.3600000000000003</v>
      </c>
      <c r="P16">
        <v>4.0999999999999996</v>
      </c>
      <c r="Q16">
        <v>4.12</v>
      </c>
      <c r="R16">
        <v>4.21</v>
      </c>
      <c r="S16">
        <v>4.17</v>
      </c>
    </row>
    <row r="17" spans="1:19" x14ac:dyDescent="0.3">
      <c r="A17" t="s">
        <v>100</v>
      </c>
      <c r="B17">
        <v>2.12</v>
      </c>
      <c r="C17">
        <v>2.0099999999999998</v>
      </c>
      <c r="D17">
        <v>2.0699999999999998</v>
      </c>
      <c r="E17">
        <v>2.37</v>
      </c>
      <c r="F17">
        <v>2.5499999999999998</v>
      </c>
      <c r="G17">
        <v>2.4500000000000002</v>
      </c>
      <c r="H17">
        <v>2.77</v>
      </c>
      <c r="I17">
        <v>2.81</v>
      </c>
      <c r="J17">
        <v>2.79</v>
      </c>
      <c r="K17">
        <v>3.2</v>
      </c>
      <c r="L17">
        <v>3.52</v>
      </c>
      <c r="M17">
        <v>3.35</v>
      </c>
      <c r="N17">
        <v>3.29</v>
      </c>
      <c r="O17">
        <v>3.83</v>
      </c>
      <c r="P17">
        <v>3.55</v>
      </c>
      <c r="Q17">
        <v>3.5</v>
      </c>
      <c r="R17">
        <v>4.03</v>
      </c>
      <c r="S17">
        <v>3.76</v>
      </c>
    </row>
    <row r="18" spans="1:19" x14ac:dyDescent="0.3">
      <c r="A18" t="s">
        <v>101</v>
      </c>
      <c r="B18">
        <v>1.37</v>
      </c>
      <c r="C18">
        <v>1.76</v>
      </c>
      <c r="D18">
        <v>1.56</v>
      </c>
      <c r="E18">
        <v>1.69</v>
      </c>
      <c r="F18">
        <v>1.66</v>
      </c>
      <c r="G18">
        <v>1.68</v>
      </c>
      <c r="H18">
        <v>1.94</v>
      </c>
      <c r="I18">
        <v>2.16</v>
      </c>
      <c r="J18">
        <v>2.0499999999999998</v>
      </c>
      <c r="K18">
        <v>2.33</v>
      </c>
      <c r="L18">
        <v>2.44</v>
      </c>
      <c r="M18">
        <v>2.39</v>
      </c>
      <c r="N18">
        <v>2.74</v>
      </c>
      <c r="O18">
        <v>3.12</v>
      </c>
      <c r="P18">
        <v>2.92</v>
      </c>
      <c r="Q18">
        <v>2.86</v>
      </c>
      <c r="R18">
        <v>3.44</v>
      </c>
      <c r="S18">
        <v>3.14</v>
      </c>
    </row>
    <row r="19" spans="1:19" x14ac:dyDescent="0.3">
      <c r="A19" t="s">
        <v>102</v>
      </c>
      <c r="B19">
        <v>1.27</v>
      </c>
      <c r="C19">
        <v>1.41</v>
      </c>
      <c r="D19">
        <v>1.34</v>
      </c>
      <c r="E19">
        <v>0.96</v>
      </c>
      <c r="F19">
        <v>1.3</v>
      </c>
      <c r="G19">
        <v>1.1200000000000001</v>
      </c>
      <c r="H19">
        <v>1.24</v>
      </c>
      <c r="I19">
        <v>1.28</v>
      </c>
      <c r="J19">
        <v>1.26</v>
      </c>
      <c r="K19">
        <v>1.46</v>
      </c>
      <c r="L19">
        <v>1.72</v>
      </c>
      <c r="M19">
        <v>1.59</v>
      </c>
      <c r="N19">
        <v>1.81</v>
      </c>
      <c r="O19">
        <v>2</v>
      </c>
      <c r="P19">
        <v>1.9</v>
      </c>
      <c r="Q19">
        <v>2.17</v>
      </c>
      <c r="R19">
        <v>2.61</v>
      </c>
      <c r="S19">
        <v>2.38</v>
      </c>
    </row>
    <row r="20" spans="1:19" x14ac:dyDescent="0.3">
      <c r="A20" t="s">
        <v>103</v>
      </c>
      <c r="B20">
        <v>0.78</v>
      </c>
      <c r="C20">
        <v>0.83</v>
      </c>
      <c r="D20">
        <v>0.8</v>
      </c>
      <c r="E20">
        <v>0.93</v>
      </c>
      <c r="F20">
        <v>1.1000000000000001</v>
      </c>
      <c r="G20">
        <v>1.01</v>
      </c>
      <c r="H20">
        <v>0.87</v>
      </c>
      <c r="I20">
        <v>1.2</v>
      </c>
      <c r="J20">
        <v>1.03</v>
      </c>
      <c r="K20">
        <v>1.05</v>
      </c>
      <c r="L20">
        <v>1.31</v>
      </c>
      <c r="M20">
        <v>1.17</v>
      </c>
      <c r="N20">
        <v>1.29</v>
      </c>
      <c r="O20">
        <v>1.7</v>
      </c>
      <c r="P20">
        <v>1.49</v>
      </c>
      <c r="Q20">
        <v>1.66</v>
      </c>
      <c r="R20">
        <v>2.15</v>
      </c>
      <c r="S20">
        <v>1.9</v>
      </c>
    </row>
    <row r="21" spans="1:19" x14ac:dyDescent="0.3">
      <c r="A21" t="s">
        <v>73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</row>
  </sheetData>
  <mergeCells count="6">
    <mergeCell ref="Q2:S2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39"/>
  <sheetViews>
    <sheetView workbookViewId="0">
      <selection activeCell="K8" sqref="K8"/>
    </sheetView>
  </sheetViews>
  <sheetFormatPr defaultRowHeight="14.4" x14ac:dyDescent="0.3"/>
  <cols>
    <col min="1" max="1" width="33.21875" customWidth="1"/>
  </cols>
  <sheetData>
    <row r="1" spans="1:7" x14ac:dyDescent="0.3">
      <c r="A1" s="2" t="s">
        <v>111</v>
      </c>
      <c r="B1" s="1"/>
      <c r="C1" s="1"/>
      <c r="D1" s="1"/>
      <c r="E1" s="1"/>
      <c r="F1" s="1"/>
      <c r="G1" s="1"/>
    </row>
    <row r="2" spans="1:7" s="3" customFormat="1" x14ac:dyDescent="0.3">
      <c r="A2" s="3" t="s">
        <v>52</v>
      </c>
      <c r="B2" s="3">
        <v>2026</v>
      </c>
      <c r="C2" s="3">
        <v>2031</v>
      </c>
      <c r="D2" s="3">
        <v>2036</v>
      </c>
      <c r="E2" s="3">
        <v>2041</v>
      </c>
      <c r="F2" s="3">
        <v>2046</v>
      </c>
      <c r="G2" s="3">
        <v>2051</v>
      </c>
    </row>
    <row r="3" spans="1:7" x14ac:dyDescent="0.3">
      <c r="A3" t="s">
        <v>53</v>
      </c>
    </row>
    <row r="4" spans="1:7" x14ac:dyDescent="0.3">
      <c r="A4" t="s">
        <v>54</v>
      </c>
      <c r="B4">
        <v>1.96</v>
      </c>
      <c r="C4">
        <v>1.81</v>
      </c>
      <c r="D4">
        <v>1.72</v>
      </c>
      <c r="E4">
        <v>1.68</v>
      </c>
      <c r="F4">
        <v>1.66</v>
      </c>
      <c r="G4">
        <v>1.65</v>
      </c>
    </row>
    <row r="5" spans="1:7" x14ac:dyDescent="0.3">
      <c r="A5" t="s">
        <v>55</v>
      </c>
      <c r="B5">
        <v>0.96</v>
      </c>
      <c r="C5">
        <v>0.89</v>
      </c>
      <c r="D5">
        <v>0.84</v>
      </c>
      <c r="E5">
        <v>0.82</v>
      </c>
      <c r="F5">
        <v>0.81</v>
      </c>
      <c r="G5">
        <v>0.81</v>
      </c>
    </row>
    <row r="6" spans="1:7" x14ac:dyDescent="0.3">
      <c r="A6" t="s">
        <v>56</v>
      </c>
      <c r="B6">
        <v>0.86</v>
      </c>
      <c r="C6">
        <v>0.8</v>
      </c>
      <c r="D6">
        <v>0.77</v>
      </c>
      <c r="E6">
        <v>0.76</v>
      </c>
      <c r="F6">
        <v>0.76</v>
      </c>
      <c r="G6">
        <v>0.76</v>
      </c>
    </row>
    <row r="7" spans="1:7" x14ac:dyDescent="0.3">
      <c r="A7" t="s">
        <v>57</v>
      </c>
      <c r="B7">
        <v>26.4</v>
      </c>
      <c r="C7">
        <v>26.5</v>
      </c>
      <c r="D7">
        <v>26.7</v>
      </c>
      <c r="E7">
        <v>26.8</v>
      </c>
      <c r="F7">
        <v>26.9</v>
      </c>
      <c r="G7">
        <v>27.1</v>
      </c>
    </row>
    <row r="8" spans="1:7" x14ac:dyDescent="0.3">
      <c r="A8" t="s">
        <v>58</v>
      </c>
      <c r="B8">
        <v>0.3</v>
      </c>
      <c r="C8">
        <v>0.26</v>
      </c>
      <c r="D8">
        <v>0.23</v>
      </c>
      <c r="E8">
        <v>0.22</v>
      </c>
      <c r="F8">
        <v>0.22</v>
      </c>
      <c r="G8">
        <v>0.22</v>
      </c>
    </row>
    <row r="9" spans="1:7" x14ac:dyDescent="0.3">
      <c r="A9" t="s">
        <v>59</v>
      </c>
    </row>
    <row r="10" spans="1:7" x14ac:dyDescent="0.3">
      <c r="A10" t="s">
        <v>60</v>
      </c>
      <c r="B10">
        <v>61.5</v>
      </c>
      <c r="C10">
        <v>62.5</v>
      </c>
      <c r="D10">
        <v>63.6</v>
      </c>
      <c r="E10">
        <v>64.7</v>
      </c>
      <c r="F10">
        <v>65.7</v>
      </c>
      <c r="G10">
        <v>66.599999999999994</v>
      </c>
    </row>
    <row r="11" spans="1:7" x14ac:dyDescent="0.3">
      <c r="A11" t="s">
        <v>61</v>
      </c>
      <c r="B11">
        <v>67.5</v>
      </c>
      <c r="C11">
        <v>69.2</v>
      </c>
      <c r="D11">
        <v>70.7</v>
      </c>
      <c r="E11">
        <v>72.2</v>
      </c>
      <c r="F11">
        <v>73.099999999999994</v>
      </c>
      <c r="G11">
        <v>75.2</v>
      </c>
    </row>
    <row r="12" spans="1:7" x14ac:dyDescent="0.3">
      <c r="A12" t="s">
        <v>62</v>
      </c>
      <c r="B12">
        <v>64.5</v>
      </c>
      <c r="C12">
        <v>65.900000000000006</v>
      </c>
      <c r="D12">
        <v>67.2</v>
      </c>
      <c r="E12">
        <v>68.5</v>
      </c>
      <c r="F12">
        <v>69.5</v>
      </c>
      <c r="G12">
        <v>71</v>
      </c>
    </row>
    <row r="13" spans="1:7" x14ac:dyDescent="0.3">
      <c r="A13" t="s">
        <v>63</v>
      </c>
      <c r="B13">
        <v>77.099999999999994</v>
      </c>
      <c r="C13">
        <v>72</v>
      </c>
      <c r="D13">
        <v>66.5</v>
      </c>
      <c r="E13">
        <v>61.5</v>
      </c>
      <c r="F13">
        <v>57.7</v>
      </c>
      <c r="G13">
        <v>52.2</v>
      </c>
    </row>
    <row r="14" spans="1:7" x14ac:dyDescent="0.3">
      <c r="A14" t="s">
        <v>64</v>
      </c>
      <c r="B14">
        <v>101.5</v>
      </c>
      <c r="C14">
        <v>93.1</v>
      </c>
      <c r="D14">
        <v>84.6</v>
      </c>
      <c r="E14">
        <v>77</v>
      </c>
      <c r="F14">
        <v>71.599999999999994</v>
      </c>
      <c r="G14">
        <v>63.7</v>
      </c>
    </row>
    <row r="15" spans="1:7" x14ac:dyDescent="0.3">
      <c r="A15" t="s">
        <v>108</v>
      </c>
    </row>
    <row r="16" spans="1:7" x14ac:dyDescent="0.3">
      <c r="A16" t="s">
        <v>74</v>
      </c>
      <c r="B16">
        <v>2148</v>
      </c>
      <c r="C16">
        <v>2116</v>
      </c>
      <c r="D16">
        <v>2101</v>
      </c>
      <c r="E16">
        <v>2094</v>
      </c>
      <c r="F16">
        <v>2091</v>
      </c>
      <c r="G16">
        <v>2089</v>
      </c>
    </row>
    <row r="17" spans="1:7" x14ac:dyDescent="0.3">
      <c r="A17" t="s">
        <v>75</v>
      </c>
      <c r="B17">
        <v>1386</v>
      </c>
      <c r="C17">
        <v>1355</v>
      </c>
      <c r="D17">
        <v>1343</v>
      </c>
      <c r="E17">
        <v>1337</v>
      </c>
      <c r="F17">
        <v>1335</v>
      </c>
      <c r="G17">
        <v>1335</v>
      </c>
    </row>
    <row r="18" spans="1:7" x14ac:dyDescent="0.3">
      <c r="A18" t="s">
        <v>73</v>
      </c>
      <c r="B18">
        <v>3534</v>
      </c>
      <c r="C18">
        <v>3471</v>
      </c>
      <c r="D18">
        <v>3444</v>
      </c>
      <c r="E18">
        <v>3431</v>
      </c>
      <c r="F18">
        <v>3426</v>
      </c>
      <c r="G18">
        <v>3424</v>
      </c>
    </row>
    <row r="19" spans="1:7" x14ac:dyDescent="0.3">
      <c r="A19" t="s">
        <v>65</v>
      </c>
    </row>
    <row r="20" spans="1:7" x14ac:dyDescent="0.3">
      <c r="A20" t="s">
        <v>66</v>
      </c>
      <c r="B20">
        <v>17.100000000000001</v>
      </c>
      <c r="C20">
        <v>14.9</v>
      </c>
      <c r="D20">
        <v>13.5</v>
      </c>
      <c r="E20">
        <v>12.8</v>
      </c>
      <c r="F20">
        <v>12.2</v>
      </c>
      <c r="G20">
        <v>11.4</v>
      </c>
    </row>
    <row r="21" spans="1:7" x14ac:dyDescent="0.3">
      <c r="A21" t="s">
        <v>67</v>
      </c>
      <c r="B21">
        <v>8.9</v>
      </c>
      <c r="C21">
        <v>8.9</v>
      </c>
      <c r="D21">
        <v>9</v>
      </c>
      <c r="E21">
        <v>9.4</v>
      </c>
      <c r="F21">
        <v>10.1</v>
      </c>
      <c r="G21">
        <v>10.4</v>
      </c>
    </row>
    <row r="22" spans="1:7" x14ac:dyDescent="0.3">
      <c r="A22" t="s">
        <v>68</v>
      </c>
      <c r="B22">
        <v>0.82</v>
      </c>
      <c r="C22">
        <v>0.6</v>
      </c>
      <c r="D22">
        <v>0.46</v>
      </c>
      <c r="E22">
        <v>0.34</v>
      </c>
      <c r="F22">
        <v>0.21</v>
      </c>
      <c r="G22">
        <v>0.1</v>
      </c>
    </row>
    <row r="23" spans="1:7" x14ac:dyDescent="0.3">
      <c r="A23" t="s">
        <v>69</v>
      </c>
    </row>
    <row r="24" spans="1:7" x14ac:dyDescent="0.3">
      <c r="A24" t="s">
        <v>70</v>
      </c>
      <c r="B24">
        <v>0.52</v>
      </c>
      <c r="C24">
        <v>0.47</v>
      </c>
      <c r="D24">
        <v>0.44</v>
      </c>
      <c r="E24">
        <v>0.42</v>
      </c>
      <c r="F24">
        <v>0.41</v>
      </c>
      <c r="G24">
        <v>0.39</v>
      </c>
    </row>
    <row r="25" spans="1:7" x14ac:dyDescent="0.3">
      <c r="A25" t="s">
        <v>71</v>
      </c>
      <c r="B25">
        <v>0.27</v>
      </c>
      <c r="C25">
        <v>0.28000000000000003</v>
      </c>
      <c r="D25">
        <v>0.28999999999999998</v>
      </c>
      <c r="E25">
        <v>0.31</v>
      </c>
      <c r="F25">
        <v>0.34</v>
      </c>
      <c r="G25">
        <v>0.35</v>
      </c>
    </row>
    <row r="26" spans="1:7" x14ac:dyDescent="0.3">
      <c r="A26" t="s">
        <v>72</v>
      </c>
    </row>
    <row r="27" spans="1:7" x14ac:dyDescent="0.3">
      <c r="A27" t="s">
        <v>73</v>
      </c>
      <c r="B27">
        <v>30.5</v>
      </c>
      <c r="C27">
        <v>31.6</v>
      </c>
      <c r="D27">
        <v>32.5</v>
      </c>
      <c r="E27">
        <v>33.1</v>
      </c>
      <c r="F27">
        <v>33.5</v>
      </c>
      <c r="G27">
        <v>33.799999999999997</v>
      </c>
    </row>
    <row r="28" spans="1:7" x14ac:dyDescent="0.3">
      <c r="A28" t="s">
        <v>74</v>
      </c>
      <c r="B28">
        <v>15.3</v>
      </c>
      <c r="C28">
        <v>15.8</v>
      </c>
      <c r="D28">
        <v>16.100000000000001</v>
      </c>
      <c r="E28">
        <v>16.3</v>
      </c>
      <c r="F28">
        <v>16.5</v>
      </c>
      <c r="G28">
        <v>16.5</v>
      </c>
    </row>
    <row r="29" spans="1:7" x14ac:dyDescent="0.3">
      <c r="A29" t="s">
        <v>75</v>
      </c>
      <c r="B29">
        <v>15.3</v>
      </c>
      <c r="C29">
        <v>15.9</v>
      </c>
      <c r="D29">
        <v>16.399999999999999</v>
      </c>
      <c r="E29">
        <v>16.8</v>
      </c>
      <c r="F29">
        <v>17.100000000000001</v>
      </c>
      <c r="G29">
        <v>17.3</v>
      </c>
    </row>
    <row r="30" spans="1:7" x14ac:dyDescent="0.3">
      <c r="A30" t="s">
        <v>76</v>
      </c>
      <c r="B30">
        <v>8</v>
      </c>
      <c r="C30">
        <v>7.1</v>
      </c>
      <c r="D30">
        <v>6.4</v>
      </c>
      <c r="E30">
        <v>6</v>
      </c>
      <c r="F30">
        <v>5.8</v>
      </c>
      <c r="G30">
        <v>5.5</v>
      </c>
    </row>
    <row r="31" spans="1:7" x14ac:dyDescent="0.3">
      <c r="A31" t="s">
        <v>77</v>
      </c>
      <c r="B31">
        <v>17</v>
      </c>
      <c r="C31">
        <v>15.7</v>
      </c>
      <c r="D31">
        <v>14.2</v>
      </c>
      <c r="E31">
        <v>12.9</v>
      </c>
      <c r="F31">
        <v>11.9</v>
      </c>
      <c r="G31">
        <v>11.5</v>
      </c>
    </row>
    <row r="32" spans="1:7" x14ac:dyDescent="0.3">
      <c r="A32" t="s">
        <v>78</v>
      </c>
      <c r="B32">
        <v>17</v>
      </c>
      <c r="C32">
        <v>16.100000000000001</v>
      </c>
      <c r="D32">
        <v>15.9</v>
      </c>
      <c r="E32">
        <v>14.9</v>
      </c>
      <c r="F32">
        <v>13.7</v>
      </c>
      <c r="G32">
        <v>12.5</v>
      </c>
    </row>
    <row r="33" spans="1:7" x14ac:dyDescent="0.3">
      <c r="A33" t="s">
        <v>79</v>
      </c>
      <c r="B33">
        <v>54.4</v>
      </c>
      <c r="C33">
        <v>54.9</v>
      </c>
      <c r="D33">
        <v>54.8</v>
      </c>
      <c r="E33">
        <v>53.8</v>
      </c>
      <c r="F33">
        <v>52</v>
      </c>
      <c r="G33">
        <v>49.3</v>
      </c>
    </row>
    <row r="34" spans="1:7" x14ac:dyDescent="0.3">
      <c r="A34" t="s">
        <v>80</v>
      </c>
      <c r="B34">
        <v>64.5</v>
      </c>
      <c r="C34">
        <v>65</v>
      </c>
      <c r="D34">
        <v>65.099999999999994</v>
      </c>
      <c r="E34">
        <v>65.099999999999994</v>
      </c>
      <c r="F34">
        <v>64.400000000000006</v>
      </c>
      <c r="G34">
        <v>63</v>
      </c>
    </row>
    <row r="35" spans="1:7" x14ac:dyDescent="0.3">
      <c r="A35" t="s">
        <v>81</v>
      </c>
      <c r="B35">
        <v>10.3</v>
      </c>
      <c r="C35">
        <v>11.9</v>
      </c>
      <c r="D35">
        <v>13.7</v>
      </c>
      <c r="E35">
        <v>15.2</v>
      </c>
      <c r="F35">
        <v>16.899999999999999</v>
      </c>
      <c r="G35">
        <v>19.100000000000001</v>
      </c>
    </row>
    <row r="36" spans="1:7" x14ac:dyDescent="0.3">
      <c r="A36" t="s">
        <v>82</v>
      </c>
      <c r="B36">
        <v>54.1</v>
      </c>
      <c r="C36">
        <v>54.2</v>
      </c>
      <c r="D36">
        <v>54.1</v>
      </c>
      <c r="E36">
        <v>52.8</v>
      </c>
      <c r="F36">
        <v>50.9</v>
      </c>
      <c r="G36">
        <v>48.1</v>
      </c>
    </row>
    <row r="37" spans="1:7" x14ac:dyDescent="0.3">
      <c r="A37" t="s">
        <v>83</v>
      </c>
      <c r="B37">
        <v>100</v>
      </c>
      <c r="C37">
        <v>99.3</v>
      </c>
      <c r="D37">
        <v>98.5</v>
      </c>
      <c r="E37">
        <v>97.5</v>
      </c>
      <c r="F37">
        <v>96.6</v>
      </c>
      <c r="G37">
        <v>95.7</v>
      </c>
    </row>
    <row r="38" spans="1:7" x14ac:dyDescent="0.3">
      <c r="A38" t="s">
        <v>84</v>
      </c>
      <c r="B38">
        <v>55.4</v>
      </c>
      <c r="C38">
        <v>54.8</v>
      </c>
      <c r="D38">
        <v>53.2</v>
      </c>
      <c r="E38">
        <v>52.2</v>
      </c>
      <c r="F38">
        <v>51.6</v>
      </c>
      <c r="G38">
        <v>52.9</v>
      </c>
    </row>
    <row r="39" spans="1:7" x14ac:dyDescent="0.3">
      <c r="A39" t="s">
        <v>85</v>
      </c>
      <c r="B39">
        <v>29</v>
      </c>
      <c r="C39">
        <v>31</v>
      </c>
      <c r="D39">
        <v>34</v>
      </c>
      <c r="E39">
        <v>36</v>
      </c>
      <c r="F39">
        <v>37</v>
      </c>
      <c r="G39">
        <v>39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S21"/>
  <sheetViews>
    <sheetView workbookViewId="0">
      <selection activeCell="R24" sqref="R24"/>
    </sheetView>
  </sheetViews>
  <sheetFormatPr defaultRowHeight="14.4" x14ac:dyDescent="0.3"/>
  <sheetData>
    <row r="1" spans="1:19" x14ac:dyDescent="0.3">
      <c r="A1" s="2" t="s">
        <v>112</v>
      </c>
      <c r="B1" s="1"/>
      <c r="C1" s="1"/>
      <c r="D1" s="1"/>
      <c r="E1" s="1"/>
      <c r="F1" s="1"/>
      <c r="G1" s="1"/>
      <c r="H1" s="1"/>
      <c r="I1" s="1"/>
      <c r="J1" s="1"/>
    </row>
    <row r="2" spans="1:19" s="3" customFormat="1" x14ac:dyDescent="0.3">
      <c r="A2" s="3" t="s">
        <v>93</v>
      </c>
      <c r="B2" s="34">
        <v>2026</v>
      </c>
      <c r="C2" s="34"/>
      <c r="D2" s="34"/>
      <c r="E2" s="34">
        <v>2031</v>
      </c>
      <c r="F2" s="34"/>
      <c r="G2" s="34"/>
      <c r="H2" s="34">
        <v>2036</v>
      </c>
      <c r="I2" s="34"/>
      <c r="J2" s="34"/>
      <c r="K2" s="37">
        <v>2041</v>
      </c>
      <c r="L2" s="37"/>
      <c r="M2" s="37"/>
      <c r="N2" s="37">
        <v>2046</v>
      </c>
      <c r="O2" s="37"/>
      <c r="P2" s="37"/>
      <c r="Q2" s="37">
        <v>2051</v>
      </c>
      <c r="R2" s="37"/>
      <c r="S2" s="37"/>
    </row>
    <row r="3" spans="1:19" s="3" customFormat="1" x14ac:dyDescent="0.3">
      <c r="B3" s="3" t="s">
        <v>16</v>
      </c>
      <c r="C3" s="3" t="s">
        <v>46</v>
      </c>
      <c r="D3" s="3" t="s">
        <v>91</v>
      </c>
      <c r="E3" s="3" t="s">
        <v>16</v>
      </c>
      <c r="F3" s="3" t="s">
        <v>46</v>
      </c>
      <c r="G3" s="3" t="s">
        <v>91</v>
      </c>
      <c r="H3" s="3" t="s">
        <v>16</v>
      </c>
      <c r="I3" s="3" t="s">
        <v>46</v>
      </c>
      <c r="J3" s="3" t="s">
        <v>91</v>
      </c>
      <c r="K3" s="3" t="s">
        <v>16</v>
      </c>
      <c r="L3" s="3" t="s">
        <v>46</v>
      </c>
      <c r="M3" s="3" t="s">
        <v>91</v>
      </c>
      <c r="N3" s="3" t="s">
        <v>16</v>
      </c>
      <c r="O3" s="3" t="s">
        <v>46</v>
      </c>
      <c r="P3" s="3" t="s">
        <v>91</v>
      </c>
      <c r="Q3" s="3" t="s">
        <v>16</v>
      </c>
      <c r="R3" s="3" t="s">
        <v>46</v>
      </c>
      <c r="S3" s="3" t="s">
        <v>91</v>
      </c>
    </row>
    <row r="4" spans="1:19" x14ac:dyDescent="0.3">
      <c r="A4" t="s">
        <v>94</v>
      </c>
      <c r="B4">
        <v>8.1</v>
      </c>
      <c r="C4">
        <v>7.95</v>
      </c>
      <c r="D4">
        <v>8.02</v>
      </c>
      <c r="E4">
        <v>7.2</v>
      </c>
      <c r="F4">
        <v>7.03</v>
      </c>
      <c r="G4">
        <v>7.11</v>
      </c>
      <c r="H4">
        <v>6.5</v>
      </c>
      <c r="I4">
        <v>6.3</v>
      </c>
      <c r="J4">
        <v>6.4</v>
      </c>
      <c r="K4">
        <v>6.12</v>
      </c>
      <c r="L4">
        <v>5.89</v>
      </c>
      <c r="M4">
        <v>6</v>
      </c>
      <c r="N4">
        <v>5.9</v>
      </c>
      <c r="O4">
        <v>5.62</v>
      </c>
      <c r="P4">
        <v>5.76</v>
      </c>
      <c r="Q4">
        <v>5.66</v>
      </c>
      <c r="R4">
        <v>5.35</v>
      </c>
      <c r="S4">
        <v>5.5</v>
      </c>
    </row>
    <row r="5" spans="1:19" x14ac:dyDescent="0.3">
      <c r="A5" t="s">
        <v>95</v>
      </c>
      <c r="B5">
        <v>8.49</v>
      </c>
      <c r="C5">
        <v>8.3000000000000007</v>
      </c>
      <c r="D5">
        <v>8.4</v>
      </c>
      <c r="E5">
        <v>7.68</v>
      </c>
      <c r="F5">
        <v>7.53</v>
      </c>
      <c r="G5">
        <v>7.6</v>
      </c>
      <c r="H5">
        <v>6.9</v>
      </c>
      <c r="I5">
        <v>6.74</v>
      </c>
      <c r="J5">
        <v>6.82</v>
      </c>
      <c r="K5">
        <v>6.29</v>
      </c>
      <c r="L5">
        <v>6.09</v>
      </c>
      <c r="M5">
        <v>6.19</v>
      </c>
      <c r="N5">
        <v>5.98</v>
      </c>
      <c r="O5">
        <v>5.73</v>
      </c>
      <c r="P5">
        <v>5.85</v>
      </c>
      <c r="Q5">
        <v>5.81</v>
      </c>
      <c r="R5">
        <v>5.51</v>
      </c>
      <c r="S5">
        <v>5.66</v>
      </c>
    </row>
    <row r="6" spans="1:19" x14ac:dyDescent="0.3">
      <c r="A6" t="s">
        <v>96</v>
      </c>
      <c r="B6">
        <v>8.7799999999999994</v>
      </c>
      <c r="C6">
        <v>8.5</v>
      </c>
      <c r="D6">
        <v>8.64</v>
      </c>
      <c r="E6">
        <v>8.19</v>
      </c>
      <c r="F6">
        <v>7.97</v>
      </c>
      <c r="G6">
        <v>8.08</v>
      </c>
      <c r="H6">
        <v>7.48</v>
      </c>
      <c r="I6">
        <v>7.29</v>
      </c>
      <c r="J6">
        <v>7.38</v>
      </c>
      <c r="K6">
        <v>6.78</v>
      </c>
      <c r="L6">
        <v>6.56</v>
      </c>
      <c r="M6">
        <v>6.67</v>
      </c>
      <c r="N6">
        <v>6.22</v>
      </c>
      <c r="O6">
        <v>5.97</v>
      </c>
      <c r="P6">
        <v>6.09</v>
      </c>
      <c r="Q6">
        <v>5.94</v>
      </c>
      <c r="R6">
        <v>5.65</v>
      </c>
      <c r="S6">
        <v>5.79</v>
      </c>
    </row>
    <row r="7" spans="1:19" x14ac:dyDescent="0.3">
      <c r="A7" t="s">
        <v>35</v>
      </c>
      <c r="B7">
        <v>8.1999999999999993</v>
      </c>
      <c r="C7">
        <v>8.01</v>
      </c>
      <c r="D7">
        <v>8.11</v>
      </c>
      <c r="E7">
        <v>8.4600000000000009</v>
      </c>
      <c r="F7">
        <v>8.15</v>
      </c>
      <c r="G7">
        <v>8.3000000000000007</v>
      </c>
      <c r="H7">
        <v>7.98</v>
      </c>
      <c r="I7">
        <v>7.71</v>
      </c>
      <c r="J7">
        <v>7.84</v>
      </c>
      <c r="K7">
        <v>7.34</v>
      </c>
      <c r="L7">
        <v>7.1</v>
      </c>
      <c r="M7">
        <v>7.22</v>
      </c>
      <c r="N7">
        <v>6.69</v>
      </c>
      <c r="O7">
        <v>6.43</v>
      </c>
      <c r="P7">
        <v>6.56</v>
      </c>
      <c r="Q7">
        <v>6.18</v>
      </c>
      <c r="R7">
        <v>5.89</v>
      </c>
      <c r="S7">
        <v>6.03</v>
      </c>
    </row>
    <row r="8" spans="1:19" x14ac:dyDescent="0.3">
      <c r="A8" t="s">
        <v>36</v>
      </c>
      <c r="B8">
        <v>9.0399999999999991</v>
      </c>
      <c r="C8">
        <v>8.77</v>
      </c>
      <c r="D8">
        <v>8.9</v>
      </c>
      <c r="E8">
        <v>7.88</v>
      </c>
      <c r="F8">
        <v>7.68</v>
      </c>
      <c r="G8">
        <v>7.78</v>
      </c>
      <c r="H8">
        <v>8.2200000000000006</v>
      </c>
      <c r="I8">
        <v>7.88</v>
      </c>
      <c r="J8">
        <v>8.0500000000000007</v>
      </c>
      <c r="K8">
        <v>7.81</v>
      </c>
      <c r="L8">
        <v>7.5</v>
      </c>
      <c r="M8">
        <v>7.65</v>
      </c>
      <c r="N8">
        <v>7.23</v>
      </c>
      <c r="O8">
        <v>6.96</v>
      </c>
      <c r="P8">
        <v>7.09</v>
      </c>
      <c r="Q8">
        <v>6.64</v>
      </c>
      <c r="R8">
        <v>6.34</v>
      </c>
      <c r="S8">
        <v>6.49</v>
      </c>
    </row>
    <row r="9" spans="1:19" x14ac:dyDescent="0.3">
      <c r="A9" t="s">
        <v>37</v>
      </c>
      <c r="B9">
        <v>9.36</v>
      </c>
      <c r="C9">
        <v>9.18</v>
      </c>
      <c r="D9">
        <v>9.27</v>
      </c>
      <c r="E9">
        <v>8.68</v>
      </c>
      <c r="F9">
        <v>8.39</v>
      </c>
      <c r="G9">
        <v>8.5299999999999994</v>
      </c>
      <c r="H9">
        <v>7.65</v>
      </c>
      <c r="I9">
        <v>7.42</v>
      </c>
      <c r="J9">
        <v>7.53</v>
      </c>
      <c r="K9">
        <v>8.0399999999999991</v>
      </c>
      <c r="L9">
        <v>7.66</v>
      </c>
      <c r="M9">
        <v>7.85</v>
      </c>
      <c r="N9">
        <v>7.69</v>
      </c>
      <c r="O9">
        <v>7.35</v>
      </c>
      <c r="P9">
        <v>7.52</v>
      </c>
      <c r="Q9">
        <v>7.17</v>
      </c>
      <c r="R9">
        <v>6.85</v>
      </c>
      <c r="S9">
        <v>7.01</v>
      </c>
    </row>
    <row r="10" spans="1:19" x14ac:dyDescent="0.3">
      <c r="A10" t="s">
        <v>38</v>
      </c>
      <c r="B10">
        <v>8.42</v>
      </c>
      <c r="C10">
        <v>8.23</v>
      </c>
      <c r="D10">
        <v>8.32</v>
      </c>
      <c r="E10">
        <v>8.98</v>
      </c>
      <c r="F10">
        <v>8.77</v>
      </c>
      <c r="G10">
        <v>8.8699999999999992</v>
      </c>
      <c r="H10">
        <v>8.41</v>
      </c>
      <c r="I10">
        <v>8.1</v>
      </c>
      <c r="J10">
        <v>8.25</v>
      </c>
      <c r="K10">
        <v>7.47</v>
      </c>
      <c r="L10">
        <v>7.21</v>
      </c>
      <c r="M10">
        <v>7.34</v>
      </c>
      <c r="N10">
        <v>7.9</v>
      </c>
      <c r="O10">
        <v>7.5</v>
      </c>
      <c r="P10">
        <v>7.7</v>
      </c>
      <c r="Q10">
        <v>7.62</v>
      </c>
      <c r="R10">
        <v>7.23</v>
      </c>
      <c r="S10">
        <v>7.42</v>
      </c>
    </row>
    <row r="11" spans="1:19" x14ac:dyDescent="0.3">
      <c r="A11" t="s">
        <v>39</v>
      </c>
      <c r="B11">
        <v>7.58</v>
      </c>
      <c r="C11">
        <v>7.66</v>
      </c>
      <c r="D11">
        <v>7.62</v>
      </c>
      <c r="E11">
        <v>8.0500000000000007</v>
      </c>
      <c r="F11">
        <v>7.86</v>
      </c>
      <c r="G11">
        <v>7.95</v>
      </c>
      <c r="H11">
        <v>8.67</v>
      </c>
      <c r="I11">
        <v>8.4600000000000009</v>
      </c>
      <c r="J11">
        <v>8.57</v>
      </c>
      <c r="K11">
        <v>8.19</v>
      </c>
      <c r="L11">
        <v>7.86</v>
      </c>
      <c r="M11">
        <v>8.02</v>
      </c>
      <c r="N11">
        <v>7.33</v>
      </c>
      <c r="O11">
        <v>7.04</v>
      </c>
      <c r="P11">
        <v>7.18</v>
      </c>
      <c r="Q11">
        <v>7.81</v>
      </c>
      <c r="R11">
        <v>7.37</v>
      </c>
      <c r="S11">
        <v>7.59</v>
      </c>
    </row>
    <row r="12" spans="1:19" x14ac:dyDescent="0.3">
      <c r="A12" t="s">
        <v>40</v>
      </c>
      <c r="B12">
        <v>6.61</v>
      </c>
      <c r="C12">
        <v>6.42</v>
      </c>
      <c r="D12">
        <v>6.52</v>
      </c>
      <c r="E12">
        <v>7.22</v>
      </c>
      <c r="F12">
        <v>7.3</v>
      </c>
      <c r="G12">
        <v>7.26</v>
      </c>
      <c r="H12">
        <v>7.75</v>
      </c>
      <c r="I12">
        <v>7.56</v>
      </c>
      <c r="J12">
        <v>7.65</v>
      </c>
      <c r="K12">
        <v>8.42</v>
      </c>
      <c r="L12">
        <v>8.19</v>
      </c>
      <c r="M12">
        <v>8.3000000000000007</v>
      </c>
      <c r="N12">
        <v>8.01</v>
      </c>
      <c r="O12">
        <v>7.67</v>
      </c>
      <c r="P12">
        <v>7.84</v>
      </c>
      <c r="Q12">
        <v>7.22</v>
      </c>
      <c r="R12">
        <v>6.92</v>
      </c>
      <c r="S12">
        <v>7.07</v>
      </c>
    </row>
    <row r="13" spans="1:19" x14ac:dyDescent="0.3">
      <c r="A13" t="s">
        <v>41</v>
      </c>
      <c r="B13">
        <v>5.58</v>
      </c>
      <c r="C13">
        <v>5.8</v>
      </c>
      <c r="D13">
        <v>5.69</v>
      </c>
      <c r="E13">
        <v>6.25</v>
      </c>
      <c r="F13">
        <v>6.1</v>
      </c>
      <c r="G13">
        <v>6.17</v>
      </c>
      <c r="H13">
        <v>6.9</v>
      </c>
      <c r="I13">
        <v>6.99</v>
      </c>
      <c r="J13">
        <v>6.95</v>
      </c>
      <c r="K13">
        <v>7.47</v>
      </c>
      <c r="L13">
        <v>7.29</v>
      </c>
      <c r="M13">
        <v>7.38</v>
      </c>
      <c r="N13">
        <v>8.18</v>
      </c>
      <c r="O13">
        <v>7.97</v>
      </c>
      <c r="P13">
        <v>8.07</v>
      </c>
      <c r="Q13">
        <v>7.84</v>
      </c>
      <c r="R13">
        <v>7.51</v>
      </c>
      <c r="S13">
        <v>7.67</v>
      </c>
    </row>
    <row r="14" spans="1:19" x14ac:dyDescent="0.3">
      <c r="A14" t="s">
        <v>97</v>
      </c>
      <c r="B14">
        <v>5.41</v>
      </c>
      <c r="C14">
        <v>5.54</v>
      </c>
      <c r="D14">
        <v>5.48</v>
      </c>
      <c r="E14">
        <v>5.21</v>
      </c>
      <c r="F14">
        <v>5.47</v>
      </c>
      <c r="G14">
        <v>5.34</v>
      </c>
      <c r="H14">
        <v>5.91</v>
      </c>
      <c r="I14">
        <v>5.81</v>
      </c>
      <c r="J14">
        <v>5.86</v>
      </c>
      <c r="K14">
        <v>6.58</v>
      </c>
      <c r="L14">
        <v>6.72</v>
      </c>
      <c r="M14">
        <v>6.65</v>
      </c>
      <c r="N14">
        <v>7.18</v>
      </c>
      <c r="O14">
        <v>7.06</v>
      </c>
      <c r="P14">
        <v>7.12</v>
      </c>
      <c r="Q14">
        <v>7.92</v>
      </c>
      <c r="R14">
        <v>7.77</v>
      </c>
      <c r="S14">
        <v>7.84</v>
      </c>
    </row>
    <row r="15" spans="1:19" x14ac:dyDescent="0.3">
      <c r="A15" t="s">
        <v>98</v>
      </c>
      <c r="B15">
        <v>4.6500000000000004</v>
      </c>
      <c r="C15">
        <v>4.7699999999999996</v>
      </c>
      <c r="D15">
        <v>4.71</v>
      </c>
      <c r="E15">
        <v>4.96</v>
      </c>
      <c r="F15">
        <v>5.18</v>
      </c>
      <c r="G15">
        <v>5.07</v>
      </c>
      <c r="H15">
        <v>4.84</v>
      </c>
      <c r="I15">
        <v>5.17</v>
      </c>
      <c r="J15">
        <v>5</v>
      </c>
      <c r="K15">
        <v>5.53</v>
      </c>
      <c r="L15">
        <v>5.54</v>
      </c>
      <c r="M15">
        <v>5.53</v>
      </c>
      <c r="N15">
        <v>6.21</v>
      </c>
      <c r="O15">
        <v>6.45</v>
      </c>
      <c r="P15">
        <v>6.33</v>
      </c>
      <c r="Q15">
        <v>6.84</v>
      </c>
      <c r="R15">
        <v>6.84</v>
      </c>
      <c r="S15">
        <v>6.84</v>
      </c>
    </row>
    <row r="16" spans="1:19" x14ac:dyDescent="0.3">
      <c r="A16" t="s">
        <v>99</v>
      </c>
      <c r="B16">
        <v>3.81</v>
      </c>
      <c r="C16">
        <v>3.78</v>
      </c>
      <c r="D16">
        <v>3.8</v>
      </c>
      <c r="E16">
        <v>4.1399999999999997</v>
      </c>
      <c r="F16">
        <v>4.38</v>
      </c>
      <c r="G16">
        <v>4.26</v>
      </c>
      <c r="H16">
        <v>4.47</v>
      </c>
      <c r="I16">
        <v>4.82</v>
      </c>
      <c r="J16">
        <v>4.6399999999999997</v>
      </c>
      <c r="K16">
        <v>4.41</v>
      </c>
      <c r="L16">
        <v>4.8600000000000003</v>
      </c>
      <c r="M16">
        <v>4.63</v>
      </c>
      <c r="N16">
        <v>5.09</v>
      </c>
      <c r="O16">
        <v>5.25</v>
      </c>
      <c r="P16">
        <v>5.17</v>
      </c>
      <c r="Q16">
        <v>5.76</v>
      </c>
      <c r="R16">
        <v>6.18</v>
      </c>
      <c r="S16">
        <v>5.98</v>
      </c>
    </row>
    <row r="17" spans="1:19" x14ac:dyDescent="0.3">
      <c r="A17" t="s">
        <v>100</v>
      </c>
      <c r="B17">
        <v>2.56</v>
      </c>
      <c r="C17">
        <v>2.67</v>
      </c>
      <c r="D17">
        <v>2.61</v>
      </c>
      <c r="E17">
        <v>3.24</v>
      </c>
      <c r="F17">
        <v>3.37</v>
      </c>
      <c r="G17">
        <v>3.31</v>
      </c>
      <c r="H17">
        <v>3.57</v>
      </c>
      <c r="I17">
        <v>3.96</v>
      </c>
      <c r="J17">
        <v>3.77</v>
      </c>
      <c r="K17">
        <v>3.9</v>
      </c>
      <c r="L17">
        <v>4.4000000000000004</v>
      </c>
      <c r="M17">
        <v>4.16</v>
      </c>
      <c r="N17">
        <v>3.89</v>
      </c>
      <c r="O17">
        <v>4.49</v>
      </c>
      <c r="P17">
        <v>4.1900000000000004</v>
      </c>
      <c r="Q17">
        <v>4.54</v>
      </c>
      <c r="R17">
        <v>4.92</v>
      </c>
      <c r="S17">
        <v>4.74</v>
      </c>
    </row>
    <row r="18" spans="1:19" x14ac:dyDescent="0.3">
      <c r="A18" t="s">
        <v>101</v>
      </c>
      <c r="B18">
        <v>1.66</v>
      </c>
      <c r="C18">
        <v>1.95</v>
      </c>
      <c r="D18">
        <v>1.81</v>
      </c>
      <c r="E18">
        <v>2.0099999999999998</v>
      </c>
      <c r="F18">
        <v>2.23</v>
      </c>
      <c r="G18">
        <v>2.12</v>
      </c>
      <c r="H18">
        <v>2.59</v>
      </c>
      <c r="I18">
        <v>2.86</v>
      </c>
      <c r="J18">
        <v>2.73</v>
      </c>
      <c r="K18">
        <v>2.89</v>
      </c>
      <c r="L18">
        <v>3.42</v>
      </c>
      <c r="M18">
        <v>3.16</v>
      </c>
      <c r="N18">
        <v>3.19</v>
      </c>
      <c r="O18">
        <v>3.86</v>
      </c>
      <c r="P18">
        <v>3.53</v>
      </c>
      <c r="Q18">
        <v>3.23</v>
      </c>
      <c r="R18">
        <v>4.01</v>
      </c>
      <c r="S18">
        <v>3.63</v>
      </c>
    </row>
    <row r="19" spans="1:19" x14ac:dyDescent="0.3">
      <c r="A19" t="s">
        <v>102</v>
      </c>
      <c r="B19">
        <v>1.1200000000000001</v>
      </c>
      <c r="C19">
        <v>1.52</v>
      </c>
      <c r="D19">
        <v>1.32</v>
      </c>
      <c r="E19">
        <v>1.1200000000000001</v>
      </c>
      <c r="F19">
        <v>1.43</v>
      </c>
      <c r="G19">
        <v>1.27</v>
      </c>
      <c r="H19">
        <v>1.38</v>
      </c>
      <c r="I19">
        <v>1.68</v>
      </c>
      <c r="J19">
        <v>1.53</v>
      </c>
      <c r="K19">
        <v>1.8</v>
      </c>
      <c r="L19">
        <v>2.2200000000000002</v>
      </c>
      <c r="M19">
        <v>2.0099999999999998</v>
      </c>
      <c r="N19">
        <v>2.04</v>
      </c>
      <c r="O19">
        <v>2.7</v>
      </c>
      <c r="P19">
        <v>2.38</v>
      </c>
      <c r="Q19">
        <v>2.2999999999999998</v>
      </c>
      <c r="R19">
        <v>3.13</v>
      </c>
      <c r="S19">
        <v>2.72</v>
      </c>
    </row>
    <row r="20" spans="1:19" x14ac:dyDescent="0.3">
      <c r="A20" t="s">
        <v>103</v>
      </c>
      <c r="B20">
        <v>0.63</v>
      </c>
      <c r="C20">
        <v>0.96</v>
      </c>
      <c r="D20">
        <v>0.79</v>
      </c>
      <c r="E20">
        <v>0.75</v>
      </c>
      <c r="F20">
        <v>1.18</v>
      </c>
      <c r="G20">
        <v>0.96</v>
      </c>
      <c r="H20">
        <v>0.8</v>
      </c>
      <c r="I20">
        <v>1.26</v>
      </c>
      <c r="J20">
        <v>1.03</v>
      </c>
      <c r="K20">
        <v>0.97</v>
      </c>
      <c r="L20">
        <v>1.49</v>
      </c>
      <c r="M20">
        <v>1.23</v>
      </c>
      <c r="N20">
        <v>1.26</v>
      </c>
      <c r="O20">
        <v>1.95</v>
      </c>
      <c r="P20">
        <v>1.61</v>
      </c>
      <c r="Q20">
        <v>1.52</v>
      </c>
      <c r="R20">
        <v>2.52</v>
      </c>
      <c r="S20">
        <v>2.0299999999999998</v>
      </c>
    </row>
    <row r="21" spans="1:19" x14ac:dyDescent="0.3">
      <c r="A21" t="s">
        <v>73</v>
      </c>
      <c r="B21" s="5">
        <v>100</v>
      </c>
      <c r="C21" s="5">
        <v>100</v>
      </c>
      <c r="D21" s="5">
        <v>100</v>
      </c>
      <c r="E21" s="5">
        <v>100</v>
      </c>
      <c r="F21" s="5">
        <v>100</v>
      </c>
      <c r="G21" s="5">
        <v>100</v>
      </c>
      <c r="H21" s="5">
        <v>100</v>
      </c>
      <c r="I21" s="5">
        <v>100</v>
      </c>
      <c r="J21" s="5">
        <v>100</v>
      </c>
      <c r="K21" s="5">
        <v>100</v>
      </c>
      <c r="L21" s="5">
        <v>100</v>
      </c>
      <c r="M21" s="5">
        <v>100</v>
      </c>
      <c r="N21" s="5">
        <v>100</v>
      </c>
      <c r="O21" s="5">
        <v>100</v>
      </c>
      <c r="P21" s="5">
        <v>100</v>
      </c>
      <c r="Q21" s="5">
        <v>100</v>
      </c>
      <c r="R21" s="5">
        <v>100</v>
      </c>
      <c r="S21" s="5">
        <v>100</v>
      </c>
    </row>
  </sheetData>
  <mergeCells count="6">
    <mergeCell ref="Q2:S2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39"/>
  <sheetViews>
    <sheetView topLeftCell="A15" workbookViewId="0">
      <selection activeCell="B2" sqref="B2:G39"/>
    </sheetView>
  </sheetViews>
  <sheetFormatPr defaultRowHeight="14.4" x14ac:dyDescent="0.3"/>
  <cols>
    <col min="1" max="1" width="33.33203125" customWidth="1"/>
  </cols>
  <sheetData>
    <row r="1" spans="1:7" x14ac:dyDescent="0.3">
      <c r="A1" s="2" t="s">
        <v>113</v>
      </c>
      <c r="B1" s="1"/>
      <c r="C1" s="1"/>
      <c r="D1" s="1"/>
      <c r="E1" s="1"/>
      <c r="F1" s="1"/>
      <c r="G1" s="1"/>
    </row>
    <row r="2" spans="1:7" x14ac:dyDescent="0.3">
      <c r="A2" t="s">
        <v>52</v>
      </c>
      <c r="B2">
        <v>2026</v>
      </c>
      <c r="C2">
        <v>2031</v>
      </c>
      <c r="D2">
        <v>2036</v>
      </c>
      <c r="E2">
        <v>2041</v>
      </c>
      <c r="F2">
        <v>2046</v>
      </c>
      <c r="G2">
        <v>2051</v>
      </c>
    </row>
    <row r="3" spans="1:7" x14ac:dyDescent="0.3">
      <c r="A3" t="s">
        <v>53</v>
      </c>
    </row>
    <row r="4" spans="1:7" x14ac:dyDescent="0.3">
      <c r="A4" t="s">
        <v>54</v>
      </c>
      <c r="B4">
        <v>1.41</v>
      </c>
      <c r="C4">
        <v>1.4</v>
      </c>
      <c r="D4">
        <v>1.4</v>
      </c>
      <c r="E4">
        <v>1.4</v>
      </c>
      <c r="F4">
        <v>1.4</v>
      </c>
      <c r="G4">
        <v>1.4</v>
      </c>
    </row>
    <row r="5" spans="1:7" x14ac:dyDescent="0.3">
      <c r="A5" t="s">
        <v>55</v>
      </c>
      <c r="B5">
        <v>0.66</v>
      </c>
      <c r="C5">
        <v>0.66</v>
      </c>
      <c r="D5">
        <v>0.66</v>
      </c>
      <c r="E5">
        <v>0.67</v>
      </c>
      <c r="F5">
        <v>0.67</v>
      </c>
      <c r="G5">
        <v>0.67</v>
      </c>
    </row>
    <row r="6" spans="1:7" x14ac:dyDescent="0.3">
      <c r="A6" t="s">
        <v>56</v>
      </c>
      <c r="B6">
        <v>0.65</v>
      </c>
      <c r="C6">
        <v>0.65</v>
      </c>
      <c r="D6">
        <v>0.65</v>
      </c>
      <c r="E6">
        <v>0.66</v>
      </c>
      <c r="F6">
        <v>0.66</v>
      </c>
      <c r="G6">
        <v>0.66</v>
      </c>
    </row>
    <row r="7" spans="1:7" x14ac:dyDescent="0.3">
      <c r="A7" t="s">
        <v>57</v>
      </c>
      <c r="B7">
        <v>26.9</v>
      </c>
      <c r="C7">
        <v>26.9</v>
      </c>
      <c r="D7">
        <v>27</v>
      </c>
      <c r="E7">
        <v>27</v>
      </c>
      <c r="F7">
        <v>27.1</v>
      </c>
      <c r="G7">
        <v>27.1</v>
      </c>
    </row>
    <row r="8" spans="1:7" x14ac:dyDescent="0.3">
      <c r="A8" t="s">
        <v>58</v>
      </c>
      <c r="B8">
        <v>0.2</v>
      </c>
      <c r="C8">
        <v>0.19</v>
      </c>
      <c r="D8">
        <v>0.19</v>
      </c>
      <c r="E8">
        <v>0.19</v>
      </c>
      <c r="F8">
        <v>0.18</v>
      </c>
      <c r="G8">
        <v>0.18</v>
      </c>
    </row>
    <row r="9" spans="1:7" x14ac:dyDescent="0.3">
      <c r="A9" t="s">
        <v>59</v>
      </c>
    </row>
    <row r="10" spans="1:7" x14ac:dyDescent="0.3">
      <c r="A10" t="s">
        <v>60</v>
      </c>
      <c r="B10">
        <v>72.400000000000006</v>
      </c>
      <c r="C10">
        <v>74.2</v>
      </c>
      <c r="D10">
        <v>75.8</v>
      </c>
      <c r="E10">
        <v>77.2</v>
      </c>
      <c r="F10">
        <v>78.7</v>
      </c>
      <c r="G10">
        <v>80.2</v>
      </c>
    </row>
    <row r="11" spans="1:7" x14ac:dyDescent="0.3">
      <c r="A11" t="s">
        <v>61</v>
      </c>
      <c r="B11">
        <v>76.8</v>
      </c>
      <c r="C11">
        <v>78.900000000000006</v>
      </c>
      <c r="D11">
        <v>80.599999999999994</v>
      </c>
      <c r="E11">
        <v>82.1</v>
      </c>
      <c r="F11">
        <v>82.4</v>
      </c>
      <c r="G11">
        <v>85</v>
      </c>
    </row>
    <row r="12" spans="1:7" x14ac:dyDescent="0.3">
      <c r="A12" t="s">
        <v>62</v>
      </c>
      <c r="B12">
        <v>74.5</v>
      </c>
      <c r="C12">
        <v>76.400000000000006</v>
      </c>
      <c r="D12">
        <v>78.099999999999994</v>
      </c>
      <c r="E12">
        <v>79.5</v>
      </c>
      <c r="F12">
        <v>80.5</v>
      </c>
      <c r="G12">
        <v>82.5</v>
      </c>
    </row>
    <row r="13" spans="1:7" x14ac:dyDescent="0.3">
      <c r="A13" t="s">
        <v>63</v>
      </c>
      <c r="B13">
        <v>16.899999999999999</v>
      </c>
      <c r="C13">
        <v>13.1</v>
      </c>
      <c r="D13">
        <v>10.5</v>
      </c>
      <c r="E13">
        <v>9</v>
      </c>
      <c r="F13">
        <v>8</v>
      </c>
      <c r="G13">
        <v>6.3</v>
      </c>
    </row>
    <row r="14" spans="1:7" x14ac:dyDescent="0.3">
      <c r="A14" t="s">
        <v>64</v>
      </c>
      <c r="B14">
        <v>19.7</v>
      </c>
      <c r="C14">
        <v>15</v>
      </c>
      <c r="D14">
        <v>12.1</v>
      </c>
      <c r="E14">
        <v>10.4</v>
      </c>
      <c r="F14">
        <v>9.1999999999999993</v>
      </c>
      <c r="G14">
        <v>7.3</v>
      </c>
    </row>
    <row r="15" spans="1:7" x14ac:dyDescent="0.3">
      <c r="A15" t="s">
        <v>108</v>
      </c>
    </row>
    <row r="16" spans="1:7" x14ac:dyDescent="0.3">
      <c r="A16" t="s">
        <v>74</v>
      </c>
      <c r="B16">
        <v>8933</v>
      </c>
      <c r="C16">
        <v>8734</v>
      </c>
      <c r="D16">
        <v>8653</v>
      </c>
      <c r="E16">
        <v>8621</v>
      </c>
      <c r="F16">
        <v>8607</v>
      </c>
      <c r="G16">
        <v>8601</v>
      </c>
    </row>
    <row r="17" spans="1:7" x14ac:dyDescent="0.3">
      <c r="A17" t="s">
        <v>75</v>
      </c>
      <c r="B17">
        <v>12866</v>
      </c>
      <c r="C17">
        <v>12763</v>
      </c>
      <c r="D17">
        <v>12710</v>
      </c>
      <c r="E17">
        <v>12682</v>
      </c>
      <c r="F17">
        <v>12668</v>
      </c>
      <c r="G17">
        <v>12661</v>
      </c>
    </row>
    <row r="18" spans="1:7" x14ac:dyDescent="0.3">
      <c r="A18" t="s">
        <v>73</v>
      </c>
      <c r="B18">
        <v>21799</v>
      </c>
      <c r="C18">
        <v>21497</v>
      </c>
      <c r="D18">
        <v>21363</v>
      </c>
      <c r="E18">
        <v>21303</v>
      </c>
      <c r="F18">
        <v>21275</v>
      </c>
      <c r="G18">
        <v>21262</v>
      </c>
    </row>
    <row r="19" spans="1:7" x14ac:dyDescent="0.3">
      <c r="A19" t="s">
        <v>65</v>
      </c>
    </row>
    <row r="20" spans="1:7" x14ac:dyDescent="0.3">
      <c r="A20" t="s">
        <v>66</v>
      </c>
      <c r="B20">
        <v>10.9</v>
      </c>
      <c r="C20">
        <v>10</v>
      </c>
      <c r="D20">
        <v>9.1</v>
      </c>
      <c r="E20">
        <v>8.1999999999999993</v>
      </c>
      <c r="F20">
        <v>7.5</v>
      </c>
      <c r="G20">
        <v>7</v>
      </c>
    </row>
    <row r="21" spans="1:7" x14ac:dyDescent="0.3">
      <c r="A21" t="s">
        <v>67</v>
      </c>
      <c r="B21">
        <v>6</v>
      </c>
      <c r="C21">
        <v>6.4</v>
      </c>
      <c r="D21">
        <v>6.7</v>
      </c>
      <c r="E21">
        <v>7.4</v>
      </c>
      <c r="F21">
        <v>8.5</v>
      </c>
      <c r="G21">
        <v>9</v>
      </c>
    </row>
    <row r="22" spans="1:7" x14ac:dyDescent="0.3">
      <c r="A22" t="s">
        <v>68</v>
      </c>
      <c r="B22">
        <v>0.49</v>
      </c>
      <c r="C22">
        <v>0.36</v>
      </c>
      <c r="D22">
        <v>0.24</v>
      </c>
      <c r="E22">
        <v>0.09</v>
      </c>
      <c r="F22">
        <v>-0.1</v>
      </c>
      <c r="G22">
        <v>-0.2</v>
      </c>
    </row>
    <row r="23" spans="1:7" x14ac:dyDescent="0.3">
      <c r="A23" t="s">
        <v>69</v>
      </c>
    </row>
    <row r="24" spans="1:7" x14ac:dyDescent="0.3">
      <c r="A24" t="s">
        <v>70</v>
      </c>
      <c r="B24">
        <v>0.21</v>
      </c>
      <c r="C24">
        <v>0.2</v>
      </c>
      <c r="D24">
        <v>0.18</v>
      </c>
      <c r="E24">
        <v>0.17</v>
      </c>
      <c r="F24">
        <v>0.15</v>
      </c>
      <c r="G24">
        <v>0.14000000000000001</v>
      </c>
    </row>
    <row r="25" spans="1:7" x14ac:dyDescent="0.3">
      <c r="A25" t="s">
        <v>71</v>
      </c>
      <c r="B25">
        <v>0.12</v>
      </c>
      <c r="C25">
        <v>0.13</v>
      </c>
      <c r="D25">
        <v>0.14000000000000001</v>
      </c>
      <c r="E25">
        <v>0.15</v>
      </c>
      <c r="F25">
        <v>0.17</v>
      </c>
      <c r="G25">
        <v>0.18</v>
      </c>
    </row>
    <row r="26" spans="1:7" x14ac:dyDescent="0.3">
      <c r="A26" t="s">
        <v>72</v>
      </c>
    </row>
    <row r="27" spans="1:7" x14ac:dyDescent="0.3">
      <c r="A27" t="s">
        <v>73</v>
      </c>
      <c r="B27">
        <v>19.3</v>
      </c>
      <c r="C27">
        <v>19.8</v>
      </c>
      <c r="D27">
        <v>20.2</v>
      </c>
      <c r="E27">
        <v>20.5</v>
      </c>
      <c r="F27">
        <v>20.5</v>
      </c>
      <c r="G27">
        <v>20.5</v>
      </c>
    </row>
    <row r="28" spans="1:7" x14ac:dyDescent="0.3">
      <c r="A28" t="s">
        <v>74</v>
      </c>
      <c r="B28">
        <v>10.199999999999999</v>
      </c>
      <c r="C28">
        <v>10.4</v>
      </c>
      <c r="D28">
        <v>10.6</v>
      </c>
      <c r="E28">
        <v>10.7</v>
      </c>
      <c r="F28">
        <v>10.7</v>
      </c>
      <c r="G28">
        <v>10.6</v>
      </c>
    </row>
    <row r="29" spans="1:7" x14ac:dyDescent="0.3">
      <c r="A29" t="s">
        <v>75</v>
      </c>
      <c r="B29">
        <v>9.1</v>
      </c>
      <c r="C29">
        <v>9.4</v>
      </c>
      <c r="D29">
        <v>9.6</v>
      </c>
      <c r="E29">
        <v>9.8000000000000007</v>
      </c>
      <c r="F29">
        <v>9.9</v>
      </c>
      <c r="G29">
        <v>9.9</v>
      </c>
    </row>
    <row r="30" spans="1:7" x14ac:dyDescent="0.3">
      <c r="A30" t="s">
        <v>76</v>
      </c>
      <c r="B30">
        <v>5.4</v>
      </c>
      <c r="C30">
        <v>5</v>
      </c>
      <c r="D30">
        <v>4.5999999999999996</v>
      </c>
      <c r="E30">
        <v>4.2</v>
      </c>
      <c r="F30">
        <v>3.9</v>
      </c>
      <c r="G30">
        <v>3.6</v>
      </c>
    </row>
    <row r="31" spans="1:7" x14ac:dyDescent="0.3">
      <c r="A31" t="s">
        <v>77</v>
      </c>
      <c r="B31">
        <v>12.4</v>
      </c>
      <c r="C31">
        <v>10.9</v>
      </c>
      <c r="D31">
        <v>10.1</v>
      </c>
      <c r="E31">
        <v>9.5</v>
      </c>
      <c r="F31">
        <v>8.8000000000000007</v>
      </c>
      <c r="G31">
        <v>8.1</v>
      </c>
    </row>
    <row r="32" spans="1:7" x14ac:dyDescent="0.3">
      <c r="A32" t="s">
        <v>78</v>
      </c>
      <c r="B32">
        <v>15.2</v>
      </c>
      <c r="C32">
        <v>13.5</v>
      </c>
      <c r="D32">
        <v>11.9</v>
      </c>
      <c r="E32">
        <v>10.6</v>
      </c>
      <c r="F32">
        <v>10</v>
      </c>
      <c r="G32">
        <v>9.5</v>
      </c>
    </row>
    <row r="33" spans="1:7" x14ac:dyDescent="0.3">
      <c r="A33" t="s">
        <v>79</v>
      </c>
      <c r="B33">
        <v>58</v>
      </c>
      <c r="C33">
        <v>55.8</v>
      </c>
      <c r="D33">
        <v>52</v>
      </c>
      <c r="E33">
        <v>48</v>
      </c>
      <c r="F33">
        <v>44.6</v>
      </c>
      <c r="G33">
        <v>41.4</v>
      </c>
    </row>
    <row r="34" spans="1:7" x14ac:dyDescent="0.3">
      <c r="A34" t="s">
        <v>114</v>
      </c>
      <c r="B34">
        <v>70</v>
      </c>
      <c r="C34">
        <v>69</v>
      </c>
      <c r="D34">
        <v>66.5</v>
      </c>
      <c r="E34">
        <v>64.099999999999994</v>
      </c>
      <c r="F34">
        <v>61</v>
      </c>
      <c r="G34">
        <v>57.5</v>
      </c>
    </row>
    <row r="35" spans="1:7" x14ac:dyDescent="0.3">
      <c r="A35" t="s">
        <v>81</v>
      </c>
      <c r="B35">
        <v>11.9</v>
      </c>
      <c r="C35">
        <v>14.6</v>
      </c>
      <c r="D35">
        <v>18.100000000000001</v>
      </c>
      <c r="E35">
        <v>21.7</v>
      </c>
      <c r="F35">
        <v>26.1</v>
      </c>
      <c r="G35">
        <v>30.7</v>
      </c>
    </row>
    <row r="36" spans="1:7" x14ac:dyDescent="0.3">
      <c r="A36" t="s">
        <v>82</v>
      </c>
      <c r="B36">
        <v>57.2</v>
      </c>
      <c r="C36">
        <v>54.8</v>
      </c>
      <c r="D36">
        <v>50.8</v>
      </c>
      <c r="E36">
        <v>46.7</v>
      </c>
      <c r="F36">
        <v>43.7</v>
      </c>
      <c r="G36">
        <v>40.5</v>
      </c>
    </row>
    <row r="37" spans="1:7" x14ac:dyDescent="0.3">
      <c r="A37" t="s">
        <v>83</v>
      </c>
      <c r="B37">
        <v>112.7</v>
      </c>
      <c r="C37">
        <v>111.6</v>
      </c>
      <c r="D37">
        <v>110.4</v>
      </c>
      <c r="E37">
        <v>109.2</v>
      </c>
      <c r="F37">
        <v>108.3</v>
      </c>
      <c r="G37">
        <v>107.3</v>
      </c>
    </row>
    <row r="38" spans="1:7" x14ac:dyDescent="0.3">
      <c r="A38" t="s">
        <v>84</v>
      </c>
      <c r="B38">
        <v>42.7</v>
      </c>
      <c r="C38">
        <v>42.4</v>
      </c>
      <c r="D38">
        <v>44</v>
      </c>
      <c r="E38">
        <v>48.9</v>
      </c>
      <c r="F38">
        <v>54.8</v>
      </c>
      <c r="G38">
        <v>63.2</v>
      </c>
    </row>
    <row r="39" spans="1:7" x14ac:dyDescent="0.3">
      <c r="A39" t="s">
        <v>85</v>
      </c>
      <c r="B39">
        <v>35</v>
      </c>
      <c r="C39">
        <v>38</v>
      </c>
      <c r="D39">
        <v>40</v>
      </c>
      <c r="E39">
        <v>43</v>
      </c>
      <c r="F39">
        <v>46</v>
      </c>
      <c r="G39">
        <v>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S21"/>
  <sheetViews>
    <sheetView workbookViewId="0">
      <selection activeCell="B2" sqref="B2:S2"/>
    </sheetView>
  </sheetViews>
  <sheetFormatPr defaultRowHeight="14.4" x14ac:dyDescent="0.3"/>
  <sheetData>
    <row r="1" spans="1:19" x14ac:dyDescent="0.3">
      <c r="A1" s="2" t="s">
        <v>115</v>
      </c>
      <c r="B1" s="1"/>
      <c r="C1" s="1"/>
      <c r="D1" s="1"/>
      <c r="E1" s="1"/>
      <c r="F1" s="1"/>
      <c r="G1" s="1"/>
      <c r="H1" s="1"/>
      <c r="I1" s="1"/>
      <c r="J1" s="1"/>
    </row>
    <row r="2" spans="1:19" s="3" customFormat="1" x14ac:dyDescent="0.3">
      <c r="A2" s="3" t="s">
        <v>93</v>
      </c>
      <c r="B2" s="34">
        <v>2026</v>
      </c>
      <c r="C2" s="34"/>
      <c r="D2" s="34"/>
      <c r="E2" s="34">
        <v>2031</v>
      </c>
      <c r="F2" s="34"/>
      <c r="G2" s="34"/>
      <c r="H2" s="34">
        <v>2036</v>
      </c>
      <c r="I2" s="34"/>
      <c r="J2" s="34"/>
      <c r="K2" s="37">
        <v>2041</v>
      </c>
      <c r="L2" s="37"/>
      <c r="M2" s="37"/>
      <c r="N2" s="37">
        <v>2046</v>
      </c>
      <c r="O2" s="37"/>
      <c r="P2" s="37"/>
      <c r="Q2" s="37">
        <v>2051</v>
      </c>
      <c r="R2" s="37"/>
      <c r="S2" s="37"/>
    </row>
    <row r="3" spans="1:19" s="3" customFormat="1" x14ac:dyDescent="0.3">
      <c r="B3" s="3" t="s">
        <v>16</v>
      </c>
      <c r="C3" s="3" t="s">
        <v>46</v>
      </c>
      <c r="D3" s="3" t="s">
        <v>91</v>
      </c>
      <c r="E3" s="3" t="s">
        <v>16</v>
      </c>
      <c r="F3" s="3" t="s">
        <v>46</v>
      </c>
      <c r="G3" s="3" t="s">
        <v>91</v>
      </c>
      <c r="H3" s="3" t="s">
        <v>16</v>
      </c>
      <c r="I3" s="3" t="s">
        <v>46</v>
      </c>
      <c r="J3" s="3" t="s">
        <v>91</v>
      </c>
      <c r="K3" s="3" t="s">
        <v>16</v>
      </c>
      <c r="L3" s="3" t="s">
        <v>46</v>
      </c>
      <c r="M3" s="3" t="s">
        <v>91</v>
      </c>
      <c r="N3" s="3" t="s">
        <v>16</v>
      </c>
      <c r="O3" s="3" t="s">
        <v>46</v>
      </c>
      <c r="P3" s="3" t="s">
        <v>91</v>
      </c>
      <c r="Q3" s="3" t="s">
        <v>16</v>
      </c>
      <c r="R3" s="3" t="s">
        <v>46</v>
      </c>
      <c r="S3" s="3" t="s">
        <v>91</v>
      </c>
    </row>
    <row r="4" spans="1:19" x14ac:dyDescent="0.3">
      <c r="A4" t="s">
        <v>94</v>
      </c>
      <c r="B4">
        <v>5.42</v>
      </c>
      <c r="C4">
        <v>5.47</v>
      </c>
      <c r="D4">
        <v>5.44</v>
      </c>
      <c r="E4">
        <v>5.03</v>
      </c>
      <c r="F4">
        <v>5.04</v>
      </c>
      <c r="G4">
        <v>5.04</v>
      </c>
      <c r="H4">
        <v>4.6500000000000004</v>
      </c>
      <c r="I4">
        <v>4.63</v>
      </c>
      <c r="J4">
        <v>4.6399999999999997</v>
      </c>
      <c r="K4">
        <v>4.24</v>
      </c>
      <c r="L4">
        <v>4.2</v>
      </c>
      <c r="M4">
        <v>4.22</v>
      </c>
      <c r="N4">
        <v>3.87</v>
      </c>
      <c r="O4">
        <v>3.82</v>
      </c>
      <c r="P4">
        <v>3.85</v>
      </c>
      <c r="Q4">
        <v>3.59</v>
      </c>
      <c r="R4">
        <v>3.53</v>
      </c>
      <c r="S4">
        <v>3.56</v>
      </c>
    </row>
    <row r="5" spans="1:19" x14ac:dyDescent="0.3">
      <c r="A5" t="s">
        <v>95</v>
      </c>
      <c r="B5">
        <v>5.71</v>
      </c>
      <c r="C5">
        <v>5.72</v>
      </c>
      <c r="D5">
        <v>5.72</v>
      </c>
      <c r="E5">
        <v>5.3</v>
      </c>
      <c r="F5">
        <v>5.29</v>
      </c>
      <c r="G5">
        <v>5.29</v>
      </c>
      <c r="H5">
        <v>4.95</v>
      </c>
      <c r="I5">
        <v>4.91</v>
      </c>
      <c r="J5">
        <v>4.93</v>
      </c>
      <c r="K5">
        <v>4.6100000000000003</v>
      </c>
      <c r="L5">
        <v>4.54</v>
      </c>
      <c r="M5">
        <v>4.58</v>
      </c>
      <c r="N5">
        <v>4.24</v>
      </c>
      <c r="O5">
        <v>4.16</v>
      </c>
      <c r="P5">
        <v>4.21</v>
      </c>
      <c r="Q5">
        <v>3.9</v>
      </c>
      <c r="R5">
        <v>3.81</v>
      </c>
      <c r="S5">
        <v>3.86</v>
      </c>
    </row>
    <row r="6" spans="1:19" x14ac:dyDescent="0.3">
      <c r="A6" t="s">
        <v>96</v>
      </c>
      <c r="B6">
        <v>6.72</v>
      </c>
      <c r="C6">
        <v>6.68</v>
      </c>
      <c r="D6">
        <v>6.7</v>
      </c>
      <c r="E6">
        <v>5.59</v>
      </c>
      <c r="F6">
        <v>5.56</v>
      </c>
      <c r="G6">
        <v>5.57</v>
      </c>
      <c r="H6">
        <v>5.22</v>
      </c>
      <c r="I6">
        <v>5.17</v>
      </c>
      <c r="J6">
        <v>5.2</v>
      </c>
      <c r="K6">
        <v>4.92</v>
      </c>
      <c r="L6">
        <v>4.83</v>
      </c>
      <c r="M6">
        <v>4.88</v>
      </c>
      <c r="N6">
        <v>4.62</v>
      </c>
      <c r="O6">
        <v>4.51</v>
      </c>
      <c r="P6">
        <v>4.57</v>
      </c>
      <c r="Q6">
        <v>4.28</v>
      </c>
      <c r="R6">
        <v>4.17</v>
      </c>
      <c r="S6">
        <v>4.2300000000000004</v>
      </c>
    </row>
    <row r="7" spans="1:19" x14ac:dyDescent="0.3">
      <c r="A7" t="s">
        <v>35</v>
      </c>
      <c r="B7">
        <v>7.18</v>
      </c>
      <c r="C7">
        <v>7.14</v>
      </c>
      <c r="D7">
        <v>7.16</v>
      </c>
      <c r="E7">
        <v>6.58</v>
      </c>
      <c r="F7">
        <v>6.49</v>
      </c>
      <c r="G7">
        <v>6.54</v>
      </c>
      <c r="H7">
        <v>5.52</v>
      </c>
      <c r="I7">
        <v>5.43</v>
      </c>
      <c r="J7">
        <v>5.47</v>
      </c>
      <c r="K7">
        <v>5.19</v>
      </c>
      <c r="L7">
        <v>5.09</v>
      </c>
      <c r="M7">
        <v>5.14</v>
      </c>
      <c r="N7">
        <v>4.93</v>
      </c>
      <c r="O7">
        <v>4.8099999999999996</v>
      </c>
      <c r="P7">
        <v>4.87</v>
      </c>
      <c r="Q7">
        <v>4.67</v>
      </c>
      <c r="R7">
        <v>4.5199999999999996</v>
      </c>
      <c r="S7">
        <v>4.5999999999999996</v>
      </c>
    </row>
    <row r="8" spans="1:19" x14ac:dyDescent="0.3">
      <c r="A8" t="s">
        <v>36</v>
      </c>
      <c r="B8">
        <v>8.1300000000000008</v>
      </c>
      <c r="C8">
        <v>7.83</v>
      </c>
      <c r="D8">
        <v>7.99</v>
      </c>
      <c r="E8">
        <v>7.04</v>
      </c>
      <c r="F8">
        <v>6.94</v>
      </c>
      <c r="G8">
        <v>6.99</v>
      </c>
      <c r="H8">
        <v>6.5</v>
      </c>
      <c r="I8">
        <v>6.35</v>
      </c>
      <c r="J8">
        <v>6.43</v>
      </c>
      <c r="K8">
        <v>5.49</v>
      </c>
      <c r="L8">
        <v>5.36</v>
      </c>
      <c r="M8">
        <v>5.43</v>
      </c>
      <c r="N8">
        <v>5.22</v>
      </c>
      <c r="O8">
        <v>5.07</v>
      </c>
      <c r="P8">
        <v>5.15</v>
      </c>
      <c r="Q8">
        <v>5</v>
      </c>
      <c r="R8">
        <v>4.82</v>
      </c>
      <c r="S8">
        <v>4.91</v>
      </c>
    </row>
    <row r="9" spans="1:19" x14ac:dyDescent="0.3">
      <c r="A9" t="s">
        <v>37</v>
      </c>
      <c r="B9">
        <v>8.7899999999999991</v>
      </c>
      <c r="C9">
        <v>8.3800000000000008</v>
      </c>
      <c r="D9">
        <v>8.6</v>
      </c>
      <c r="E9">
        <v>7.97</v>
      </c>
      <c r="F9">
        <v>7.64</v>
      </c>
      <c r="G9">
        <v>7.82</v>
      </c>
      <c r="H9">
        <v>6.96</v>
      </c>
      <c r="I9">
        <v>6.82</v>
      </c>
      <c r="J9">
        <v>6.89</v>
      </c>
      <c r="K9">
        <v>6.47</v>
      </c>
      <c r="L9">
        <v>6.29</v>
      </c>
      <c r="M9">
        <v>6.38</v>
      </c>
      <c r="N9">
        <v>5.53</v>
      </c>
      <c r="O9">
        <v>5.37</v>
      </c>
      <c r="P9">
        <v>5.45</v>
      </c>
      <c r="Q9">
        <v>5.29</v>
      </c>
      <c r="R9">
        <v>5.12</v>
      </c>
      <c r="S9">
        <v>5.21</v>
      </c>
    </row>
    <row r="10" spans="1:19" x14ac:dyDescent="0.3">
      <c r="A10" t="s">
        <v>38</v>
      </c>
      <c r="B10">
        <v>9.1</v>
      </c>
      <c r="C10">
        <v>8.32</v>
      </c>
      <c r="D10">
        <v>8.73</v>
      </c>
      <c r="E10">
        <v>8.6199999999999992</v>
      </c>
      <c r="F10">
        <v>8.18</v>
      </c>
      <c r="G10">
        <v>8.41</v>
      </c>
      <c r="H10">
        <v>7.88</v>
      </c>
      <c r="I10">
        <v>7.51</v>
      </c>
      <c r="J10">
        <v>7.7</v>
      </c>
      <c r="K10">
        <v>6.93</v>
      </c>
      <c r="L10">
        <v>6.77</v>
      </c>
      <c r="M10">
        <v>6.85</v>
      </c>
      <c r="N10">
        <v>6.51</v>
      </c>
      <c r="O10">
        <v>6.3</v>
      </c>
      <c r="P10">
        <v>6.41</v>
      </c>
      <c r="Q10">
        <v>5.6</v>
      </c>
      <c r="R10">
        <v>5.43</v>
      </c>
      <c r="S10">
        <v>5.52</v>
      </c>
    </row>
    <row r="11" spans="1:19" x14ac:dyDescent="0.3">
      <c r="A11" t="s">
        <v>39</v>
      </c>
      <c r="B11">
        <v>9.3699999999999992</v>
      </c>
      <c r="C11">
        <v>9.1199999999999992</v>
      </c>
      <c r="D11">
        <v>9.25</v>
      </c>
      <c r="E11">
        <v>8.91</v>
      </c>
      <c r="F11">
        <v>8.11</v>
      </c>
      <c r="G11">
        <v>8.5399999999999991</v>
      </c>
      <c r="H11">
        <v>8.51</v>
      </c>
      <c r="I11">
        <v>8.0299999999999994</v>
      </c>
      <c r="J11">
        <v>8.2799999999999994</v>
      </c>
      <c r="K11">
        <v>7.84</v>
      </c>
      <c r="L11">
        <v>7.44</v>
      </c>
      <c r="M11">
        <v>7.65</v>
      </c>
      <c r="N11">
        <v>6.97</v>
      </c>
      <c r="O11">
        <v>6.77</v>
      </c>
      <c r="P11">
        <v>6.87</v>
      </c>
      <c r="Q11">
        <v>6.59</v>
      </c>
      <c r="R11">
        <v>6.36</v>
      </c>
      <c r="S11">
        <v>6.48</v>
      </c>
    </row>
    <row r="12" spans="1:19" x14ac:dyDescent="0.3">
      <c r="A12" t="s">
        <v>40</v>
      </c>
      <c r="B12">
        <v>8.6300000000000008</v>
      </c>
      <c r="C12">
        <v>8.86</v>
      </c>
      <c r="D12">
        <v>8.74</v>
      </c>
      <c r="E12">
        <v>9.15</v>
      </c>
      <c r="F12">
        <v>8.8800000000000008</v>
      </c>
      <c r="G12">
        <v>9.02</v>
      </c>
      <c r="H12">
        <v>8.7799999999999994</v>
      </c>
      <c r="I12">
        <v>7.96</v>
      </c>
      <c r="J12">
        <v>8.39</v>
      </c>
      <c r="K12">
        <v>8.4499999999999993</v>
      </c>
      <c r="L12">
        <v>7.94</v>
      </c>
      <c r="M12">
        <v>8.2100000000000009</v>
      </c>
      <c r="N12">
        <v>7.86</v>
      </c>
      <c r="O12">
        <v>7.43</v>
      </c>
      <c r="P12">
        <v>7.65</v>
      </c>
      <c r="Q12">
        <v>7.04</v>
      </c>
      <c r="R12">
        <v>6.82</v>
      </c>
      <c r="S12">
        <v>6.94</v>
      </c>
    </row>
    <row r="13" spans="1:19" x14ac:dyDescent="0.3">
      <c r="A13" t="s">
        <v>41</v>
      </c>
      <c r="B13">
        <v>7.4</v>
      </c>
      <c r="C13">
        <v>7.58</v>
      </c>
      <c r="D13">
        <v>7.49</v>
      </c>
      <c r="E13">
        <v>8.4</v>
      </c>
      <c r="F13">
        <v>8.59</v>
      </c>
      <c r="G13">
        <v>8.49</v>
      </c>
      <c r="H13">
        <v>8.9700000000000006</v>
      </c>
      <c r="I13">
        <v>8.67</v>
      </c>
      <c r="J13">
        <v>8.83</v>
      </c>
      <c r="K13">
        <v>8.69</v>
      </c>
      <c r="L13">
        <v>7.84</v>
      </c>
      <c r="M13">
        <v>8.2899999999999991</v>
      </c>
      <c r="N13">
        <v>8.44</v>
      </c>
      <c r="O13">
        <v>7.91</v>
      </c>
      <c r="P13">
        <v>8.18</v>
      </c>
      <c r="Q13">
        <v>7.92</v>
      </c>
      <c r="R13">
        <v>7.46</v>
      </c>
      <c r="S13">
        <v>7.7</v>
      </c>
    </row>
    <row r="14" spans="1:19" x14ac:dyDescent="0.3">
      <c r="A14" t="s">
        <v>97</v>
      </c>
      <c r="B14">
        <v>6.71</v>
      </c>
      <c r="C14">
        <v>6.85</v>
      </c>
      <c r="D14">
        <v>6.78</v>
      </c>
      <c r="E14">
        <v>7.14</v>
      </c>
      <c r="F14">
        <v>7.29</v>
      </c>
      <c r="G14">
        <v>7.21</v>
      </c>
      <c r="H14">
        <v>8.17</v>
      </c>
      <c r="I14">
        <v>8.34</v>
      </c>
      <c r="J14">
        <v>8.25</v>
      </c>
      <c r="K14">
        <v>8.81</v>
      </c>
      <c r="L14">
        <v>8.48</v>
      </c>
      <c r="M14">
        <v>8.66</v>
      </c>
      <c r="N14">
        <v>8.6199999999999992</v>
      </c>
      <c r="O14">
        <v>7.76</v>
      </c>
      <c r="P14">
        <v>8.2100000000000009</v>
      </c>
      <c r="Q14">
        <v>8.4499999999999993</v>
      </c>
      <c r="R14">
        <v>7.88</v>
      </c>
      <c r="S14">
        <v>8.18</v>
      </c>
    </row>
    <row r="15" spans="1:19" x14ac:dyDescent="0.3">
      <c r="A15" t="s">
        <v>98</v>
      </c>
      <c r="B15">
        <v>5.5</v>
      </c>
      <c r="C15">
        <v>5.48</v>
      </c>
      <c r="D15">
        <v>5.49</v>
      </c>
      <c r="E15">
        <v>6.35</v>
      </c>
      <c r="F15">
        <v>6.55</v>
      </c>
      <c r="G15">
        <v>6.44</v>
      </c>
      <c r="H15">
        <v>6.84</v>
      </c>
      <c r="I15">
        <v>7.03</v>
      </c>
      <c r="J15">
        <v>6.93</v>
      </c>
      <c r="K15">
        <v>7.92</v>
      </c>
      <c r="L15">
        <v>8.11</v>
      </c>
      <c r="M15">
        <v>8.01</v>
      </c>
      <c r="N15">
        <v>8.65</v>
      </c>
      <c r="O15">
        <v>8.34</v>
      </c>
      <c r="P15">
        <v>8.5</v>
      </c>
      <c r="Q15">
        <v>8.5500000000000007</v>
      </c>
      <c r="R15">
        <v>7.7</v>
      </c>
      <c r="S15">
        <v>8.14</v>
      </c>
    </row>
    <row r="16" spans="1:19" x14ac:dyDescent="0.3">
      <c r="A16" t="s">
        <v>99</v>
      </c>
      <c r="B16">
        <v>4.3600000000000003</v>
      </c>
      <c r="C16">
        <v>4.37</v>
      </c>
      <c r="D16">
        <v>4.3600000000000003</v>
      </c>
      <c r="E16">
        <v>5.08</v>
      </c>
      <c r="F16">
        <v>5.18</v>
      </c>
      <c r="G16">
        <v>5.13</v>
      </c>
      <c r="H16">
        <v>5.95</v>
      </c>
      <c r="I16">
        <v>6.25</v>
      </c>
      <c r="J16">
        <v>6.1</v>
      </c>
      <c r="K16">
        <v>6.5</v>
      </c>
      <c r="L16">
        <v>6.79</v>
      </c>
      <c r="M16">
        <v>6.64</v>
      </c>
      <c r="N16">
        <v>7.64</v>
      </c>
      <c r="O16">
        <v>7.92</v>
      </c>
      <c r="P16">
        <v>7.77</v>
      </c>
      <c r="Q16">
        <v>8.4499999999999993</v>
      </c>
      <c r="R16">
        <v>8.23</v>
      </c>
      <c r="S16">
        <v>8.34</v>
      </c>
    </row>
    <row r="17" spans="1:19" x14ac:dyDescent="0.3">
      <c r="A17" t="s">
        <v>100</v>
      </c>
      <c r="B17">
        <v>3.03</v>
      </c>
      <c r="C17">
        <v>3.12</v>
      </c>
      <c r="D17">
        <v>3.07</v>
      </c>
      <c r="E17">
        <v>3.87</v>
      </c>
      <c r="F17">
        <v>4.03</v>
      </c>
      <c r="G17">
        <v>3.94</v>
      </c>
      <c r="H17">
        <v>4.59</v>
      </c>
      <c r="I17">
        <v>4.8499999999999996</v>
      </c>
      <c r="J17">
        <v>4.72</v>
      </c>
      <c r="K17">
        <v>5.48</v>
      </c>
      <c r="L17">
        <v>5.94</v>
      </c>
      <c r="M17">
        <v>5.7</v>
      </c>
      <c r="N17">
        <v>6.1</v>
      </c>
      <c r="O17">
        <v>6.53</v>
      </c>
      <c r="P17">
        <v>6.31</v>
      </c>
      <c r="Q17">
        <v>7.29</v>
      </c>
      <c r="R17">
        <v>7.71</v>
      </c>
      <c r="S17">
        <v>7.49</v>
      </c>
    </row>
    <row r="18" spans="1:19" x14ac:dyDescent="0.3">
      <c r="A18" t="s">
        <v>101</v>
      </c>
      <c r="B18">
        <v>1.88</v>
      </c>
      <c r="C18">
        <v>2.19</v>
      </c>
      <c r="D18">
        <v>2.0299999999999998</v>
      </c>
      <c r="E18">
        <v>2.5099999999999998</v>
      </c>
      <c r="F18">
        <v>2.75</v>
      </c>
      <c r="G18">
        <v>2.63</v>
      </c>
      <c r="H18">
        <v>3.28</v>
      </c>
      <c r="I18">
        <v>3.63</v>
      </c>
      <c r="J18">
        <v>3.45</v>
      </c>
      <c r="K18">
        <v>4</v>
      </c>
      <c r="L18">
        <v>4.46</v>
      </c>
      <c r="M18">
        <v>4.22</v>
      </c>
      <c r="N18">
        <v>4.8899999999999997</v>
      </c>
      <c r="O18">
        <v>5.53</v>
      </c>
      <c r="P18">
        <v>5.2</v>
      </c>
      <c r="Q18">
        <v>5.58</v>
      </c>
      <c r="R18">
        <v>6.19</v>
      </c>
      <c r="S18">
        <v>5.87</v>
      </c>
    </row>
    <row r="19" spans="1:19" x14ac:dyDescent="0.3">
      <c r="A19" t="s">
        <v>102</v>
      </c>
      <c r="B19">
        <v>1.31</v>
      </c>
      <c r="C19">
        <v>1.77</v>
      </c>
      <c r="D19">
        <v>1.53</v>
      </c>
      <c r="E19">
        <v>1.4</v>
      </c>
      <c r="F19">
        <v>1.77</v>
      </c>
      <c r="G19">
        <v>1.58</v>
      </c>
      <c r="H19">
        <v>1.93</v>
      </c>
      <c r="I19">
        <v>2.3199999999999998</v>
      </c>
      <c r="J19">
        <v>2.11</v>
      </c>
      <c r="K19">
        <v>2.61</v>
      </c>
      <c r="L19">
        <v>3.14</v>
      </c>
      <c r="M19">
        <v>2.86</v>
      </c>
      <c r="N19">
        <v>3.29</v>
      </c>
      <c r="O19">
        <v>3.92</v>
      </c>
      <c r="P19">
        <v>3.59</v>
      </c>
      <c r="Q19">
        <v>4.16</v>
      </c>
      <c r="R19">
        <v>4.99</v>
      </c>
      <c r="S19">
        <v>4.5599999999999996</v>
      </c>
    </row>
    <row r="20" spans="1:19" x14ac:dyDescent="0.3">
      <c r="A20" t="s">
        <v>103</v>
      </c>
      <c r="B20">
        <v>0.75</v>
      </c>
      <c r="C20">
        <v>1.1100000000000001</v>
      </c>
      <c r="D20">
        <v>0.92</v>
      </c>
      <c r="E20">
        <v>1.07</v>
      </c>
      <c r="F20">
        <v>1.69</v>
      </c>
      <c r="G20">
        <v>1.36</v>
      </c>
      <c r="H20">
        <v>1.3</v>
      </c>
      <c r="I20">
        <v>2.09</v>
      </c>
      <c r="J20">
        <v>1.68</v>
      </c>
      <c r="K20">
        <v>1.82</v>
      </c>
      <c r="L20">
        <v>2.79</v>
      </c>
      <c r="M20">
        <v>2.29</v>
      </c>
      <c r="N20">
        <v>2.62</v>
      </c>
      <c r="O20">
        <v>3.87</v>
      </c>
      <c r="P20">
        <v>3.22</v>
      </c>
      <c r="Q20">
        <v>3.63</v>
      </c>
      <c r="R20">
        <v>5.27</v>
      </c>
      <c r="S20">
        <v>4.42</v>
      </c>
    </row>
    <row r="21" spans="1:19" x14ac:dyDescent="0.3">
      <c r="A21" t="s">
        <v>73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</row>
  </sheetData>
  <mergeCells count="6">
    <mergeCell ref="Q2:S2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40"/>
  <sheetViews>
    <sheetView workbookViewId="0">
      <selection activeCell="I6" sqref="I6"/>
    </sheetView>
  </sheetViews>
  <sheetFormatPr defaultRowHeight="14.4" x14ac:dyDescent="0.3"/>
  <cols>
    <col min="1" max="1" width="29.6640625" customWidth="1"/>
  </cols>
  <sheetData>
    <row r="1" spans="1:7" x14ac:dyDescent="0.3">
      <c r="A1" s="2" t="s">
        <v>116</v>
      </c>
      <c r="B1" s="1"/>
      <c r="C1" s="1"/>
      <c r="D1" s="1"/>
      <c r="E1" s="1"/>
      <c r="F1" s="1"/>
      <c r="G1" s="1"/>
    </row>
    <row r="2" spans="1:7" x14ac:dyDescent="0.3">
      <c r="A2" t="s">
        <v>117</v>
      </c>
    </row>
    <row r="3" spans="1:7" x14ac:dyDescent="0.3">
      <c r="A3" t="s">
        <v>52</v>
      </c>
      <c r="B3">
        <v>2026</v>
      </c>
      <c r="C3">
        <v>2031</v>
      </c>
      <c r="D3">
        <v>2036</v>
      </c>
      <c r="E3">
        <v>2041</v>
      </c>
      <c r="F3">
        <v>2046</v>
      </c>
      <c r="G3">
        <v>2051</v>
      </c>
    </row>
    <row r="4" spans="1:7" x14ac:dyDescent="0.3">
      <c r="A4" t="s">
        <v>53</v>
      </c>
    </row>
    <row r="5" spans="1:7" x14ac:dyDescent="0.3">
      <c r="A5" t="s">
        <v>54</v>
      </c>
      <c r="B5">
        <v>1.79</v>
      </c>
      <c r="C5">
        <v>1.7</v>
      </c>
      <c r="D5">
        <v>1.65</v>
      </c>
      <c r="E5">
        <v>1.62</v>
      </c>
      <c r="F5">
        <v>1.61</v>
      </c>
      <c r="G5">
        <v>1.6</v>
      </c>
    </row>
    <row r="6" spans="1:7" x14ac:dyDescent="0.3">
      <c r="A6" t="s">
        <v>55</v>
      </c>
      <c r="B6">
        <v>0.85</v>
      </c>
      <c r="C6">
        <v>0.81</v>
      </c>
      <c r="D6">
        <v>0.79</v>
      </c>
      <c r="E6">
        <v>0.78</v>
      </c>
      <c r="F6">
        <v>0.77</v>
      </c>
      <c r="G6">
        <v>0.77</v>
      </c>
    </row>
    <row r="7" spans="1:7" x14ac:dyDescent="0.3">
      <c r="A7" t="s">
        <v>56</v>
      </c>
      <c r="B7">
        <v>0.79</v>
      </c>
      <c r="C7">
        <v>0.76</v>
      </c>
      <c r="D7">
        <v>0.75</v>
      </c>
      <c r="E7">
        <v>0.74</v>
      </c>
      <c r="F7">
        <v>0.74</v>
      </c>
      <c r="G7">
        <v>0.74</v>
      </c>
    </row>
    <row r="8" spans="1:7" x14ac:dyDescent="0.3">
      <c r="A8" t="s">
        <v>57</v>
      </c>
      <c r="B8">
        <v>26.7</v>
      </c>
      <c r="C8">
        <v>26.8</v>
      </c>
      <c r="D8">
        <v>26.8</v>
      </c>
      <c r="E8">
        <v>26.9</v>
      </c>
      <c r="F8">
        <v>27</v>
      </c>
      <c r="G8">
        <v>27.1</v>
      </c>
    </row>
    <row r="9" spans="1:7" x14ac:dyDescent="0.3">
      <c r="A9" t="s">
        <v>58</v>
      </c>
      <c r="B9">
        <v>0.26</v>
      </c>
      <c r="C9">
        <v>0.24</v>
      </c>
      <c r="D9">
        <v>0.23</v>
      </c>
      <c r="E9">
        <v>0.22</v>
      </c>
      <c r="F9">
        <v>0.22</v>
      </c>
      <c r="G9">
        <v>0.22</v>
      </c>
    </row>
    <row r="10" spans="1:7" x14ac:dyDescent="0.3">
      <c r="A10" t="s">
        <v>59</v>
      </c>
    </row>
    <row r="11" spans="1:7" x14ac:dyDescent="0.3">
      <c r="A11" t="s">
        <v>60</v>
      </c>
      <c r="B11">
        <v>66.099999999999994</v>
      </c>
      <c r="C11">
        <v>67.5</v>
      </c>
      <c r="D11">
        <v>69</v>
      </c>
      <c r="E11">
        <v>70.3</v>
      </c>
      <c r="F11">
        <v>71.5</v>
      </c>
      <c r="G11">
        <v>72.8</v>
      </c>
    </row>
    <row r="12" spans="1:7" x14ac:dyDescent="0.3">
      <c r="A12" t="s">
        <v>61</v>
      </c>
      <c r="B12">
        <v>72.2</v>
      </c>
      <c r="C12">
        <v>74.099999999999994</v>
      </c>
      <c r="D12">
        <v>75.8</v>
      </c>
      <c r="E12">
        <v>77.400000000000006</v>
      </c>
      <c r="F12">
        <v>79</v>
      </c>
      <c r="G12">
        <v>80.400000000000006</v>
      </c>
    </row>
    <row r="13" spans="1:7" x14ac:dyDescent="0.3">
      <c r="A13" t="s">
        <v>62</v>
      </c>
      <c r="B13">
        <v>69.099999999999994</v>
      </c>
      <c r="C13">
        <v>70.7</v>
      </c>
      <c r="D13">
        <v>72.3</v>
      </c>
      <c r="E13">
        <v>73.8</v>
      </c>
      <c r="F13">
        <v>75.2</v>
      </c>
      <c r="G13">
        <v>76.599999999999994</v>
      </c>
    </row>
    <row r="14" spans="1:7" x14ac:dyDescent="0.3">
      <c r="A14" t="s">
        <v>63</v>
      </c>
      <c r="B14">
        <v>58.9</v>
      </c>
      <c r="C14">
        <v>52.5</v>
      </c>
      <c r="D14">
        <v>46.5</v>
      </c>
      <c r="E14">
        <v>41.2</v>
      </c>
      <c r="F14">
        <v>36.5</v>
      </c>
      <c r="G14">
        <v>32.1</v>
      </c>
    </row>
    <row r="15" spans="1:7" x14ac:dyDescent="0.3">
      <c r="A15" t="s">
        <v>64</v>
      </c>
      <c r="B15">
        <v>72.8</v>
      </c>
      <c r="C15">
        <v>63.7</v>
      </c>
      <c r="D15">
        <v>55.6</v>
      </c>
      <c r="E15">
        <v>48.7</v>
      </c>
      <c r="F15">
        <v>42.8</v>
      </c>
      <c r="G15">
        <v>37.4</v>
      </c>
    </row>
    <row r="16" spans="1:7" x14ac:dyDescent="0.3">
      <c r="A16" t="s">
        <v>108</v>
      </c>
    </row>
    <row r="17" spans="1:7" x14ac:dyDescent="0.3">
      <c r="A17" t="s">
        <v>74</v>
      </c>
      <c r="B17">
        <v>1732</v>
      </c>
      <c r="C17">
        <v>1696</v>
      </c>
      <c r="D17">
        <v>1684</v>
      </c>
      <c r="E17">
        <v>1679</v>
      </c>
      <c r="F17">
        <v>1678</v>
      </c>
      <c r="G17">
        <v>1677</v>
      </c>
    </row>
    <row r="18" spans="1:7" x14ac:dyDescent="0.3">
      <c r="A18" t="s">
        <v>75</v>
      </c>
      <c r="B18">
        <v>3425</v>
      </c>
      <c r="C18">
        <v>3446</v>
      </c>
      <c r="D18">
        <v>3456</v>
      </c>
      <c r="E18">
        <v>3461</v>
      </c>
      <c r="F18">
        <v>3463</v>
      </c>
      <c r="G18">
        <v>3465</v>
      </c>
    </row>
    <row r="19" spans="1:7" x14ac:dyDescent="0.3">
      <c r="A19" t="s">
        <v>73</v>
      </c>
      <c r="B19">
        <v>5157</v>
      </c>
      <c r="C19">
        <v>5142</v>
      </c>
      <c r="D19">
        <v>5140</v>
      </c>
      <c r="E19">
        <v>5140</v>
      </c>
      <c r="F19">
        <v>5141</v>
      </c>
      <c r="G19">
        <v>5142</v>
      </c>
    </row>
    <row r="20" spans="1:7" x14ac:dyDescent="0.3">
      <c r="A20" t="s">
        <v>65</v>
      </c>
    </row>
    <row r="21" spans="1:7" x14ac:dyDescent="0.3">
      <c r="A21" t="s">
        <v>66</v>
      </c>
      <c r="B21">
        <v>14</v>
      </c>
      <c r="C21">
        <v>12.6</v>
      </c>
      <c r="D21">
        <v>11.7</v>
      </c>
      <c r="E21">
        <v>11</v>
      </c>
      <c r="F21">
        <v>10.3</v>
      </c>
      <c r="G21">
        <v>9.6</v>
      </c>
    </row>
    <row r="22" spans="1:7" x14ac:dyDescent="0.3">
      <c r="A22" t="s">
        <v>67</v>
      </c>
      <c r="B22">
        <v>7.6</v>
      </c>
      <c r="C22">
        <v>7.8</v>
      </c>
      <c r="D22">
        <v>8.1</v>
      </c>
      <c r="E22">
        <v>8.6</v>
      </c>
      <c r="F22">
        <v>9.1999999999999993</v>
      </c>
      <c r="G22">
        <v>9.8000000000000007</v>
      </c>
    </row>
    <row r="23" spans="1:7" x14ac:dyDescent="0.3">
      <c r="A23" t="s">
        <v>68</v>
      </c>
      <c r="B23">
        <v>0.64</v>
      </c>
      <c r="C23">
        <v>0.48</v>
      </c>
      <c r="D23">
        <v>0.36</v>
      </c>
      <c r="E23">
        <v>0.24</v>
      </c>
      <c r="F23">
        <v>0.11</v>
      </c>
      <c r="G23">
        <v>-0.02</v>
      </c>
    </row>
    <row r="24" spans="1:7" x14ac:dyDescent="0.3">
      <c r="A24" t="s">
        <v>69</v>
      </c>
    </row>
    <row r="25" spans="1:7" x14ac:dyDescent="0.3">
      <c r="A25" t="s">
        <v>70</v>
      </c>
      <c r="B25">
        <v>0.98</v>
      </c>
      <c r="C25">
        <v>0.91</v>
      </c>
      <c r="D25">
        <v>0.86</v>
      </c>
      <c r="E25">
        <v>0.82</v>
      </c>
      <c r="F25">
        <v>0.78</v>
      </c>
      <c r="G25">
        <v>0.73</v>
      </c>
    </row>
    <row r="26" spans="1:7" x14ac:dyDescent="0.3">
      <c r="A26" t="s">
        <v>71</v>
      </c>
      <c r="B26">
        <v>0.53</v>
      </c>
      <c r="C26">
        <v>0.56000000000000005</v>
      </c>
      <c r="D26">
        <v>0.6</v>
      </c>
      <c r="E26">
        <v>0.64</v>
      </c>
      <c r="F26">
        <v>0.69</v>
      </c>
      <c r="G26">
        <v>0.74</v>
      </c>
    </row>
    <row r="27" spans="1:7" x14ac:dyDescent="0.3">
      <c r="A27" t="s">
        <v>72</v>
      </c>
    </row>
    <row r="28" spans="1:7" x14ac:dyDescent="0.3">
      <c r="A28" t="s">
        <v>73</v>
      </c>
      <c r="B28">
        <v>70.3</v>
      </c>
      <c r="C28">
        <v>72.3</v>
      </c>
      <c r="D28">
        <v>73.8</v>
      </c>
      <c r="E28">
        <v>74.900000000000006</v>
      </c>
      <c r="F28">
        <v>75.5</v>
      </c>
      <c r="G28">
        <v>75.7</v>
      </c>
    </row>
    <row r="29" spans="1:7" x14ac:dyDescent="0.3">
      <c r="A29" t="s">
        <v>74</v>
      </c>
      <c r="B29">
        <v>36.4</v>
      </c>
      <c r="C29">
        <v>37.299999999999997</v>
      </c>
      <c r="D29">
        <v>37.9</v>
      </c>
      <c r="E29">
        <v>38.299999999999997</v>
      </c>
      <c r="F29">
        <v>38.4</v>
      </c>
      <c r="G29">
        <v>38.299999999999997</v>
      </c>
    </row>
    <row r="30" spans="1:7" x14ac:dyDescent="0.3">
      <c r="A30" t="s">
        <v>75</v>
      </c>
      <c r="B30">
        <v>33.9</v>
      </c>
      <c r="C30">
        <v>35</v>
      </c>
      <c r="D30">
        <v>35.9</v>
      </c>
      <c r="E30">
        <v>36.6</v>
      </c>
      <c r="F30">
        <v>37.1</v>
      </c>
      <c r="G30">
        <v>37.4</v>
      </c>
    </row>
    <row r="31" spans="1:7" x14ac:dyDescent="0.3">
      <c r="A31" t="s">
        <v>76</v>
      </c>
      <c r="B31">
        <v>6.7</v>
      </c>
      <c r="C31">
        <v>6.1</v>
      </c>
      <c r="D31">
        <v>5.7</v>
      </c>
      <c r="E31">
        <v>5.3</v>
      </c>
      <c r="F31">
        <v>5.0999999999999996</v>
      </c>
      <c r="G31">
        <v>4.8</v>
      </c>
    </row>
    <row r="32" spans="1:7" x14ac:dyDescent="0.3">
      <c r="A32" t="s">
        <v>77</v>
      </c>
      <c r="B32">
        <v>15.2</v>
      </c>
      <c r="C32">
        <v>13.7</v>
      </c>
      <c r="D32">
        <v>12.3</v>
      </c>
      <c r="E32">
        <v>11.4</v>
      </c>
      <c r="F32">
        <v>10.7</v>
      </c>
      <c r="G32">
        <v>10.3</v>
      </c>
    </row>
    <row r="33" spans="1:7" x14ac:dyDescent="0.3">
      <c r="A33" t="s">
        <v>78</v>
      </c>
      <c r="B33">
        <v>15.9</v>
      </c>
      <c r="C33">
        <v>15</v>
      </c>
      <c r="D33">
        <v>14.4</v>
      </c>
      <c r="E33">
        <v>13.2</v>
      </c>
      <c r="F33">
        <v>12</v>
      </c>
      <c r="G33">
        <v>11.2</v>
      </c>
    </row>
    <row r="34" spans="1:7" x14ac:dyDescent="0.3">
      <c r="A34" t="s">
        <v>79</v>
      </c>
      <c r="B34">
        <v>54.9</v>
      </c>
      <c r="C34">
        <v>54.2</v>
      </c>
      <c r="D34">
        <v>53</v>
      </c>
      <c r="E34">
        <v>50.8</v>
      </c>
      <c r="F34">
        <v>48.5</v>
      </c>
      <c r="G34">
        <v>45.8</v>
      </c>
    </row>
    <row r="35" spans="1:7" x14ac:dyDescent="0.3">
      <c r="A35" t="s">
        <v>80</v>
      </c>
      <c r="B35">
        <v>66</v>
      </c>
      <c r="C35">
        <v>66.099999999999994</v>
      </c>
      <c r="D35">
        <v>65.7</v>
      </c>
      <c r="E35">
        <v>64.599999999999994</v>
      </c>
      <c r="F35">
        <v>62.9</v>
      </c>
      <c r="G35">
        <v>60.8</v>
      </c>
    </row>
    <row r="36" spans="1:7" x14ac:dyDescent="0.3">
      <c r="A36" t="s">
        <v>81</v>
      </c>
      <c r="B36">
        <v>12.1</v>
      </c>
      <c r="C36">
        <v>14.1</v>
      </c>
      <c r="D36">
        <v>16.3</v>
      </c>
      <c r="E36">
        <v>18.7</v>
      </c>
      <c r="F36">
        <v>21.3</v>
      </c>
      <c r="G36">
        <v>24.2</v>
      </c>
    </row>
    <row r="37" spans="1:7" x14ac:dyDescent="0.3">
      <c r="A37" t="s">
        <v>82</v>
      </c>
      <c r="B37">
        <v>53.9</v>
      </c>
      <c r="C37">
        <v>53</v>
      </c>
      <c r="D37">
        <v>51.6</v>
      </c>
      <c r="E37">
        <v>49.3</v>
      </c>
      <c r="F37">
        <v>47.1</v>
      </c>
      <c r="G37">
        <v>44.5</v>
      </c>
    </row>
    <row r="38" spans="1:7" x14ac:dyDescent="0.3">
      <c r="A38" t="s">
        <v>83</v>
      </c>
      <c r="B38">
        <v>107.5</v>
      </c>
      <c r="C38">
        <v>106.7</v>
      </c>
      <c r="D38">
        <v>105.8</v>
      </c>
      <c r="E38">
        <v>104.7</v>
      </c>
      <c r="F38">
        <v>103.7</v>
      </c>
      <c r="G38">
        <v>102.6</v>
      </c>
    </row>
    <row r="39" spans="1:7" x14ac:dyDescent="0.3">
      <c r="A39" t="s">
        <v>84</v>
      </c>
      <c r="B39">
        <v>52</v>
      </c>
      <c r="C39">
        <v>51.6</v>
      </c>
      <c r="D39">
        <v>51.3</v>
      </c>
      <c r="E39">
        <v>52.1</v>
      </c>
      <c r="F39">
        <v>54.8</v>
      </c>
      <c r="G39">
        <v>59</v>
      </c>
    </row>
    <row r="40" spans="1:7" x14ac:dyDescent="0.3">
      <c r="A40" t="s">
        <v>85</v>
      </c>
      <c r="B40">
        <v>32</v>
      </c>
      <c r="C40">
        <v>34</v>
      </c>
      <c r="D40">
        <v>37</v>
      </c>
      <c r="E40">
        <v>39</v>
      </c>
      <c r="F40">
        <v>41</v>
      </c>
      <c r="G40">
        <v>43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S21"/>
  <sheetViews>
    <sheetView workbookViewId="0">
      <selection activeCell="B2" sqref="B2:S2"/>
    </sheetView>
  </sheetViews>
  <sheetFormatPr defaultRowHeight="14.4" x14ac:dyDescent="0.3"/>
  <sheetData>
    <row r="1" spans="1:19" x14ac:dyDescent="0.3">
      <c r="A1" s="2" t="s">
        <v>118</v>
      </c>
      <c r="B1" s="1"/>
      <c r="C1" s="1"/>
      <c r="D1" s="1"/>
      <c r="E1" s="1"/>
      <c r="F1" s="1"/>
      <c r="G1" s="1"/>
      <c r="H1" s="1"/>
      <c r="I1" s="1"/>
      <c r="J1" s="1"/>
    </row>
    <row r="2" spans="1:19" s="3" customFormat="1" x14ac:dyDescent="0.3">
      <c r="A2" s="3" t="s">
        <v>93</v>
      </c>
      <c r="B2" s="34">
        <v>2026</v>
      </c>
      <c r="C2" s="34"/>
      <c r="D2" s="34"/>
      <c r="E2" s="34">
        <v>2031</v>
      </c>
      <c r="F2" s="34"/>
      <c r="G2" s="34"/>
      <c r="H2" s="34">
        <v>2036</v>
      </c>
      <c r="I2" s="34"/>
      <c r="J2" s="34"/>
      <c r="K2" s="37">
        <v>2041</v>
      </c>
      <c r="L2" s="37"/>
      <c r="M2" s="37"/>
      <c r="N2" s="37">
        <v>2046</v>
      </c>
      <c r="O2" s="37"/>
      <c r="P2" s="37"/>
      <c r="Q2" s="37">
        <v>2051</v>
      </c>
      <c r="R2" s="37"/>
      <c r="S2" s="37"/>
    </row>
    <row r="3" spans="1:19" s="3" customFormat="1" x14ac:dyDescent="0.3">
      <c r="B3" s="3" t="s">
        <v>16</v>
      </c>
      <c r="C3" s="3" t="s">
        <v>46</v>
      </c>
      <c r="D3" s="3" t="s">
        <v>91</v>
      </c>
      <c r="E3" s="3" t="s">
        <v>16</v>
      </c>
      <c r="F3" s="3" t="s">
        <v>46</v>
      </c>
      <c r="G3" s="3" t="s">
        <v>91</v>
      </c>
      <c r="H3" s="3" t="s">
        <v>16</v>
      </c>
      <c r="I3" s="3" t="s">
        <v>46</v>
      </c>
      <c r="J3" s="3" t="s">
        <v>91</v>
      </c>
      <c r="K3" s="3" t="s">
        <v>16</v>
      </c>
      <c r="L3" s="3" t="s">
        <v>46</v>
      </c>
      <c r="M3" s="3" t="s">
        <v>91</v>
      </c>
      <c r="N3" s="3" t="s">
        <v>16</v>
      </c>
      <c r="O3" s="3" t="s">
        <v>46</v>
      </c>
      <c r="P3" s="3" t="s">
        <v>91</v>
      </c>
      <c r="Q3" s="3" t="s">
        <v>16</v>
      </c>
      <c r="R3" s="3" t="s">
        <v>46</v>
      </c>
      <c r="S3" s="3" t="s">
        <v>91</v>
      </c>
    </row>
    <row r="4" spans="1:19" x14ac:dyDescent="0.3">
      <c r="A4" t="s">
        <v>94</v>
      </c>
      <c r="B4">
        <v>6.77</v>
      </c>
      <c r="C4">
        <v>6.71</v>
      </c>
      <c r="D4">
        <v>6.74</v>
      </c>
      <c r="E4">
        <v>6.16</v>
      </c>
      <c r="F4">
        <v>6.09</v>
      </c>
      <c r="G4">
        <v>6.13</v>
      </c>
      <c r="H4">
        <v>5.69</v>
      </c>
      <c r="I4">
        <v>5.61</v>
      </c>
      <c r="J4">
        <v>5.65</v>
      </c>
      <c r="K4">
        <v>5.4</v>
      </c>
      <c r="L4">
        <v>5.28</v>
      </c>
      <c r="M4">
        <v>5.34</v>
      </c>
      <c r="N4">
        <v>5.14</v>
      </c>
      <c r="O4">
        <v>5</v>
      </c>
      <c r="P4">
        <v>5.07</v>
      </c>
      <c r="Q4">
        <v>4.8499999999999996</v>
      </c>
      <c r="R4">
        <v>4.68</v>
      </c>
      <c r="S4">
        <v>4.7699999999999996</v>
      </c>
    </row>
    <row r="5" spans="1:19" x14ac:dyDescent="0.3">
      <c r="A5" t="s">
        <v>95</v>
      </c>
      <c r="B5">
        <v>7.49</v>
      </c>
      <c r="C5">
        <v>7.37</v>
      </c>
      <c r="D5">
        <v>7.43</v>
      </c>
      <c r="E5">
        <v>6.52</v>
      </c>
      <c r="F5">
        <v>6.44</v>
      </c>
      <c r="G5">
        <v>6.49</v>
      </c>
      <c r="H5">
        <v>6</v>
      </c>
      <c r="I5">
        <v>5.9</v>
      </c>
      <c r="J5">
        <v>5.95</v>
      </c>
      <c r="K5">
        <v>5.59</v>
      </c>
      <c r="L5">
        <v>5.47</v>
      </c>
      <c r="M5">
        <v>5.53</v>
      </c>
      <c r="N5">
        <v>5.34</v>
      </c>
      <c r="O5">
        <v>5.18</v>
      </c>
      <c r="P5">
        <v>5.26</v>
      </c>
      <c r="Q5">
        <v>5.13</v>
      </c>
      <c r="R5">
        <v>4.95</v>
      </c>
      <c r="S5">
        <v>5.04</v>
      </c>
    </row>
    <row r="6" spans="1:19" x14ac:dyDescent="0.3">
      <c r="A6" t="s">
        <v>96</v>
      </c>
      <c r="B6">
        <v>7.91</v>
      </c>
      <c r="C6">
        <v>7.67</v>
      </c>
      <c r="D6">
        <v>7.79</v>
      </c>
      <c r="E6">
        <v>7.29</v>
      </c>
      <c r="F6">
        <v>7.13</v>
      </c>
      <c r="G6">
        <v>7.21</v>
      </c>
      <c r="H6">
        <v>6.4</v>
      </c>
      <c r="I6">
        <v>6.28</v>
      </c>
      <c r="J6">
        <v>6.34</v>
      </c>
      <c r="K6">
        <v>5.93</v>
      </c>
      <c r="L6">
        <v>5.78</v>
      </c>
      <c r="M6">
        <v>5.86</v>
      </c>
      <c r="N6">
        <v>5.56</v>
      </c>
      <c r="O6">
        <v>5.39</v>
      </c>
      <c r="P6">
        <v>5.48</v>
      </c>
      <c r="Q6">
        <v>5.35</v>
      </c>
      <c r="R6">
        <v>5.14</v>
      </c>
      <c r="S6">
        <v>5.25</v>
      </c>
    </row>
    <row r="7" spans="1:19" x14ac:dyDescent="0.3">
      <c r="A7" t="s">
        <v>35</v>
      </c>
      <c r="B7">
        <v>7.77</v>
      </c>
      <c r="C7">
        <v>7.57</v>
      </c>
      <c r="D7">
        <v>7.67</v>
      </c>
      <c r="E7">
        <v>7.69</v>
      </c>
      <c r="F7">
        <v>7.42</v>
      </c>
      <c r="G7">
        <v>7.56</v>
      </c>
      <c r="H7">
        <v>7.16</v>
      </c>
      <c r="I7">
        <v>6.94</v>
      </c>
      <c r="J7">
        <v>7.05</v>
      </c>
      <c r="K7">
        <v>6.33</v>
      </c>
      <c r="L7">
        <v>6.15</v>
      </c>
      <c r="M7">
        <v>6.24</v>
      </c>
      <c r="N7">
        <v>5.9</v>
      </c>
      <c r="O7">
        <v>5.7</v>
      </c>
      <c r="P7">
        <v>5.8</v>
      </c>
      <c r="Q7">
        <v>5.57</v>
      </c>
      <c r="R7">
        <v>5.35</v>
      </c>
      <c r="S7">
        <v>5.46</v>
      </c>
    </row>
    <row r="8" spans="1:19" x14ac:dyDescent="0.3">
      <c r="A8" t="s">
        <v>36</v>
      </c>
      <c r="B8">
        <v>8.52</v>
      </c>
      <c r="C8">
        <v>7.98</v>
      </c>
      <c r="D8">
        <v>8.26</v>
      </c>
      <c r="E8">
        <v>7.55</v>
      </c>
      <c r="F8">
        <v>7.31</v>
      </c>
      <c r="G8">
        <v>7.43</v>
      </c>
      <c r="H8">
        <v>7.54</v>
      </c>
      <c r="I8">
        <v>7.22</v>
      </c>
      <c r="J8">
        <v>7.38</v>
      </c>
      <c r="K8">
        <v>7.06</v>
      </c>
      <c r="L8">
        <v>6.8</v>
      </c>
      <c r="M8">
        <v>6.93</v>
      </c>
      <c r="N8">
        <v>6.29</v>
      </c>
      <c r="O8">
        <v>6.06</v>
      </c>
      <c r="P8">
        <v>6.17</v>
      </c>
      <c r="Q8">
        <v>5.91</v>
      </c>
      <c r="R8">
        <v>5.65</v>
      </c>
      <c r="S8">
        <v>5.78</v>
      </c>
    </row>
    <row r="9" spans="1:19" x14ac:dyDescent="0.3">
      <c r="A9" t="s">
        <v>37</v>
      </c>
      <c r="B9">
        <v>8.92</v>
      </c>
      <c r="C9">
        <v>8.42</v>
      </c>
      <c r="D9">
        <v>8.68</v>
      </c>
      <c r="E9">
        <v>8.26</v>
      </c>
      <c r="F9">
        <v>7.71</v>
      </c>
      <c r="G9">
        <v>7.99</v>
      </c>
      <c r="H9">
        <v>7.39</v>
      </c>
      <c r="I9">
        <v>7.12</v>
      </c>
      <c r="J9">
        <v>7.26</v>
      </c>
      <c r="K9">
        <v>7.43</v>
      </c>
      <c r="L9">
        <v>7.07</v>
      </c>
      <c r="M9">
        <v>7.26</v>
      </c>
      <c r="N9">
        <v>7.01</v>
      </c>
      <c r="O9">
        <v>6.7</v>
      </c>
      <c r="P9">
        <v>6.86</v>
      </c>
      <c r="Q9">
        <v>6.29</v>
      </c>
      <c r="R9">
        <v>6.01</v>
      </c>
      <c r="S9">
        <v>6.15</v>
      </c>
    </row>
    <row r="10" spans="1:19" x14ac:dyDescent="0.3">
      <c r="A10" t="s">
        <v>38</v>
      </c>
      <c r="B10">
        <v>8.51</v>
      </c>
      <c r="C10">
        <v>7.98</v>
      </c>
      <c r="D10">
        <v>8.26</v>
      </c>
      <c r="E10">
        <v>8.64</v>
      </c>
      <c r="F10">
        <v>8.1300000000000008</v>
      </c>
      <c r="G10">
        <v>8.4</v>
      </c>
      <c r="H10">
        <v>8.08</v>
      </c>
      <c r="I10">
        <v>7.5</v>
      </c>
      <c r="J10">
        <v>7.8</v>
      </c>
      <c r="K10">
        <v>7.28</v>
      </c>
      <c r="L10">
        <v>6.97</v>
      </c>
      <c r="M10">
        <v>7.13</v>
      </c>
      <c r="N10">
        <v>7.38</v>
      </c>
      <c r="O10">
        <v>6.96</v>
      </c>
      <c r="P10">
        <v>7.17</v>
      </c>
      <c r="Q10">
        <v>7.01</v>
      </c>
      <c r="R10">
        <v>6.64</v>
      </c>
      <c r="S10">
        <v>6.83</v>
      </c>
    </row>
    <row r="11" spans="1:19" x14ac:dyDescent="0.3">
      <c r="A11" t="s">
        <v>39</v>
      </c>
      <c r="B11">
        <v>8.2100000000000009</v>
      </c>
      <c r="C11">
        <v>8</v>
      </c>
      <c r="D11">
        <v>8.11</v>
      </c>
      <c r="E11">
        <v>8.24</v>
      </c>
      <c r="F11">
        <v>7.7</v>
      </c>
      <c r="G11">
        <v>7.97</v>
      </c>
      <c r="H11">
        <v>8.44</v>
      </c>
      <c r="I11">
        <v>7.9</v>
      </c>
      <c r="J11">
        <v>8.18</v>
      </c>
      <c r="K11">
        <v>7.95</v>
      </c>
      <c r="L11">
        <v>7.33</v>
      </c>
      <c r="M11">
        <v>7.65</v>
      </c>
      <c r="N11">
        <v>7.21</v>
      </c>
      <c r="O11">
        <v>6.86</v>
      </c>
      <c r="P11">
        <v>7.04</v>
      </c>
      <c r="Q11">
        <v>7.37</v>
      </c>
      <c r="R11">
        <v>6.9</v>
      </c>
      <c r="S11">
        <v>7.14</v>
      </c>
    </row>
    <row r="12" spans="1:19" x14ac:dyDescent="0.3">
      <c r="A12" t="s">
        <v>40</v>
      </c>
      <c r="B12">
        <v>7.41</v>
      </c>
      <c r="C12">
        <v>7.32</v>
      </c>
      <c r="D12">
        <v>7.37</v>
      </c>
      <c r="E12">
        <v>7.92</v>
      </c>
      <c r="F12">
        <v>7.7</v>
      </c>
      <c r="G12">
        <v>7.81</v>
      </c>
      <c r="H12">
        <v>8.02</v>
      </c>
      <c r="I12">
        <v>7.47</v>
      </c>
      <c r="J12">
        <v>7.75</v>
      </c>
      <c r="K12">
        <v>8.2799999999999994</v>
      </c>
      <c r="L12">
        <v>7.72</v>
      </c>
      <c r="M12">
        <v>8</v>
      </c>
      <c r="N12">
        <v>7.86</v>
      </c>
      <c r="O12">
        <v>7.21</v>
      </c>
      <c r="P12">
        <v>7.54</v>
      </c>
      <c r="Q12">
        <v>7.19</v>
      </c>
      <c r="R12">
        <v>6.79</v>
      </c>
      <c r="S12">
        <v>6.99</v>
      </c>
    </row>
    <row r="13" spans="1:19" x14ac:dyDescent="0.3">
      <c r="A13" t="s">
        <v>41</v>
      </c>
      <c r="B13">
        <v>6.53</v>
      </c>
      <c r="C13">
        <v>6.67</v>
      </c>
      <c r="D13">
        <v>6.6</v>
      </c>
      <c r="E13">
        <v>7.1</v>
      </c>
      <c r="F13">
        <v>7.03</v>
      </c>
      <c r="G13">
        <v>7.07</v>
      </c>
      <c r="H13">
        <v>7.66</v>
      </c>
      <c r="I13">
        <v>7.46</v>
      </c>
      <c r="J13">
        <v>7.56</v>
      </c>
      <c r="K13">
        <v>7.82</v>
      </c>
      <c r="L13">
        <v>7.27</v>
      </c>
      <c r="M13">
        <v>7.56</v>
      </c>
      <c r="N13">
        <v>8.14</v>
      </c>
      <c r="O13">
        <v>7.57</v>
      </c>
      <c r="P13">
        <v>7.86</v>
      </c>
      <c r="Q13">
        <v>7.79</v>
      </c>
      <c r="R13">
        <v>7.12</v>
      </c>
      <c r="S13">
        <v>7.46</v>
      </c>
    </row>
    <row r="14" spans="1:19" x14ac:dyDescent="0.3">
      <c r="A14" t="s">
        <v>97</v>
      </c>
      <c r="B14">
        <v>5.86</v>
      </c>
      <c r="C14">
        <v>5.97</v>
      </c>
      <c r="D14">
        <v>5.91</v>
      </c>
      <c r="E14">
        <v>6.19</v>
      </c>
      <c r="F14">
        <v>6.38</v>
      </c>
      <c r="G14">
        <v>6.28</v>
      </c>
      <c r="H14">
        <v>6.81</v>
      </c>
      <c r="I14">
        <v>6.77</v>
      </c>
      <c r="J14">
        <v>6.79</v>
      </c>
      <c r="K14">
        <v>7.41</v>
      </c>
      <c r="L14">
        <v>7.24</v>
      </c>
      <c r="M14">
        <v>7.33</v>
      </c>
      <c r="N14">
        <v>7.63</v>
      </c>
      <c r="O14">
        <v>7.11</v>
      </c>
      <c r="P14">
        <v>7.38</v>
      </c>
      <c r="Q14">
        <v>8.01</v>
      </c>
      <c r="R14">
        <v>7.46</v>
      </c>
      <c r="S14">
        <v>7.74</v>
      </c>
    </row>
    <row r="15" spans="1:19" x14ac:dyDescent="0.3">
      <c r="A15" t="s">
        <v>98</v>
      </c>
      <c r="B15">
        <v>5</v>
      </c>
      <c r="C15">
        <v>5.28</v>
      </c>
      <c r="D15">
        <v>5.13</v>
      </c>
      <c r="E15">
        <v>5.46</v>
      </c>
      <c r="F15">
        <v>5.66</v>
      </c>
      <c r="G15">
        <v>5.56</v>
      </c>
      <c r="H15">
        <v>5.84</v>
      </c>
      <c r="I15">
        <v>6.11</v>
      </c>
      <c r="J15">
        <v>5.97</v>
      </c>
      <c r="K15">
        <v>6.49</v>
      </c>
      <c r="L15">
        <v>6.54</v>
      </c>
      <c r="M15">
        <v>6.51</v>
      </c>
      <c r="N15">
        <v>7.13</v>
      </c>
      <c r="O15">
        <v>7.04</v>
      </c>
      <c r="P15">
        <v>7.09</v>
      </c>
      <c r="Q15">
        <v>7.41</v>
      </c>
      <c r="R15">
        <v>6.98</v>
      </c>
      <c r="S15">
        <v>7.2</v>
      </c>
    </row>
    <row r="16" spans="1:19" x14ac:dyDescent="0.3">
      <c r="A16" t="s">
        <v>99</v>
      </c>
      <c r="B16">
        <v>4.07</v>
      </c>
      <c r="C16">
        <v>4.4000000000000004</v>
      </c>
      <c r="D16">
        <v>4.2300000000000004</v>
      </c>
      <c r="E16">
        <v>4.55</v>
      </c>
      <c r="F16">
        <v>4.9400000000000004</v>
      </c>
      <c r="G16">
        <v>4.74</v>
      </c>
      <c r="H16">
        <v>5.04</v>
      </c>
      <c r="I16">
        <v>5.37</v>
      </c>
      <c r="J16">
        <v>5.2</v>
      </c>
      <c r="K16">
        <v>5.45</v>
      </c>
      <c r="L16">
        <v>5.84</v>
      </c>
      <c r="M16">
        <v>5.64</v>
      </c>
      <c r="N16">
        <v>6.12</v>
      </c>
      <c r="O16">
        <v>6.32</v>
      </c>
      <c r="P16">
        <v>6.21</v>
      </c>
      <c r="Q16">
        <v>6.8</v>
      </c>
      <c r="R16">
        <v>6.87</v>
      </c>
      <c r="S16">
        <v>6.83</v>
      </c>
    </row>
    <row r="17" spans="1:19" x14ac:dyDescent="0.3">
      <c r="A17" t="s">
        <v>100</v>
      </c>
      <c r="B17">
        <v>3.09</v>
      </c>
      <c r="C17">
        <v>3.36</v>
      </c>
      <c r="D17">
        <v>3.22</v>
      </c>
      <c r="E17">
        <v>3.57</v>
      </c>
      <c r="F17">
        <v>4.0199999999999996</v>
      </c>
      <c r="G17">
        <v>3.79</v>
      </c>
      <c r="H17">
        <v>4.05</v>
      </c>
      <c r="I17">
        <v>4.59</v>
      </c>
      <c r="J17">
        <v>4.3099999999999996</v>
      </c>
      <c r="K17">
        <v>4.54</v>
      </c>
      <c r="L17">
        <v>5.04</v>
      </c>
      <c r="M17">
        <v>4.78</v>
      </c>
      <c r="N17">
        <v>4.9800000000000004</v>
      </c>
      <c r="O17">
        <v>5.55</v>
      </c>
      <c r="P17">
        <v>5.26</v>
      </c>
      <c r="Q17">
        <v>5.67</v>
      </c>
      <c r="R17">
        <v>6.07</v>
      </c>
      <c r="S17">
        <v>5.87</v>
      </c>
    </row>
    <row r="18" spans="1:19" x14ac:dyDescent="0.3">
      <c r="A18" t="s">
        <v>101</v>
      </c>
      <c r="B18">
        <v>1.98</v>
      </c>
      <c r="C18">
        <v>2.41</v>
      </c>
      <c r="D18">
        <v>2.19</v>
      </c>
      <c r="E18">
        <v>2.52</v>
      </c>
      <c r="F18">
        <v>2.93</v>
      </c>
      <c r="G18">
        <v>2.72</v>
      </c>
      <c r="H18">
        <v>2.97</v>
      </c>
      <c r="I18">
        <v>3.57</v>
      </c>
      <c r="J18">
        <v>3.26</v>
      </c>
      <c r="K18">
        <v>3.42</v>
      </c>
      <c r="L18">
        <v>4.1399999999999997</v>
      </c>
      <c r="M18">
        <v>3.77</v>
      </c>
      <c r="N18">
        <v>3.91</v>
      </c>
      <c r="O18">
        <v>4.63</v>
      </c>
      <c r="P18">
        <v>4.26</v>
      </c>
      <c r="Q18">
        <v>4.3600000000000003</v>
      </c>
      <c r="R18">
        <v>5.18</v>
      </c>
      <c r="S18">
        <v>4.76</v>
      </c>
    </row>
    <row r="19" spans="1:19" x14ac:dyDescent="0.3">
      <c r="A19" t="s">
        <v>102</v>
      </c>
      <c r="B19">
        <v>1.26</v>
      </c>
      <c r="C19">
        <v>1.71</v>
      </c>
      <c r="D19">
        <v>1.48</v>
      </c>
      <c r="E19">
        <v>1.41</v>
      </c>
      <c r="F19">
        <v>1.89</v>
      </c>
      <c r="G19">
        <v>1.64</v>
      </c>
      <c r="H19">
        <v>1.84</v>
      </c>
      <c r="I19">
        <v>2.37</v>
      </c>
      <c r="J19">
        <v>2.1</v>
      </c>
      <c r="K19">
        <v>2.21</v>
      </c>
      <c r="L19">
        <v>2.97</v>
      </c>
      <c r="M19">
        <v>2.58</v>
      </c>
      <c r="N19">
        <v>2.61</v>
      </c>
      <c r="O19">
        <v>3.54</v>
      </c>
      <c r="P19">
        <v>3.06</v>
      </c>
      <c r="Q19">
        <v>3.05</v>
      </c>
      <c r="R19">
        <v>4.05</v>
      </c>
      <c r="S19">
        <v>3.54</v>
      </c>
    </row>
    <row r="20" spans="1:19" x14ac:dyDescent="0.3">
      <c r="A20" t="s">
        <v>103</v>
      </c>
      <c r="B20">
        <v>0.71</v>
      </c>
      <c r="C20">
        <v>1.19</v>
      </c>
      <c r="D20">
        <v>0.94</v>
      </c>
      <c r="E20">
        <v>0.9</v>
      </c>
      <c r="F20">
        <v>1.51</v>
      </c>
      <c r="G20">
        <v>1.2</v>
      </c>
      <c r="H20">
        <v>1.08</v>
      </c>
      <c r="I20">
        <v>1.84</v>
      </c>
      <c r="J20">
        <v>1.45</v>
      </c>
      <c r="K20">
        <v>1.41</v>
      </c>
      <c r="L20">
        <v>2.4</v>
      </c>
      <c r="M20">
        <v>1.89</v>
      </c>
      <c r="N20">
        <v>1.79</v>
      </c>
      <c r="O20">
        <v>3.19</v>
      </c>
      <c r="P20">
        <v>2.48</v>
      </c>
      <c r="Q20">
        <v>2.2400000000000002</v>
      </c>
      <c r="R20">
        <v>4.1500000000000004</v>
      </c>
      <c r="S20">
        <v>3.18</v>
      </c>
    </row>
    <row r="21" spans="1:19" x14ac:dyDescent="0.3">
      <c r="A21" t="s">
        <v>73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</row>
  </sheetData>
  <mergeCells count="6">
    <mergeCell ref="Q2:S2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39"/>
  <sheetViews>
    <sheetView workbookViewId="0">
      <selection activeCell="J8" sqref="J8"/>
    </sheetView>
  </sheetViews>
  <sheetFormatPr defaultRowHeight="14.4" x14ac:dyDescent="0.3"/>
  <cols>
    <col min="1" max="1" width="30.77734375" customWidth="1"/>
  </cols>
  <sheetData>
    <row r="1" spans="1:7" x14ac:dyDescent="0.3">
      <c r="A1" s="2" t="s">
        <v>119</v>
      </c>
      <c r="B1" s="1"/>
      <c r="C1" s="1"/>
      <c r="D1" s="1"/>
      <c r="E1" s="1"/>
      <c r="F1" s="1"/>
      <c r="G1" s="1"/>
    </row>
    <row r="2" spans="1:7" x14ac:dyDescent="0.3">
      <c r="A2" t="s">
        <v>52</v>
      </c>
      <c r="B2">
        <v>2026</v>
      </c>
      <c r="C2">
        <v>2031</v>
      </c>
      <c r="D2">
        <v>2036</v>
      </c>
      <c r="E2">
        <v>2041</v>
      </c>
      <c r="F2">
        <v>2046</v>
      </c>
      <c r="G2">
        <v>2051</v>
      </c>
    </row>
    <row r="3" spans="1:7" x14ac:dyDescent="0.3">
      <c r="A3" t="s">
        <v>53</v>
      </c>
    </row>
    <row r="4" spans="1:7" x14ac:dyDescent="0.3">
      <c r="A4" t="s">
        <v>54</v>
      </c>
      <c r="B4">
        <v>1.79</v>
      </c>
      <c r="C4">
        <v>1.7</v>
      </c>
      <c r="D4">
        <v>1.65</v>
      </c>
      <c r="E4">
        <v>1.62</v>
      </c>
      <c r="F4">
        <v>1.61</v>
      </c>
      <c r="G4">
        <v>1.6</v>
      </c>
    </row>
    <row r="5" spans="1:7" x14ac:dyDescent="0.3">
      <c r="A5" t="s">
        <v>55</v>
      </c>
      <c r="B5">
        <v>0.83</v>
      </c>
      <c r="C5">
        <v>0.79</v>
      </c>
      <c r="D5">
        <v>0.77</v>
      </c>
      <c r="E5">
        <v>0.76</v>
      </c>
      <c r="F5">
        <v>0.76</v>
      </c>
      <c r="G5">
        <v>0.76</v>
      </c>
    </row>
    <row r="6" spans="1:7" x14ac:dyDescent="0.3">
      <c r="A6" t="s">
        <v>56</v>
      </c>
      <c r="B6">
        <v>0.76</v>
      </c>
      <c r="C6">
        <v>0.74</v>
      </c>
      <c r="D6">
        <v>0.73</v>
      </c>
      <c r="E6">
        <v>0.72</v>
      </c>
      <c r="F6">
        <v>0.73</v>
      </c>
      <c r="G6">
        <v>0.73</v>
      </c>
    </row>
    <row r="7" spans="1:7" x14ac:dyDescent="0.3">
      <c r="A7" t="s">
        <v>57</v>
      </c>
      <c r="B7">
        <v>26.2</v>
      </c>
      <c r="C7">
        <v>26.4</v>
      </c>
      <c r="D7">
        <v>26.6</v>
      </c>
      <c r="E7">
        <v>26.7</v>
      </c>
      <c r="F7">
        <v>26.9</v>
      </c>
      <c r="G7">
        <v>27.1</v>
      </c>
    </row>
    <row r="8" spans="1:7" x14ac:dyDescent="0.3">
      <c r="A8" t="s">
        <v>58</v>
      </c>
      <c r="B8">
        <v>0.26</v>
      </c>
      <c r="C8">
        <v>0.24</v>
      </c>
      <c r="D8">
        <v>0.22</v>
      </c>
      <c r="E8">
        <v>0.22</v>
      </c>
      <c r="F8">
        <v>0.22</v>
      </c>
      <c r="G8">
        <v>0.22</v>
      </c>
    </row>
    <row r="9" spans="1:7" x14ac:dyDescent="0.3">
      <c r="A9" t="s">
        <v>59</v>
      </c>
    </row>
    <row r="10" spans="1:7" x14ac:dyDescent="0.3">
      <c r="A10" t="s">
        <v>60</v>
      </c>
      <c r="B10">
        <v>66.400000000000006</v>
      </c>
      <c r="C10">
        <v>67.8</v>
      </c>
      <c r="D10">
        <v>69.400000000000006</v>
      </c>
      <c r="E10">
        <v>70.7</v>
      </c>
      <c r="F10">
        <v>71.900000000000006</v>
      </c>
      <c r="G10">
        <v>73.2</v>
      </c>
    </row>
    <row r="11" spans="1:7" x14ac:dyDescent="0.3">
      <c r="A11" t="s">
        <v>61</v>
      </c>
      <c r="B11">
        <v>71.5</v>
      </c>
      <c r="C11">
        <v>73.400000000000006</v>
      </c>
      <c r="D11">
        <v>75.3</v>
      </c>
      <c r="E11">
        <v>76.8</v>
      </c>
      <c r="F11">
        <v>78.3</v>
      </c>
      <c r="G11">
        <v>79.900000000000006</v>
      </c>
    </row>
    <row r="12" spans="1:7" x14ac:dyDescent="0.3">
      <c r="A12" t="s">
        <v>62</v>
      </c>
      <c r="B12">
        <v>68.8</v>
      </c>
      <c r="C12">
        <v>70.5</v>
      </c>
      <c r="D12">
        <v>72.2</v>
      </c>
      <c r="E12">
        <v>73.599999999999994</v>
      </c>
      <c r="F12">
        <v>74.900000000000006</v>
      </c>
      <c r="G12">
        <v>76.400000000000006</v>
      </c>
    </row>
    <row r="13" spans="1:7" x14ac:dyDescent="0.3">
      <c r="A13" t="s">
        <v>63</v>
      </c>
      <c r="B13">
        <v>59.5</v>
      </c>
      <c r="C13">
        <v>53.1</v>
      </c>
      <c r="D13">
        <v>46.7</v>
      </c>
      <c r="E13">
        <v>41.6</v>
      </c>
      <c r="F13">
        <v>36.9</v>
      </c>
      <c r="G13">
        <v>32.200000000000003</v>
      </c>
    </row>
    <row r="14" spans="1:7" x14ac:dyDescent="0.3">
      <c r="A14" t="s">
        <v>64</v>
      </c>
      <c r="B14">
        <v>73.7</v>
      </c>
      <c r="C14">
        <v>64.599999999999994</v>
      </c>
      <c r="D14">
        <v>55.5</v>
      </c>
      <c r="E14">
        <v>49</v>
      </c>
      <c r="F14">
        <v>43.2</v>
      </c>
      <c r="G14">
        <v>37.299999999999997</v>
      </c>
    </row>
    <row r="15" spans="1:7" x14ac:dyDescent="0.3">
      <c r="A15" t="s">
        <v>108</v>
      </c>
    </row>
    <row r="16" spans="1:7" x14ac:dyDescent="0.3">
      <c r="A16" t="s">
        <v>74</v>
      </c>
      <c r="B16">
        <v>878</v>
      </c>
      <c r="C16">
        <v>349</v>
      </c>
      <c r="D16">
        <v>-181</v>
      </c>
      <c r="E16">
        <v>-710</v>
      </c>
      <c r="F16">
        <v>-1239</v>
      </c>
      <c r="G16">
        <v>-1768</v>
      </c>
    </row>
    <row r="17" spans="1:7" x14ac:dyDescent="0.3">
      <c r="A17" t="s">
        <v>75</v>
      </c>
      <c r="B17">
        <v>1730</v>
      </c>
      <c r="C17">
        <v>1016</v>
      </c>
      <c r="D17">
        <v>302</v>
      </c>
      <c r="E17">
        <v>-412</v>
      </c>
      <c r="F17">
        <v>-1126</v>
      </c>
      <c r="G17">
        <v>-1840</v>
      </c>
    </row>
    <row r="18" spans="1:7" x14ac:dyDescent="0.3">
      <c r="A18" t="s">
        <v>73</v>
      </c>
      <c r="B18">
        <v>2608</v>
      </c>
      <c r="C18">
        <v>1365</v>
      </c>
      <c r="D18">
        <v>121</v>
      </c>
      <c r="E18">
        <v>-1122</v>
      </c>
      <c r="F18">
        <v>-2365</v>
      </c>
      <c r="G18">
        <v>-3608</v>
      </c>
    </row>
    <row r="19" spans="1:7" x14ac:dyDescent="0.3">
      <c r="A19" t="s">
        <v>65</v>
      </c>
    </row>
    <row r="20" spans="1:7" x14ac:dyDescent="0.3">
      <c r="A20" t="s">
        <v>66</v>
      </c>
      <c r="B20">
        <v>14</v>
      </c>
      <c r="C20">
        <v>12.5</v>
      </c>
      <c r="D20">
        <v>11.6</v>
      </c>
      <c r="E20">
        <v>10.9</v>
      </c>
      <c r="F20">
        <v>10.199999999999999</v>
      </c>
      <c r="G20">
        <v>9.3000000000000007</v>
      </c>
    </row>
    <row r="21" spans="1:7" x14ac:dyDescent="0.3">
      <c r="A21" t="s">
        <v>67</v>
      </c>
      <c r="B21">
        <v>7.5</v>
      </c>
      <c r="C21">
        <v>7.6</v>
      </c>
      <c r="D21">
        <v>7.6</v>
      </c>
      <c r="E21">
        <v>8</v>
      </c>
      <c r="F21">
        <v>8.6</v>
      </c>
      <c r="G21">
        <v>9.3000000000000007</v>
      </c>
    </row>
    <row r="22" spans="1:7" x14ac:dyDescent="0.3">
      <c r="A22" t="s">
        <v>68</v>
      </c>
      <c r="B22">
        <v>0.65</v>
      </c>
      <c r="C22">
        <v>0.48</v>
      </c>
      <c r="D22">
        <v>0.4</v>
      </c>
      <c r="E22">
        <v>0.28999999999999998</v>
      </c>
      <c r="F22">
        <v>0.15</v>
      </c>
      <c r="G22">
        <v>0</v>
      </c>
    </row>
    <row r="23" spans="1:7" x14ac:dyDescent="0.3">
      <c r="A23" t="s">
        <v>69</v>
      </c>
    </row>
    <row r="24" spans="1:7" x14ac:dyDescent="0.3">
      <c r="A24" t="s">
        <v>70</v>
      </c>
      <c r="B24">
        <v>0.41</v>
      </c>
      <c r="C24">
        <v>0.38</v>
      </c>
      <c r="D24">
        <v>0.36</v>
      </c>
      <c r="E24">
        <v>0.34</v>
      </c>
      <c r="F24">
        <v>0.32</v>
      </c>
      <c r="G24">
        <v>0.3</v>
      </c>
    </row>
    <row r="25" spans="1:7" x14ac:dyDescent="0.3">
      <c r="A25" t="s">
        <v>71</v>
      </c>
      <c r="B25">
        <v>0.22</v>
      </c>
      <c r="C25">
        <v>0.23</v>
      </c>
      <c r="D25">
        <v>0.24</v>
      </c>
      <c r="E25">
        <v>0.25</v>
      </c>
      <c r="F25">
        <v>0.28000000000000003</v>
      </c>
      <c r="G25">
        <v>0.3</v>
      </c>
    </row>
    <row r="26" spans="1:7" x14ac:dyDescent="0.3">
      <c r="A26" t="s">
        <v>72</v>
      </c>
    </row>
    <row r="27" spans="1:7" x14ac:dyDescent="0.3">
      <c r="A27" t="s">
        <v>73</v>
      </c>
      <c r="B27">
        <v>29.6</v>
      </c>
      <c r="C27">
        <v>30.4</v>
      </c>
      <c r="D27">
        <v>31.1</v>
      </c>
      <c r="E27">
        <v>31.6</v>
      </c>
      <c r="F27">
        <v>31.9</v>
      </c>
      <c r="G27">
        <v>32</v>
      </c>
    </row>
    <row r="28" spans="1:7" x14ac:dyDescent="0.3">
      <c r="A28" t="s">
        <v>74</v>
      </c>
      <c r="B28">
        <v>15.7</v>
      </c>
      <c r="C28">
        <v>16.100000000000001</v>
      </c>
      <c r="D28">
        <v>16.399999999999999</v>
      </c>
      <c r="E28">
        <v>16.600000000000001</v>
      </c>
      <c r="F28">
        <v>16.7</v>
      </c>
      <c r="G28">
        <v>16.7</v>
      </c>
    </row>
    <row r="29" spans="1:7" x14ac:dyDescent="0.3">
      <c r="A29" t="s">
        <v>75</v>
      </c>
      <c r="B29">
        <v>13.9</v>
      </c>
      <c r="C29">
        <v>14.3</v>
      </c>
      <c r="D29">
        <v>14.7</v>
      </c>
      <c r="E29">
        <v>15</v>
      </c>
      <c r="F29">
        <v>15.2</v>
      </c>
      <c r="G29">
        <v>15.3</v>
      </c>
    </row>
    <row r="30" spans="1:7" x14ac:dyDescent="0.3">
      <c r="A30" t="s">
        <v>76</v>
      </c>
      <c r="B30">
        <v>6.8</v>
      </c>
      <c r="C30">
        <v>6</v>
      </c>
      <c r="D30">
        <v>5.6</v>
      </c>
      <c r="E30">
        <v>5.3</v>
      </c>
      <c r="F30">
        <v>5</v>
      </c>
      <c r="G30">
        <v>4.5999999999999996</v>
      </c>
    </row>
    <row r="31" spans="1:7" x14ac:dyDescent="0.3">
      <c r="A31" t="s">
        <v>77</v>
      </c>
      <c r="B31">
        <v>15.7</v>
      </c>
      <c r="C31">
        <v>13.9</v>
      </c>
      <c r="D31">
        <v>12.2</v>
      </c>
      <c r="E31">
        <v>11.2</v>
      </c>
      <c r="F31">
        <v>10.6</v>
      </c>
      <c r="G31">
        <v>10.1</v>
      </c>
    </row>
    <row r="32" spans="1:7" x14ac:dyDescent="0.3">
      <c r="A32" t="s">
        <v>78</v>
      </c>
      <c r="B32">
        <v>16.2</v>
      </c>
      <c r="C32">
        <v>15.4</v>
      </c>
      <c r="D32">
        <v>14.9</v>
      </c>
      <c r="E32">
        <v>13.4</v>
      </c>
      <c r="F32">
        <v>11.9</v>
      </c>
      <c r="G32">
        <v>11</v>
      </c>
    </row>
    <row r="33" spans="1:7" x14ac:dyDescent="0.3">
      <c r="A33" t="s">
        <v>79</v>
      </c>
      <c r="B33">
        <v>56.2</v>
      </c>
      <c r="C33">
        <v>56</v>
      </c>
      <c r="D33">
        <v>54.9</v>
      </c>
      <c r="E33">
        <v>52.1</v>
      </c>
      <c r="F33">
        <v>49</v>
      </c>
      <c r="G33">
        <v>46</v>
      </c>
    </row>
    <row r="34" spans="1:7" x14ac:dyDescent="0.3">
      <c r="A34" t="s">
        <v>80</v>
      </c>
      <c r="B34">
        <v>66.599999999999994</v>
      </c>
      <c r="C34">
        <v>67.3</v>
      </c>
      <c r="D34">
        <v>67.099999999999994</v>
      </c>
      <c r="E34">
        <v>66.3</v>
      </c>
      <c r="F34">
        <v>64.3</v>
      </c>
      <c r="G34">
        <v>61.6</v>
      </c>
    </row>
    <row r="35" spans="1:7" x14ac:dyDescent="0.3">
      <c r="A35" t="s">
        <v>81</v>
      </c>
      <c r="B35">
        <v>11</v>
      </c>
      <c r="C35">
        <v>12.7</v>
      </c>
      <c r="D35">
        <v>14.9</v>
      </c>
      <c r="E35">
        <v>17.2</v>
      </c>
      <c r="F35">
        <v>20.100000000000001</v>
      </c>
      <c r="G35">
        <v>23.6</v>
      </c>
    </row>
    <row r="36" spans="1:7" x14ac:dyDescent="0.3">
      <c r="A36" t="s">
        <v>82</v>
      </c>
      <c r="B36">
        <v>55</v>
      </c>
      <c r="C36">
        <v>54.5</v>
      </c>
      <c r="D36">
        <v>53.2</v>
      </c>
      <c r="E36">
        <v>50.3</v>
      </c>
      <c r="F36">
        <v>47.4</v>
      </c>
      <c r="G36">
        <v>44.6</v>
      </c>
    </row>
    <row r="37" spans="1:7" x14ac:dyDescent="0.3">
      <c r="A37" t="s">
        <v>83</v>
      </c>
      <c r="B37">
        <v>112.6</v>
      </c>
      <c r="C37">
        <v>112</v>
      </c>
      <c r="D37">
        <v>111.4</v>
      </c>
      <c r="E37">
        <v>110.6</v>
      </c>
      <c r="F37">
        <v>109.7</v>
      </c>
      <c r="G37">
        <v>108.7</v>
      </c>
    </row>
    <row r="38" spans="1:7" x14ac:dyDescent="0.3">
      <c r="A38" t="s">
        <v>84</v>
      </c>
      <c r="B38">
        <v>52.2</v>
      </c>
      <c r="C38">
        <v>50.2</v>
      </c>
      <c r="D38">
        <v>48.6</v>
      </c>
      <c r="E38">
        <v>48.6</v>
      </c>
      <c r="F38">
        <v>50.8</v>
      </c>
      <c r="G38">
        <v>55.4</v>
      </c>
    </row>
    <row r="39" spans="1:7" x14ac:dyDescent="0.3">
      <c r="A39" t="s">
        <v>85</v>
      </c>
      <c r="B39">
        <v>31</v>
      </c>
      <c r="C39">
        <v>34</v>
      </c>
      <c r="D39">
        <v>36</v>
      </c>
      <c r="E39">
        <v>39</v>
      </c>
      <c r="F39">
        <v>41</v>
      </c>
      <c r="G39">
        <v>43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S21"/>
  <sheetViews>
    <sheetView workbookViewId="0">
      <selection activeCell="V10" sqref="V10"/>
    </sheetView>
  </sheetViews>
  <sheetFormatPr defaultRowHeight="14.4" x14ac:dyDescent="0.3"/>
  <sheetData>
    <row r="1" spans="1:19" x14ac:dyDescent="0.3">
      <c r="A1" s="2" t="s">
        <v>120</v>
      </c>
      <c r="B1" s="1"/>
      <c r="C1" s="1"/>
      <c r="D1" s="1"/>
      <c r="E1" s="1"/>
      <c r="F1" s="1"/>
      <c r="G1" s="1"/>
      <c r="H1" s="1"/>
      <c r="I1" s="1"/>
      <c r="J1" s="1"/>
    </row>
    <row r="2" spans="1:19" s="3" customFormat="1" x14ac:dyDescent="0.3">
      <c r="A2" s="3" t="s">
        <v>93</v>
      </c>
      <c r="B2" s="34">
        <v>2026</v>
      </c>
      <c r="C2" s="34"/>
      <c r="D2" s="34"/>
      <c r="E2" s="34">
        <v>2031</v>
      </c>
      <c r="F2" s="34"/>
      <c r="G2" s="34"/>
      <c r="H2" s="34">
        <v>2036</v>
      </c>
      <c r="I2" s="34"/>
      <c r="J2" s="34"/>
      <c r="K2" s="37">
        <v>2041</v>
      </c>
      <c r="L2" s="37"/>
      <c r="M2" s="37"/>
      <c r="N2" s="37">
        <v>2046</v>
      </c>
      <c r="O2" s="37"/>
      <c r="P2" s="37"/>
      <c r="Q2" s="37">
        <v>2051</v>
      </c>
      <c r="R2" s="37"/>
      <c r="S2" s="37"/>
    </row>
    <row r="3" spans="1:19" s="3" customFormat="1" x14ac:dyDescent="0.3">
      <c r="B3" s="3" t="s">
        <v>16</v>
      </c>
      <c r="C3" s="3" t="s">
        <v>46</v>
      </c>
      <c r="D3" s="3" t="s">
        <v>91</v>
      </c>
      <c r="E3" s="3" t="s">
        <v>16</v>
      </c>
      <c r="F3" s="3" t="s">
        <v>46</v>
      </c>
      <c r="G3" s="3" t="s">
        <v>91</v>
      </c>
      <c r="H3" s="3" t="s">
        <v>16</v>
      </c>
      <c r="I3" s="3" t="s">
        <v>46</v>
      </c>
      <c r="J3" s="3" t="s">
        <v>91</v>
      </c>
      <c r="K3" s="3" t="s">
        <v>16</v>
      </c>
      <c r="L3" s="3" t="s">
        <v>46</v>
      </c>
      <c r="M3" s="3" t="s">
        <v>91</v>
      </c>
      <c r="N3" s="3" t="s">
        <v>16</v>
      </c>
      <c r="O3" s="3" t="s">
        <v>46</v>
      </c>
      <c r="P3" s="3" t="s">
        <v>91</v>
      </c>
      <c r="Q3" s="3" t="s">
        <v>16</v>
      </c>
      <c r="R3" s="3" t="s">
        <v>46</v>
      </c>
      <c r="S3" s="3" t="s">
        <v>91</v>
      </c>
    </row>
    <row r="4" spans="1:19" x14ac:dyDescent="0.3">
      <c r="A4" t="s">
        <v>94</v>
      </c>
      <c r="B4">
        <v>6.82</v>
      </c>
      <c r="C4">
        <v>6.68</v>
      </c>
      <c r="D4">
        <v>6.76</v>
      </c>
      <c r="E4">
        <v>6.09</v>
      </c>
      <c r="F4">
        <v>5.99</v>
      </c>
      <c r="G4">
        <v>6.04</v>
      </c>
      <c r="H4">
        <v>5.59</v>
      </c>
      <c r="I4">
        <v>5.52</v>
      </c>
      <c r="J4">
        <v>5.55</v>
      </c>
      <c r="K4">
        <v>5.31</v>
      </c>
      <c r="L4">
        <v>5.25</v>
      </c>
      <c r="M4">
        <v>5.28</v>
      </c>
      <c r="N4">
        <v>5.03</v>
      </c>
      <c r="O4">
        <v>4.97</v>
      </c>
      <c r="P4">
        <v>5</v>
      </c>
      <c r="Q4">
        <v>4.67</v>
      </c>
      <c r="R4">
        <v>4.62</v>
      </c>
      <c r="S4">
        <v>4.6399999999999997</v>
      </c>
    </row>
    <row r="5" spans="1:19" x14ac:dyDescent="0.3">
      <c r="A5" t="s">
        <v>95</v>
      </c>
      <c r="B5">
        <v>7.75</v>
      </c>
      <c r="C5">
        <v>7.56</v>
      </c>
      <c r="D5">
        <v>7.66</v>
      </c>
      <c r="E5">
        <v>6.58</v>
      </c>
      <c r="F5">
        <v>6.43</v>
      </c>
      <c r="G5">
        <v>6.51</v>
      </c>
      <c r="H5">
        <v>5.92</v>
      </c>
      <c r="I5">
        <v>5.81</v>
      </c>
      <c r="J5">
        <v>5.87</v>
      </c>
      <c r="K5">
        <v>5.47</v>
      </c>
      <c r="L5">
        <v>5.38</v>
      </c>
      <c r="M5">
        <v>5.43</v>
      </c>
      <c r="N5">
        <v>5.24</v>
      </c>
      <c r="O5">
        <v>5.15</v>
      </c>
      <c r="P5">
        <v>5.2</v>
      </c>
      <c r="Q5">
        <v>5.01</v>
      </c>
      <c r="R5">
        <v>4.92</v>
      </c>
      <c r="S5">
        <v>4.96</v>
      </c>
    </row>
    <row r="6" spans="1:19" x14ac:dyDescent="0.3">
      <c r="A6" t="s">
        <v>96</v>
      </c>
      <c r="B6">
        <v>8.17</v>
      </c>
      <c r="C6">
        <v>7.87</v>
      </c>
      <c r="D6">
        <v>8.0299999999999994</v>
      </c>
      <c r="E6">
        <v>7.54</v>
      </c>
      <c r="F6">
        <v>7.33</v>
      </c>
      <c r="G6">
        <v>7.44</v>
      </c>
      <c r="H6">
        <v>6.44</v>
      </c>
      <c r="I6">
        <v>6.27</v>
      </c>
      <c r="J6">
        <v>6.36</v>
      </c>
      <c r="K6">
        <v>5.83</v>
      </c>
      <c r="L6">
        <v>5.69</v>
      </c>
      <c r="M6">
        <v>5.76</v>
      </c>
      <c r="N6">
        <v>5.43</v>
      </c>
      <c r="O6">
        <v>5.29</v>
      </c>
      <c r="P6">
        <v>5.36</v>
      </c>
      <c r="Q6">
        <v>5.24</v>
      </c>
      <c r="R6">
        <v>5.0999999999999996</v>
      </c>
      <c r="S6">
        <v>5.18</v>
      </c>
    </row>
    <row r="7" spans="1:19" x14ac:dyDescent="0.3">
      <c r="A7" t="s">
        <v>35</v>
      </c>
      <c r="B7">
        <v>8.0500000000000007</v>
      </c>
      <c r="C7">
        <v>7.65</v>
      </c>
      <c r="D7">
        <v>7.86</v>
      </c>
      <c r="E7">
        <v>7.94</v>
      </c>
      <c r="F7">
        <v>7.62</v>
      </c>
      <c r="G7">
        <v>7.79</v>
      </c>
      <c r="H7">
        <v>7.38</v>
      </c>
      <c r="I7">
        <v>7.14</v>
      </c>
      <c r="J7">
        <v>7.27</v>
      </c>
      <c r="K7">
        <v>6.34</v>
      </c>
      <c r="L7">
        <v>6.13</v>
      </c>
      <c r="M7">
        <v>6.24</v>
      </c>
      <c r="N7">
        <v>5.78</v>
      </c>
      <c r="O7">
        <v>5.6</v>
      </c>
      <c r="P7">
        <v>5.69</v>
      </c>
      <c r="Q7">
        <v>5.42</v>
      </c>
      <c r="R7">
        <v>5.25</v>
      </c>
      <c r="S7">
        <v>5.34</v>
      </c>
    </row>
    <row r="8" spans="1:19" x14ac:dyDescent="0.3">
      <c r="A8" t="s">
        <v>36</v>
      </c>
      <c r="B8">
        <v>8.66</v>
      </c>
      <c r="C8">
        <v>8.0500000000000007</v>
      </c>
      <c r="D8">
        <v>8.3699999999999992</v>
      </c>
      <c r="E8">
        <v>7.81</v>
      </c>
      <c r="F8">
        <v>7.41</v>
      </c>
      <c r="G8">
        <v>7.62</v>
      </c>
      <c r="H8">
        <v>7.76</v>
      </c>
      <c r="I8">
        <v>7.42</v>
      </c>
      <c r="J8">
        <v>7.6</v>
      </c>
      <c r="K8">
        <v>7.25</v>
      </c>
      <c r="L8">
        <v>6.98</v>
      </c>
      <c r="M8">
        <v>7.13</v>
      </c>
      <c r="N8">
        <v>6.28</v>
      </c>
      <c r="O8">
        <v>6.03</v>
      </c>
      <c r="P8">
        <v>6.16</v>
      </c>
      <c r="Q8">
        <v>5.77</v>
      </c>
      <c r="R8">
        <v>5.55</v>
      </c>
      <c r="S8">
        <v>5.66</v>
      </c>
    </row>
    <row r="9" spans="1:19" x14ac:dyDescent="0.3">
      <c r="A9" t="s">
        <v>37</v>
      </c>
      <c r="B9">
        <v>9.27</v>
      </c>
      <c r="C9">
        <v>8.51</v>
      </c>
      <c r="D9">
        <v>8.91</v>
      </c>
      <c r="E9">
        <v>8.39</v>
      </c>
      <c r="F9">
        <v>7.79</v>
      </c>
      <c r="G9">
        <v>8.11</v>
      </c>
      <c r="H9">
        <v>7.63</v>
      </c>
      <c r="I9">
        <v>7.21</v>
      </c>
      <c r="J9">
        <v>7.43</v>
      </c>
      <c r="K9">
        <v>7.63</v>
      </c>
      <c r="L9">
        <v>7.25</v>
      </c>
      <c r="M9">
        <v>7.45</v>
      </c>
      <c r="N9">
        <v>7.18</v>
      </c>
      <c r="O9">
        <v>6.86</v>
      </c>
      <c r="P9">
        <v>7.03</v>
      </c>
      <c r="Q9">
        <v>6.26</v>
      </c>
      <c r="R9">
        <v>5.97</v>
      </c>
      <c r="S9">
        <v>6.12</v>
      </c>
    </row>
    <row r="10" spans="1:19" x14ac:dyDescent="0.3">
      <c r="A10" t="s">
        <v>38</v>
      </c>
      <c r="B10">
        <v>9.32</v>
      </c>
      <c r="C10">
        <v>8.4600000000000009</v>
      </c>
      <c r="D10">
        <v>8.91</v>
      </c>
      <c r="E10">
        <v>8.98</v>
      </c>
      <c r="F10">
        <v>8.23</v>
      </c>
      <c r="G10">
        <v>8.6199999999999992</v>
      </c>
      <c r="H10">
        <v>8.19</v>
      </c>
      <c r="I10">
        <v>7.57</v>
      </c>
      <c r="J10">
        <v>7.9</v>
      </c>
      <c r="K10">
        <v>7.49</v>
      </c>
      <c r="L10">
        <v>7.04</v>
      </c>
      <c r="M10">
        <v>7.27</v>
      </c>
      <c r="N10">
        <v>7.54</v>
      </c>
      <c r="O10">
        <v>7.13</v>
      </c>
      <c r="P10">
        <v>7.34</v>
      </c>
      <c r="Q10">
        <v>7.16</v>
      </c>
      <c r="R10">
        <v>6.79</v>
      </c>
      <c r="S10">
        <v>6.98</v>
      </c>
    </row>
    <row r="11" spans="1:19" x14ac:dyDescent="0.3">
      <c r="A11" t="s">
        <v>39</v>
      </c>
      <c r="B11">
        <v>8.57</v>
      </c>
      <c r="C11">
        <v>8.4700000000000006</v>
      </c>
      <c r="D11">
        <v>8.52</v>
      </c>
      <c r="E11">
        <v>9.01</v>
      </c>
      <c r="F11">
        <v>8.17</v>
      </c>
      <c r="G11">
        <v>8.61</v>
      </c>
      <c r="H11">
        <v>8.74</v>
      </c>
      <c r="I11">
        <v>8</v>
      </c>
      <c r="J11">
        <v>8.39</v>
      </c>
      <c r="K11">
        <v>8.0299999999999994</v>
      </c>
      <c r="L11">
        <v>7.39</v>
      </c>
      <c r="M11">
        <v>7.73</v>
      </c>
      <c r="N11">
        <v>7.39</v>
      </c>
      <c r="O11">
        <v>6.91</v>
      </c>
      <c r="P11">
        <v>7.16</v>
      </c>
      <c r="Q11">
        <v>7.51</v>
      </c>
      <c r="R11">
        <v>7.05</v>
      </c>
      <c r="S11">
        <v>7.29</v>
      </c>
    </row>
    <row r="12" spans="1:19" x14ac:dyDescent="0.3">
      <c r="A12" t="s">
        <v>40</v>
      </c>
      <c r="B12">
        <v>7.3</v>
      </c>
      <c r="C12">
        <v>7.45</v>
      </c>
      <c r="D12">
        <v>7.37</v>
      </c>
      <c r="E12">
        <v>8.25</v>
      </c>
      <c r="F12">
        <v>8.17</v>
      </c>
      <c r="G12">
        <v>8.2100000000000009</v>
      </c>
      <c r="H12">
        <v>8.75</v>
      </c>
      <c r="I12">
        <v>7.93</v>
      </c>
      <c r="J12">
        <v>8.36</v>
      </c>
      <c r="K12">
        <v>8.5500000000000007</v>
      </c>
      <c r="L12">
        <v>7.8</v>
      </c>
      <c r="M12">
        <v>8.19</v>
      </c>
      <c r="N12">
        <v>7.91</v>
      </c>
      <c r="O12">
        <v>7.25</v>
      </c>
      <c r="P12">
        <v>7.6</v>
      </c>
      <c r="Q12">
        <v>7.35</v>
      </c>
      <c r="R12">
        <v>6.83</v>
      </c>
      <c r="S12">
        <v>7.1</v>
      </c>
    </row>
    <row r="13" spans="1:19" x14ac:dyDescent="0.3">
      <c r="A13" t="s">
        <v>41</v>
      </c>
      <c r="B13">
        <v>5.99</v>
      </c>
      <c r="C13">
        <v>6.44</v>
      </c>
      <c r="D13">
        <v>6.2</v>
      </c>
      <c r="E13">
        <v>7</v>
      </c>
      <c r="F13">
        <v>7.16</v>
      </c>
      <c r="G13">
        <v>7.07</v>
      </c>
      <c r="H13">
        <v>7.97</v>
      </c>
      <c r="I13">
        <v>7.91</v>
      </c>
      <c r="J13">
        <v>7.94</v>
      </c>
      <c r="K13">
        <v>8.51</v>
      </c>
      <c r="L13">
        <v>7.71</v>
      </c>
      <c r="M13">
        <v>8.1300000000000008</v>
      </c>
      <c r="N13">
        <v>8.39</v>
      </c>
      <c r="O13">
        <v>7.63</v>
      </c>
      <c r="P13">
        <v>8.0299999999999994</v>
      </c>
      <c r="Q13">
        <v>7.83</v>
      </c>
      <c r="R13">
        <v>7.16</v>
      </c>
      <c r="S13">
        <v>7.51</v>
      </c>
    </row>
    <row r="14" spans="1:19" x14ac:dyDescent="0.3">
      <c r="A14" t="s">
        <v>97</v>
      </c>
      <c r="B14">
        <v>5.48</v>
      </c>
      <c r="C14">
        <v>5.9</v>
      </c>
      <c r="D14">
        <v>5.68</v>
      </c>
      <c r="E14">
        <v>5.67</v>
      </c>
      <c r="F14">
        <v>6.16</v>
      </c>
      <c r="G14">
        <v>5.9</v>
      </c>
      <c r="H14">
        <v>6.69</v>
      </c>
      <c r="I14">
        <v>6.9</v>
      </c>
      <c r="J14">
        <v>6.79</v>
      </c>
      <c r="K14">
        <v>7.69</v>
      </c>
      <c r="L14">
        <v>7.66</v>
      </c>
      <c r="M14">
        <v>7.67</v>
      </c>
      <c r="N14">
        <v>8.2799999999999994</v>
      </c>
      <c r="O14">
        <v>7.52</v>
      </c>
      <c r="P14">
        <v>7.92</v>
      </c>
      <c r="Q14">
        <v>8.24</v>
      </c>
      <c r="R14">
        <v>7.51</v>
      </c>
      <c r="S14">
        <v>7.89</v>
      </c>
    </row>
    <row r="15" spans="1:19" x14ac:dyDescent="0.3">
      <c r="A15" t="s">
        <v>98</v>
      </c>
      <c r="B15">
        <v>4.59</v>
      </c>
      <c r="C15">
        <v>4.8899999999999997</v>
      </c>
      <c r="D15">
        <v>4.7300000000000004</v>
      </c>
      <c r="E15">
        <v>5.1100000000000003</v>
      </c>
      <c r="F15">
        <v>5.6</v>
      </c>
      <c r="G15">
        <v>5.34</v>
      </c>
      <c r="H15">
        <v>5.35</v>
      </c>
      <c r="I15">
        <v>5.9</v>
      </c>
      <c r="J15">
        <v>5.61</v>
      </c>
      <c r="K15">
        <v>6.36</v>
      </c>
      <c r="L15">
        <v>6.65</v>
      </c>
      <c r="M15">
        <v>6.5</v>
      </c>
      <c r="N15">
        <v>7.38</v>
      </c>
      <c r="O15">
        <v>7.44</v>
      </c>
      <c r="P15">
        <v>7.41</v>
      </c>
      <c r="Q15">
        <v>8.0399999999999991</v>
      </c>
      <c r="R15">
        <v>7.37</v>
      </c>
      <c r="S15">
        <v>7.72</v>
      </c>
    </row>
    <row r="16" spans="1:19" x14ac:dyDescent="0.3">
      <c r="A16" t="s">
        <v>99</v>
      </c>
      <c r="B16">
        <v>3.61</v>
      </c>
      <c r="C16">
        <v>3.9</v>
      </c>
      <c r="D16">
        <v>3.74</v>
      </c>
      <c r="E16">
        <v>4.18</v>
      </c>
      <c r="F16">
        <v>4.58</v>
      </c>
      <c r="G16">
        <v>4.37</v>
      </c>
      <c r="H16">
        <v>4.71</v>
      </c>
      <c r="I16">
        <v>5.3</v>
      </c>
      <c r="J16">
        <v>4.99</v>
      </c>
      <c r="K16">
        <v>4.97</v>
      </c>
      <c r="L16">
        <v>5.63</v>
      </c>
      <c r="M16">
        <v>5.28</v>
      </c>
      <c r="N16">
        <v>5.99</v>
      </c>
      <c r="O16">
        <v>6.4</v>
      </c>
      <c r="P16">
        <v>6.18</v>
      </c>
      <c r="Q16">
        <v>7.03</v>
      </c>
      <c r="R16">
        <v>7.24</v>
      </c>
      <c r="S16">
        <v>7.13</v>
      </c>
    </row>
    <row r="17" spans="1:19" x14ac:dyDescent="0.3">
      <c r="A17" t="s">
        <v>100</v>
      </c>
      <c r="B17">
        <v>2.59</v>
      </c>
      <c r="C17">
        <v>2.87</v>
      </c>
      <c r="D17">
        <v>2.72</v>
      </c>
      <c r="E17">
        <v>3.17</v>
      </c>
      <c r="F17">
        <v>3.56</v>
      </c>
      <c r="G17">
        <v>3.35</v>
      </c>
      <c r="H17">
        <v>3.71</v>
      </c>
      <c r="I17">
        <v>4.24</v>
      </c>
      <c r="J17">
        <v>3.96</v>
      </c>
      <c r="K17">
        <v>4.2300000000000004</v>
      </c>
      <c r="L17">
        <v>4.96</v>
      </c>
      <c r="M17">
        <v>4.58</v>
      </c>
      <c r="N17">
        <v>4.54</v>
      </c>
      <c r="O17">
        <v>5.33</v>
      </c>
      <c r="P17">
        <v>4.92</v>
      </c>
      <c r="Q17">
        <v>5.55</v>
      </c>
      <c r="R17">
        <v>6.14</v>
      </c>
      <c r="S17">
        <v>5.83</v>
      </c>
    </row>
    <row r="18" spans="1:19" x14ac:dyDescent="0.3">
      <c r="A18" t="s">
        <v>101</v>
      </c>
      <c r="B18">
        <v>1.65</v>
      </c>
      <c r="C18">
        <v>2.15</v>
      </c>
      <c r="D18">
        <v>1.89</v>
      </c>
      <c r="E18">
        <v>2.12</v>
      </c>
      <c r="F18">
        <v>2.4900000000000002</v>
      </c>
      <c r="G18">
        <v>2.2999999999999998</v>
      </c>
      <c r="H18">
        <v>2.63</v>
      </c>
      <c r="I18">
        <v>3.15</v>
      </c>
      <c r="J18">
        <v>2.88</v>
      </c>
      <c r="K18">
        <v>3.14</v>
      </c>
      <c r="L18">
        <v>3.81</v>
      </c>
      <c r="M18">
        <v>3.46</v>
      </c>
      <c r="N18">
        <v>3.65</v>
      </c>
      <c r="O18">
        <v>4.53</v>
      </c>
      <c r="P18">
        <v>4.07</v>
      </c>
      <c r="Q18">
        <v>3.99</v>
      </c>
      <c r="R18">
        <v>4.95</v>
      </c>
      <c r="S18">
        <v>4.45</v>
      </c>
    </row>
    <row r="19" spans="1:19" x14ac:dyDescent="0.3">
      <c r="A19" t="s">
        <v>102</v>
      </c>
      <c r="B19">
        <v>1.41</v>
      </c>
      <c r="C19">
        <v>2.0099999999999998</v>
      </c>
      <c r="D19">
        <v>1.7</v>
      </c>
      <c r="E19">
        <v>1.17</v>
      </c>
      <c r="F19">
        <v>1.67</v>
      </c>
      <c r="G19">
        <v>1.41</v>
      </c>
      <c r="H19">
        <v>1.55</v>
      </c>
      <c r="I19">
        <v>2</v>
      </c>
      <c r="J19">
        <v>1.76</v>
      </c>
      <c r="K19">
        <v>1.96</v>
      </c>
      <c r="L19">
        <v>2.6</v>
      </c>
      <c r="M19">
        <v>2.2599999999999998</v>
      </c>
      <c r="N19">
        <v>2.4</v>
      </c>
      <c r="O19">
        <v>3.22</v>
      </c>
      <c r="P19">
        <v>2.79</v>
      </c>
      <c r="Q19">
        <v>2.86</v>
      </c>
      <c r="R19">
        <v>3.93</v>
      </c>
      <c r="S19">
        <v>3.37</v>
      </c>
    </row>
    <row r="20" spans="1:19" x14ac:dyDescent="0.3">
      <c r="A20" t="s">
        <v>103</v>
      </c>
      <c r="B20">
        <v>0.77</v>
      </c>
      <c r="C20">
        <v>1.1499999999999999</v>
      </c>
      <c r="D20">
        <v>0.95</v>
      </c>
      <c r="E20">
        <v>1</v>
      </c>
      <c r="F20">
        <v>1.65</v>
      </c>
      <c r="G20">
        <v>1.31</v>
      </c>
      <c r="H20">
        <v>0.99</v>
      </c>
      <c r="I20">
        <v>1.73</v>
      </c>
      <c r="J20">
        <v>1.34</v>
      </c>
      <c r="K20">
        <v>1.23</v>
      </c>
      <c r="L20">
        <v>2.0699999999999998</v>
      </c>
      <c r="M20">
        <v>1.63</v>
      </c>
      <c r="N20">
        <v>1.6</v>
      </c>
      <c r="O20">
        <v>2.73</v>
      </c>
      <c r="P20">
        <v>2.14</v>
      </c>
      <c r="Q20">
        <v>2.06</v>
      </c>
      <c r="R20">
        <v>3.63</v>
      </c>
      <c r="S20">
        <v>2.81</v>
      </c>
    </row>
    <row r="21" spans="1:19" x14ac:dyDescent="0.3">
      <c r="A21" t="s">
        <v>73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</row>
  </sheetData>
  <mergeCells count="6">
    <mergeCell ref="Q2:S2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G39"/>
  <sheetViews>
    <sheetView workbookViewId="0">
      <selection activeCell="I3" sqref="I3"/>
    </sheetView>
  </sheetViews>
  <sheetFormatPr defaultRowHeight="14.4" x14ac:dyDescent="0.3"/>
  <cols>
    <col min="1" max="1" width="30.77734375" customWidth="1"/>
  </cols>
  <sheetData>
    <row r="1" spans="1:7" x14ac:dyDescent="0.3">
      <c r="A1" s="2" t="s">
        <v>121</v>
      </c>
      <c r="B1" s="1"/>
      <c r="C1" s="1"/>
      <c r="D1" s="1"/>
      <c r="E1" s="1"/>
      <c r="F1" s="1"/>
      <c r="G1" s="1"/>
    </row>
    <row r="2" spans="1:7" x14ac:dyDescent="0.3">
      <c r="A2" t="s">
        <v>52</v>
      </c>
      <c r="B2">
        <v>2026</v>
      </c>
      <c r="C2">
        <v>2031</v>
      </c>
      <c r="D2">
        <v>2036</v>
      </c>
      <c r="E2">
        <v>2041</v>
      </c>
      <c r="F2">
        <v>2046</v>
      </c>
      <c r="G2">
        <v>2051</v>
      </c>
    </row>
    <row r="3" spans="1:7" x14ac:dyDescent="0.3">
      <c r="A3" t="s">
        <v>53</v>
      </c>
    </row>
    <row r="4" spans="1:7" x14ac:dyDescent="0.3">
      <c r="A4" t="s">
        <v>54</v>
      </c>
      <c r="B4">
        <v>1.53</v>
      </c>
      <c r="C4">
        <v>1.51</v>
      </c>
      <c r="D4">
        <v>1.5</v>
      </c>
      <c r="E4">
        <v>1.5</v>
      </c>
      <c r="F4">
        <v>1.5</v>
      </c>
      <c r="G4">
        <v>1.5</v>
      </c>
    </row>
    <row r="5" spans="1:7" x14ac:dyDescent="0.3">
      <c r="A5" t="s">
        <v>55</v>
      </c>
      <c r="B5">
        <v>0.74</v>
      </c>
      <c r="C5">
        <v>0.73</v>
      </c>
      <c r="D5">
        <v>0.72</v>
      </c>
      <c r="E5">
        <v>0.72</v>
      </c>
      <c r="F5">
        <v>0.72</v>
      </c>
      <c r="G5">
        <v>0.72</v>
      </c>
    </row>
    <row r="6" spans="1:7" x14ac:dyDescent="0.3">
      <c r="A6" t="s">
        <v>56</v>
      </c>
      <c r="B6">
        <v>0.71</v>
      </c>
      <c r="C6">
        <v>0.71</v>
      </c>
      <c r="D6">
        <v>0.71</v>
      </c>
      <c r="E6">
        <v>0.71</v>
      </c>
      <c r="F6">
        <v>0.71</v>
      </c>
      <c r="G6">
        <v>0.72</v>
      </c>
    </row>
    <row r="7" spans="1:7" x14ac:dyDescent="0.3">
      <c r="A7" t="s">
        <v>57</v>
      </c>
      <c r="B7">
        <v>26.3</v>
      </c>
      <c r="C7">
        <v>26.5</v>
      </c>
      <c r="D7">
        <v>26.6</v>
      </c>
      <c r="E7">
        <v>26.8</v>
      </c>
      <c r="F7">
        <v>27</v>
      </c>
      <c r="G7">
        <v>27.1</v>
      </c>
    </row>
    <row r="8" spans="1:7" x14ac:dyDescent="0.3">
      <c r="A8" t="s">
        <v>58</v>
      </c>
      <c r="B8">
        <v>0.22</v>
      </c>
      <c r="C8">
        <v>0.21</v>
      </c>
      <c r="D8">
        <v>0.2</v>
      </c>
      <c r="E8">
        <v>0.2</v>
      </c>
      <c r="F8">
        <v>0.2</v>
      </c>
      <c r="G8">
        <v>0.2</v>
      </c>
    </row>
    <row r="9" spans="1:7" x14ac:dyDescent="0.3">
      <c r="A9" t="s">
        <v>59</v>
      </c>
    </row>
    <row r="10" spans="1:7" x14ac:dyDescent="0.3">
      <c r="A10" t="s">
        <v>60</v>
      </c>
      <c r="B10">
        <v>70.3</v>
      </c>
      <c r="C10">
        <v>71.8</v>
      </c>
      <c r="D10">
        <v>73.400000000000006</v>
      </c>
      <c r="E10">
        <v>75</v>
      </c>
      <c r="F10">
        <v>76.3</v>
      </c>
      <c r="G10">
        <v>77.7</v>
      </c>
    </row>
    <row r="11" spans="1:7" x14ac:dyDescent="0.3">
      <c r="A11" t="s">
        <v>61</v>
      </c>
      <c r="B11">
        <v>75.599999999999994</v>
      </c>
      <c r="C11">
        <v>77.5</v>
      </c>
      <c r="D11">
        <v>79.3</v>
      </c>
      <c r="E11">
        <v>80.900000000000006</v>
      </c>
      <c r="F11">
        <v>82.2</v>
      </c>
      <c r="G11">
        <v>83.5</v>
      </c>
    </row>
    <row r="12" spans="1:7" x14ac:dyDescent="0.3">
      <c r="A12" t="s">
        <v>62</v>
      </c>
      <c r="B12">
        <v>72.900000000000006</v>
      </c>
      <c r="C12">
        <v>74.599999999999994</v>
      </c>
      <c r="D12">
        <v>76.3</v>
      </c>
      <c r="E12">
        <v>77.900000000000006</v>
      </c>
      <c r="F12">
        <v>79.3</v>
      </c>
      <c r="G12">
        <v>80.599999999999994</v>
      </c>
    </row>
    <row r="13" spans="1:7" x14ac:dyDescent="0.3">
      <c r="A13" t="s">
        <v>63</v>
      </c>
      <c r="B13">
        <v>20.8</v>
      </c>
      <c r="C13">
        <v>17.2</v>
      </c>
      <c r="D13">
        <v>13.8</v>
      </c>
      <c r="E13">
        <v>10.9</v>
      </c>
      <c r="F13">
        <v>9.5</v>
      </c>
      <c r="G13">
        <v>8.1</v>
      </c>
    </row>
    <row r="14" spans="1:7" x14ac:dyDescent="0.3">
      <c r="A14" t="s">
        <v>64</v>
      </c>
      <c r="B14">
        <v>24.4</v>
      </c>
      <c r="C14">
        <v>20.100000000000001</v>
      </c>
      <c r="D14">
        <v>16</v>
      </c>
      <c r="E14">
        <v>12.5</v>
      </c>
      <c r="F14">
        <v>10.9</v>
      </c>
      <c r="G14">
        <v>9.3000000000000007</v>
      </c>
    </row>
    <row r="15" spans="1:7" x14ac:dyDescent="0.3">
      <c r="A15" t="s">
        <v>108</v>
      </c>
    </row>
    <row r="16" spans="1:7" x14ac:dyDescent="0.3">
      <c r="A16" t="s">
        <v>74</v>
      </c>
      <c r="B16">
        <v>554</v>
      </c>
      <c r="C16">
        <v>608</v>
      </c>
      <c r="D16">
        <v>646</v>
      </c>
      <c r="E16">
        <v>670</v>
      </c>
      <c r="F16">
        <v>686</v>
      </c>
      <c r="G16">
        <v>696</v>
      </c>
    </row>
    <row r="17" spans="1:7" x14ac:dyDescent="0.3">
      <c r="A17" t="s">
        <v>75</v>
      </c>
      <c r="B17">
        <v>63</v>
      </c>
      <c r="C17">
        <v>58</v>
      </c>
      <c r="D17">
        <v>56</v>
      </c>
      <c r="E17">
        <v>55</v>
      </c>
      <c r="F17">
        <v>54</v>
      </c>
      <c r="G17">
        <v>54</v>
      </c>
    </row>
    <row r="18" spans="1:7" x14ac:dyDescent="0.3">
      <c r="A18" t="s">
        <v>73</v>
      </c>
      <c r="B18">
        <v>617</v>
      </c>
      <c r="C18">
        <v>666</v>
      </c>
      <c r="D18">
        <v>702</v>
      </c>
      <c r="E18">
        <v>725</v>
      </c>
      <c r="F18">
        <v>740</v>
      </c>
      <c r="G18">
        <v>750</v>
      </c>
    </row>
    <row r="19" spans="1:7" x14ac:dyDescent="0.3">
      <c r="A19" t="s">
        <v>65</v>
      </c>
    </row>
    <row r="20" spans="1:7" x14ac:dyDescent="0.3">
      <c r="A20" t="s">
        <v>66</v>
      </c>
      <c r="B20">
        <v>11.9</v>
      </c>
      <c r="C20">
        <v>10.9</v>
      </c>
      <c r="D20">
        <v>10</v>
      </c>
      <c r="E20">
        <v>9.3000000000000007</v>
      </c>
      <c r="F20">
        <v>8.8000000000000007</v>
      </c>
      <c r="G20">
        <v>8.3000000000000007</v>
      </c>
    </row>
    <row r="21" spans="1:7" x14ac:dyDescent="0.3">
      <c r="A21" t="s">
        <v>67</v>
      </c>
      <c r="B21">
        <v>8</v>
      </c>
      <c r="C21">
        <v>8</v>
      </c>
      <c r="D21">
        <v>8.1999999999999993</v>
      </c>
      <c r="E21">
        <v>8.6</v>
      </c>
      <c r="F21">
        <v>9.1999999999999993</v>
      </c>
      <c r="G21">
        <v>9.8000000000000007</v>
      </c>
    </row>
    <row r="22" spans="1:7" x14ac:dyDescent="0.3">
      <c r="A22" t="s">
        <v>68</v>
      </c>
      <c r="B22">
        <v>0.39</v>
      </c>
      <c r="C22">
        <v>0.28000000000000003</v>
      </c>
      <c r="D22">
        <v>0.18</v>
      </c>
      <c r="E22">
        <v>7.0000000000000007E-2</v>
      </c>
      <c r="F22">
        <v>-0.04</v>
      </c>
      <c r="G22">
        <v>-0.15</v>
      </c>
    </row>
    <row r="23" spans="1:7" x14ac:dyDescent="0.3">
      <c r="A23" t="s">
        <v>69</v>
      </c>
    </row>
    <row r="24" spans="1:7" x14ac:dyDescent="0.3">
      <c r="A24" t="s">
        <v>70</v>
      </c>
      <c r="B24">
        <v>0.09</v>
      </c>
      <c r="C24">
        <v>0.08</v>
      </c>
      <c r="D24">
        <v>0.08</v>
      </c>
      <c r="E24">
        <v>7.0000000000000007E-2</v>
      </c>
      <c r="F24">
        <v>7.0000000000000007E-2</v>
      </c>
      <c r="G24">
        <v>0.06</v>
      </c>
    </row>
    <row r="25" spans="1:7" x14ac:dyDescent="0.3">
      <c r="A25" t="s">
        <v>71</v>
      </c>
      <c r="B25">
        <v>0.06</v>
      </c>
      <c r="C25">
        <v>0.06</v>
      </c>
      <c r="D25">
        <v>0.06</v>
      </c>
      <c r="E25">
        <v>7.0000000000000007E-2</v>
      </c>
      <c r="F25">
        <v>7.0000000000000007E-2</v>
      </c>
      <c r="G25">
        <v>0.08</v>
      </c>
    </row>
    <row r="26" spans="1:7" x14ac:dyDescent="0.3">
      <c r="A26" t="s">
        <v>72</v>
      </c>
    </row>
    <row r="27" spans="1:7" x14ac:dyDescent="0.3">
      <c r="A27" t="s">
        <v>73</v>
      </c>
      <c r="B27">
        <v>7.5</v>
      </c>
      <c r="C27">
        <v>7.6</v>
      </c>
      <c r="D27">
        <v>7.7</v>
      </c>
      <c r="E27">
        <v>7.8</v>
      </c>
      <c r="F27">
        <v>7.8</v>
      </c>
      <c r="G27">
        <v>7.7</v>
      </c>
    </row>
    <row r="28" spans="1:7" x14ac:dyDescent="0.3">
      <c r="A28" t="s">
        <v>74</v>
      </c>
      <c r="B28">
        <v>3.8</v>
      </c>
      <c r="C28">
        <v>3.8</v>
      </c>
      <c r="D28">
        <v>3.9</v>
      </c>
      <c r="E28">
        <v>3.9</v>
      </c>
      <c r="F28">
        <v>3.9</v>
      </c>
      <c r="G28">
        <v>3.9</v>
      </c>
    </row>
    <row r="29" spans="1:7" x14ac:dyDescent="0.3">
      <c r="A29" t="s">
        <v>75</v>
      </c>
      <c r="B29">
        <v>3.7</v>
      </c>
      <c r="C29">
        <v>3.8</v>
      </c>
      <c r="D29">
        <v>3.8</v>
      </c>
      <c r="E29">
        <v>3.9</v>
      </c>
      <c r="F29">
        <v>3.9</v>
      </c>
      <c r="G29">
        <v>3.9</v>
      </c>
    </row>
    <row r="30" spans="1:7" x14ac:dyDescent="0.3">
      <c r="A30" t="s">
        <v>76</v>
      </c>
      <c r="B30">
        <v>5.9</v>
      </c>
      <c r="C30">
        <v>5.5</v>
      </c>
      <c r="D30">
        <v>5.0999999999999996</v>
      </c>
      <c r="E30">
        <v>4.7</v>
      </c>
      <c r="F30">
        <v>4.5</v>
      </c>
      <c r="G30">
        <v>4.2</v>
      </c>
    </row>
    <row r="31" spans="1:7" x14ac:dyDescent="0.3">
      <c r="A31" t="s">
        <v>77</v>
      </c>
      <c r="B31">
        <v>13</v>
      </c>
      <c r="C31">
        <v>12</v>
      </c>
      <c r="D31">
        <v>11.2</v>
      </c>
      <c r="E31">
        <v>10.4</v>
      </c>
      <c r="F31">
        <v>9.6999999999999993</v>
      </c>
      <c r="G31">
        <v>9.1999999999999993</v>
      </c>
    </row>
    <row r="32" spans="1:7" x14ac:dyDescent="0.3">
      <c r="A32" t="s">
        <v>78</v>
      </c>
      <c r="B32">
        <v>15</v>
      </c>
      <c r="C32">
        <v>13.7</v>
      </c>
      <c r="D32">
        <v>12.6</v>
      </c>
      <c r="E32">
        <v>11.7</v>
      </c>
      <c r="F32">
        <v>11.1</v>
      </c>
      <c r="G32">
        <v>10.4</v>
      </c>
    </row>
    <row r="33" spans="1:7" x14ac:dyDescent="0.3">
      <c r="A33" t="s">
        <v>79</v>
      </c>
      <c r="B33">
        <v>55.1</v>
      </c>
      <c r="C33">
        <v>53.6</v>
      </c>
      <c r="D33">
        <v>51.4</v>
      </c>
      <c r="E33">
        <v>48.6</v>
      </c>
      <c r="F33">
        <v>45.8</v>
      </c>
      <c r="G33">
        <v>43</v>
      </c>
    </row>
    <row r="34" spans="1:7" x14ac:dyDescent="0.3">
      <c r="A34" t="s">
        <v>80</v>
      </c>
      <c r="B34">
        <v>67.099999999999994</v>
      </c>
      <c r="C34">
        <v>66.599999999999994</v>
      </c>
      <c r="D34">
        <v>65.2</v>
      </c>
      <c r="E34">
        <v>63.5</v>
      </c>
      <c r="F34">
        <v>61.4</v>
      </c>
      <c r="G34">
        <v>58.7</v>
      </c>
    </row>
    <row r="35" spans="1:7" x14ac:dyDescent="0.3">
      <c r="A35" t="s">
        <v>81</v>
      </c>
      <c r="B35">
        <v>13.9</v>
      </c>
      <c r="C35">
        <v>16</v>
      </c>
      <c r="D35">
        <v>18.600000000000001</v>
      </c>
      <c r="E35">
        <v>21.4</v>
      </c>
      <c r="F35">
        <v>24.4</v>
      </c>
      <c r="G35">
        <v>27.9</v>
      </c>
    </row>
    <row r="36" spans="1:7" x14ac:dyDescent="0.3">
      <c r="A36" t="s">
        <v>82</v>
      </c>
      <c r="B36">
        <v>54.1</v>
      </c>
      <c r="C36">
        <v>52.2</v>
      </c>
      <c r="D36">
        <v>49.6</v>
      </c>
      <c r="E36">
        <v>46.5</v>
      </c>
      <c r="F36">
        <v>43.9</v>
      </c>
      <c r="G36">
        <v>41.2</v>
      </c>
    </row>
    <row r="37" spans="1:7" x14ac:dyDescent="0.3">
      <c r="A37" t="s">
        <v>83</v>
      </c>
      <c r="B37">
        <v>101.8</v>
      </c>
      <c r="C37">
        <v>101.3</v>
      </c>
      <c r="D37">
        <v>100.8</v>
      </c>
      <c r="E37">
        <v>100.2</v>
      </c>
      <c r="F37">
        <v>99.8</v>
      </c>
      <c r="G37">
        <v>99.5</v>
      </c>
    </row>
    <row r="38" spans="1:7" x14ac:dyDescent="0.3">
      <c r="A38" t="s">
        <v>84</v>
      </c>
      <c r="B38">
        <v>49.2</v>
      </c>
      <c r="C38">
        <v>48.9</v>
      </c>
      <c r="D38">
        <v>50.1</v>
      </c>
      <c r="E38">
        <v>53.4</v>
      </c>
      <c r="F38">
        <v>57.4</v>
      </c>
      <c r="G38">
        <v>62.8</v>
      </c>
    </row>
    <row r="39" spans="1:7" x14ac:dyDescent="0.3">
      <c r="A39" t="s">
        <v>85</v>
      </c>
      <c r="B39">
        <v>35</v>
      </c>
      <c r="C39">
        <v>37</v>
      </c>
      <c r="D39">
        <v>39</v>
      </c>
      <c r="E39">
        <v>41</v>
      </c>
      <c r="F39">
        <v>44</v>
      </c>
      <c r="G39">
        <v>46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S21"/>
  <sheetViews>
    <sheetView workbookViewId="0">
      <selection activeCell="B2" sqref="B2:S2"/>
    </sheetView>
  </sheetViews>
  <sheetFormatPr defaultRowHeight="14.4" x14ac:dyDescent="0.3"/>
  <sheetData>
    <row r="1" spans="1:19" x14ac:dyDescent="0.3">
      <c r="A1" s="2" t="s">
        <v>122</v>
      </c>
      <c r="B1" s="1"/>
      <c r="C1" s="1"/>
      <c r="D1" s="1"/>
      <c r="E1" s="1"/>
      <c r="F1" s="1"/>
      <c r="G1" s="1"/>
      <c r="H1" s="1"/>
      <c r="I1" s="1"/>
      <c r="J1" s="1"/>
    </row>
    <row r="2" spans="1:19" s="3" customFormat="1" x14ac:dyDescent="0.3">
      <c r="A2" s="3" t="s">
        <v>93</v>
      </c>
      <c r="B2" s="34">
        <v>2026</v>
      </c>
      <c r="C2" s="34"/>
      <c r="D2" s="34"/>
      <c r="E2" s="34">
        <v>2031</v>
      </c>
      <c r="F2" s="34"/>
      <c r="G2" s="34"/>
      <c r="H2" s="34">
        <v>2036</v>
      </c>
      <c r="I2" s="34"/>
      <c r="J2" s="34"/>
      <c r="K2" s="37">
        <v>2041</v>
      </c>
      <c r="L2" s="37"/>
      <c r="M2" s="37"/>
      <c r="N2" s="37">
        <v>2046</v>
      </c>
      <c r="O2" s="37"/>
      <c r="P2" s="37"/>
      <c r="Q2" s="37">
        <v>2051</v>
      </c>
      <c r="R2" s="37"/>
      <c r="S2" s="37"/>
    </row>
    <row r="3" spans="1:19" s="3" customFormat="1" x14ac:dyDescent="0.3">
      <c r="B3" s="3" t="s">
        <v>16</v>
      </c>
      <c r="C3" s="3" t="s">
        <v>46</v>
      </c>
      <c r="D3" s="3" t="s">
        <v>91</v>
      </c>
      <c r="E3" s="3" t="s">
        <v>16</v>
      </c>
      <c r="F3" s="3" t="s">
        <v>46</v>
      </c>
      <c r="G3" s="3" t="s">
        <v>91</v>
      </c>
      <c r="H3" s="3" t="s">
        <v>16</v>
      </c>
      <c r="I3" s="3" t="s">
        <v>46</v>
      </c>
      <c r="J3" s="3" t="s">
        <v>91</v>
      </c>
      <c r="K3" s="3" t="s">
        <v>16</v>
      </c>
      <c r="L3" s="3" t="s">
        <v>46</v>
      </c>
      <c r="M3" s="3" t="s">
        <v>91</v>
      </c>
      <c r="N3" s="3" t="s">
        <v>16</v>
      </c>
      <c r="O3" s="3" t="s">
        <v>46</v>
      </c>
      <c r="P3" s="3" t="s">
        <v>91</v>
      </c>
      <c r="Q3" s="3" t="s">
        <v>16</v>
      </c>
      <c r="R3" s="3" t="s">
        <v>46</v>
      </c>
      <c r="S3" s="3" t="s">
        <v>91</v>
      </c>
    </row>
    <row r="4" spans="1:19" x14ac:dyDescent="0.3">
      <c r="A4" t="s">
        <v>94</v>
      </c>
      <c r="B4">
        <v>6.08</v>
      </c>
      <c r="C4">
        <v>5.79</v>
      </c>
      <c r="D4">
        <v>5.94</v>
      </c>
      <c r="E4">
        <v>5.61</v>
      </c>
      <c r="F4">
        <v>5.34</v>
      </c>
      <c r="G4">
        <v>5.48</v>
      </c>
      <c r="H4">
        <v>5.2</v>
      </c>
      <c r="I4">
        <v>4.92</v>
      </c>
      <c r="J4">
        <v>5.0599999999999996</v>
      </c>
      <c r="K4">
        <v>4.8600000000000003</v>
      </c>
      <c r="L4">
        <v>4.57</v>
      </c>
      <c r="M4">
        <v>4.72</v>
      </c>
      <c r="N4">
        <v>4.5999999999999996</v>
      </c>
      <c r="O4">
        <v>4.3</v>
      </c>
      <c r="P4">
        <v>4.45</v>
      </c>
      <c r="Q4">
        <v>4.37</v>
      </c>
      <c r="R4">
        <v>4.07</v>
      </c>
      <c r="S4">
        <v>4.22</v>
      </c>
    </row>
    <row r="5" spans="1:19" x14ac:dyDescent="0.3">
      <c r="A5" t="s">
        <v>95</v>
      </c>
      <c r="B5">
        <v>6.39</v>
      </c>
      <c r="C5">
        <v>6.08</v>
      </c>
      <c r="D5">
        <v>6.24</v>
      </c>
      <c r="E5">
        <v>5.97</v>
      </c>
      <c r="F5">
        <v>5.67</v>
      </c>
      <c r="G5">
        <v>5.82</v>
      </c>
      <c r="H5">
        <v>5.55</v>
      </c>
      <c r="I5">
        <v>5.25</v>
      </c>
      <c r="J5">
        <v>5.4</v>
      </c>
      <c r="K5">
        <v>5.17</v>
      </c>
      <c r="L5">
        <v>4.87</v>
      </c>
      <c r="M5">
        <v>5.0199999999999996</v>
      </c>
      <c r="N5">
        <v>4.87</v>
      </c>
      <c r="O5">
        <v>4.5599999999999996</v>
      </c>
      <c r="P5">
        <v>4.71</v>
      </c>
      <c r="Q5">
        <v>4.62</v>
      </c>
      <c r="R5">
        <v>4.3099999999999996</v>
      </c>
      <c r="S5">
        <v>4.46</v>
      </c>
    </row>
    <row r="6" spans="1:19" x14ac:dyDescent="0.3">
      <c r="A6" t="s">
        <v>96</v>
      </c>
      <c r="B6">
        <v>6.94</v>
      </c>
      <c r="C6">
        <v>6.55</v>
      </c>
      <c r="D6">
        <v>6.75</v>
      </c>
      <c r="E6">
        <v>6.29</v>
      </c>
      <c r="F6">
        <v>5.96</v>
      </c>
      <c r="G6">
        <v>6.13</v>
      </c>
      <c r="H6">
        <v>5.91</v>
      </c>
      <c r="I6">
        <v>5.58</v>
      </c>
      <c r="J6">
        <v>5.75</v>
      </c>
      <c r="K6">
        <v>5.53</v>
      </c>
      <c r="L6">
        <v>5.2</v>
      </c>
      <c r="M6">
        <v>5.37</v>
      </c>
      <c r="N6">
        <v>5.17</v>
      </c>
      <c r="O6">
        <v>4.8600000000000003</v>
      </c>
      <c r="P6">
        <v>5.01</v>
      </c>
      <c r="Q6">
        <v>4.9000000000000004</v>
      </c>
      <c r="R6">
        <v>4.57</v>
      </c>
      <c r="S6">
        <v>4.7300000000000004</v>
      </c>
    </row>
    <row r="7" spans="1:19" x14ac:dyDescent="0.3">
      <c r="A7" t="s">
        <v>35</v>
      </c>
      <c r="B7">
        <v>7.46</v>
      </c>
      <c r="C7">
        <v>6.95</v>
      </c>
      <c r="D7">
        <v>7.21</v>
      </c>
      <c r="E7">
        <v>6.83</v>
      </c>
      <c r="F7">
        <v>6.41</v>
      </c>
      <c r="G7">
        <v>6.62</v>
      </c>
      <c r="H7">
        <v>6.22</v>
      </c>
      <c r="I7">
        <v>5.87</v>
      </c>
      <c r="J7">
        <v>6.05</v>
      </c>
      <c r="K7">
        <v>5.89</v>
      </c>
      <c r="L7">
        <v>5.53</v>
      </c>
      <c r="M7">
        <v>5.71</v>
      </c>
      <c r="N7">
        <v>5.53</v>
      </c>
      <c r="O7">
        <v>5.18</v>
      </c>
      <c r="P7">
        <v>5.36</v>
      </c>
      <c r="Q7">
        <v>5.21</v>
      </c>
      <c r="R7">
        <v>4.87</v>
      </c>
      <c r="S7">
        <v>5.04</v>
      </c>
    </row>
    <row r="8" spans="1:19" x14ac:dyDescent="0.3">
      <c r="A8" t="s">
        <v>36</v>
      </c>
      <c r="B8">
        <v>8.15</v>
      </c>
      <c r="C8">
        <v>7.48</v>
      </c>
      <c r="D8">
        <v>7.82</v>
      </c>
      <c r="E8">
        <v>7.33</v>
      </c>
      <c r="F8">
        <v>6.8</v>
      </c>
      <c r="G8">
        <v>7.07</v>
      </c>
      <c r="H8">
        <v>6.75</v>
      </c>
      <c r="I8">
        <v>6.31</v>
      </c>
      <c r="J8">
        <v>6.53</v>
      </c>
      <c r="K8">
        <v>6.19</v>
      </c>
      <c r="L8">
        <v>5.81</v>
      </c>
      <c r="M8">
        <v>6</v>
      </c>
      <c r="N8">
        <v>5.89</v>
      </c>
      <c r="O8">
        <v>5.51</v>
      </c>
      <c r="P8">
        <v>5.7</v>
      </c>
      <c r="Q8">
        <v>5.56</v>
      </c>
      <c r="R8">
        <v>5.2</v>
      </c>
      <c r="S8">
        <v>5.38</v>
      </c>
    </row>
    <row r="9" spans="1:19" x14ac:dyDescent="0.3">
      <c r="A9" t="s">
        <v>37</v>
      </c>
      <c r="B9">
        <v>8.82</v>
      </c>
      <c r="C9">
        <v>8.0299999999999994</v>
      </c>
      <c r="D9">
        <v>8.43</v>
      </c>
      <c r="E9">
        <v>8</v>
      </c>
      <c r="F9">
        <v>7.32</v>
      </c>
      <c r="G9">
        <v>7.66</v>
      </c>
      <c r="H9">
        <v>7.24</v>
      </c>
      <c r="I9">
        <v>6.69</v>
      </c>
      <c r="J9">
        <v>6.97</v>
      </c>
      <c r="K9">
        <v>6.71</v>
      </c>
      <c r="L9">
        <v>6.24</v>
      </c>
      <c r="M9">
        <v>6.48</v>
      </c>
      <c r="N9">
        <v>6.19</v>
      </c>
      <c r="O9">
        <v>5.79</v>
      </c>
      <c r="P9">
        <v>5.99</v>
      </c>
      <c r="Q9">
        <v>5.92</v>
      </c>
      <c r="R9">
        <v>5.52</v>
      </c>
      <c r="S9">
        <v>5.72</v>
      </c>
    </row>
    <row r="10" spans="1:19" x14ac:dyDescent="0.3">
      <c r="A10" t="s">
        <v>38</v>
      </c>
      <c r="B10">
        <v>8.75</v>
      </c>
      <c r="C10">
        <v>8.08</v>
      </c>
      <c r="D10">
        <v>8.42</v>
      </c>
      <c r="E10">
        <v>8.65</v>
      </c>
      <c r="F10">
        <v>7.85</v>
      </c>
      <c r="G10">
        <v>8.26</v>
      </c>
      <c r="H10">
        <v>7.9</v>
      </c>
      <c r="I10">
        <v>7.2</v>
      </c>
      <c r="J10">
        <v>7.55</v>
      </c>
      <c r="K10">
        <v>7.2</v>
      </c>
      <c r="L10">
        <v>6.62</v>
      </c>
      <c r="M10">
        <v>6.91</v>
      </c>
      <c r="N10">
        <v>6.71</v>
      </c>
      <c r="O10">
        <v>6.22</v>
      </c>
      <c r="P10">
        <v>6.46</v>
      </c>
      <c r="Q10">
        <v>6.22</v>
      </c>
      <c r="R10">
        <v>5.8</v>
      </c>
      <c r="S10">
        <v>6.01</v>
      </c>
    </row>
    <row r="11" spans="1:19" x14ac:dyDescent="0.3">
      <c r="A11" t="s">
        <v>39</v>
      </c>
      <c r="B11">
        <v>8.4</v>
      </c>
      <c r="C11">
        <v>8.49</v>
      </c>
      <c r="D11">
        <v>8.44</v>
      </c>
      <c r="E11">
        <v>8.58</v>
      </c>
      <c r="F11">
        <v>7.89</v>
      </c>
      <c r="G11">
        <v>8.24</v>
      </c>
      <c r="H11">
        <v>8.5399999999999991</v>
      </c>
      <c r="I11">
        <v>7.71</v>
      </c>
      <c r="J11">
        <v>8.1300000000000008</v>
      </c>
      <c r="K11">
        <v>7.85</v>
      </c>
      <c r="L11">
        <v>7.11</v>
      </c>
      <c r="M11">
        <v>7.48</v>
      </c>
      <c r="N11">
        <v>7.19</v>
      </c>
      <c r="O11">
        <v>6.58</v>
      </c>
      <c r="P11">
        <v>6.89</v>
      </c>
      <c r="Q11">
        <v>6.75</v>
      </c>
      <c r="R11">
        <v>6.22</v>
      </c>
      <c r="S11">
        <v>6.48</v>
      </c>
    </row>
    <row r="12" spans="1:19" x14ac:dyDescent="0.3">
      <c r="A12" t="s">
        <v>40</v>
      </c>
      <c r="B12">
        <v>7.49</v>
      </c>
      <c r="C12">
        <v>7.89</v>
      </c>
      <c r="D12">
        <v>7.69</v>
      </c>
      <c r="E12">
        <v>8.1999999999999993</v>
      </c>
      <c r="F12">
        <v>8.2799999999999994</v>
      </c>
      <c r="G12">
        <v>8.24</v>
      </c>
      <c r="H12">
        <v>8.44</v>
      </c>
      <c r="I12">
        <v>7.74</v>
      </c>
      <c r="J12">
        <v>8.09</v>
      </c>
      <c r="K12">
        <v>8.4600000000000009</v>
      </c>
      <c r="L12">
        <v>7.61</v>
      </c>
      <c r="M12">
        <v>8.0399999999999991</v>
      </c>
      <c r="N12">
        <v>7.83</v>
      </c>
      <c r="O12">
        <v>7.07</v>
      </c>
      <c r="P12">
        <v>7.45</v>
      </c>
      <c r="Q12">
        <v>7.22</v>
      </c>
      <c r="R12">
        <v>6.59</v>
      </c>
      <c r="S12">
        <v>6.9</v>
      </c>
    </row>
    <row r="13" spans="1:19" x14ac:dyDescent="0.3">
      <c r="A13" t="s">
        <v>41</v>
      </c>
      <c r="B13">
        <v>6.92</v>
      </c>
      <c r="C13">
        <v>7.21</v>
      </c>
      <c r="D13">
        <v>7.06</v>
      </c>
      <c r="E13">
        <v>7.27</v>
      </c>
      <c r="F13">
        <v>7.67</v>
      </c>
      <c r="G13">
        <v>7.47</v>
      </c>
      <c r="H13">
        <v>8.0299999999999994</v>
      </c>
      <c r="I13">
        <v>8.09</v>
      </c>
      <c r="J13">
        <v>8.06</v>
      </c>
      <c r="K13">
        <v>8.33</v>
      </c>
      <c r="L13">
        <v>7.62</v>
      </c>
      <c r="M13">
        <v>7.98</v>
      </c>
      <c r="N13">
        <v>8.41</v>
      </c>
      <c r="O13">
        <v>7.55</v>
      </c>
      <c r="P13">
        <v>7.98</v>
      </c>
      <c r="Q13">
        <v>7.83</v>
      </c>
      <c r="R13">
        <v>7.05</v>
      </c>
      <c r="S13">
        <v>7.44</v>
      </c>
    </row>
    <row r="14" spans="1:19" x14ac:dyDescent="0.3">
      <c r="A14" t="s">
        <v>97</v>
      </c>
      <c r="B14">
        <v>6.44</v>
      </c>
      <c r="C14">
        <v>6.72</v>
      </c>
      <c r="D14">
        <v>6.58</v>
      </c>
      <c r="E14">
        <v>6.65</v>
      </c>
      <c r="F14">
        <v>6.96</v>
      </c>
      <c r="G14">
        <v>6.8</v>
      </c>
      <c r="H14">
        <v>7.06</v>
      </c>
      <c r="I14">
        <v>7.47</v>
      </c>
      <c r="J14">
        <v>7.26</v>
      </c>
      <c r="K14">
        <v>7.86</v>
      </c>
      <c r="L14">
        <v>7.94</v>
      </c>
      <c r="M14">
        <v>7.9</v>
      </c>
      <c r="N14">
        <v>8.2200000000000006</v>
      </c>
      <c r="O14">
        <v>7.53</v>
      </c>
      <c r="P14">
        <v>7.88</v>
      </c>
      <c r="Q14">
        <v>8.35</v>
      </c>
      <c r="R14">
        <v>7.52</v>
      </c>
      <c r="S14">
        <v>7.93</v>
      </c>
    </row>
    <row r="15" spans="1:19" x14ac:dyDescent="0.3">
      <c r="A15" t="s">
        <v>98</v>
      </c>
      <c r="B15">
        <v>5.34</v>
      </c>
      <c r="C15">
        <v>5.66</v>
      </c>
      <c r="D15">
        <v>5.5</v>
      </c>
      <c r="E15">
        <v>6.08</v>
      </c>
      <c r="F15">
        <v>6.44</v>
      </c>
      <c r="G15">
        <v>6.26</v>
      </c>
      <c r="H15">
        <v>6.35</v>
      </c>
      <c r="I15">
        <v>6.73</v>
      </c>
      <c r="J15">
        <v>6.54</v>
      </c>
      <c r="K15">
        <v>6.81</v>
      </c>
      <c r="L15">
        <v>7.28</v>
      </c>
      <c r="M15">
        <v>7.04</v>
      </c>
      <c r="N15">
        <v>7.66</v>
      </c>
      <c r="O15">
        <v>7.81</v>
      </c>
      <c r="P15">
        <v>7.73</v>
      </c>
      <c r="Q15">
        <v>8.08</v>
      </c>
      <c r="R15">
        <v>7.47</v>
      </c>
      <c r="S15">
        <v>7.77</v>
      </c>
    </row>
    <row r="16" spans="1:19" x14ac:dyDescent="0.3">
      <c r="A16" t="s">
        <v>99</v>
      </c>
      <c r="B16">
        <v>4.46</v>
      </c>
      <c r="C16">
        <v>4.8499999999999996</v>
      </c>
      <c r="D16">
        <v>4.6500000000000004</v>
      </c>
      <c r="E16">
        <v>4.9000000000000004</v>
      </c>
      <c r="F16">
        <v>5.35</v>
      </c>
      <c r="G16">
        <v>5.12</v>
      </c>
      <c r="H16">
        <v>5.65</v>
      </c>
      <c r="I16">
        <v>6.15</v>
      </c>
      <c r="J16">
        <v>5.9</v>
      </c>
      <c r="K16">
        <v>5.98</v>
      </c>
      <c r="L16">
        <v>6.5</v>
      </c>
      <c r="M16">
        <v>6.24</v>
      </c>
      <c r="N16">
        <v>6.49</v>
      </c>
      <c r="O16">
        <v>7.11</v>
      </c>
      <c r="P16">
        <v>6.8</v>
      </c>
      <c r="Q16">
        <v>7.39</v>
      </c>
      <c r="R16">
        <v>7.69</v>
      </c>
      <c r="S16">
        <v>7.54</v>
      </c>
    </row>
    <row r="17" spans="1:19" x14ac:dyDescent="0.3">
      <c r="A17" t="s">
        <v>100</v>
      </c>
      <c r="B17">
        <v>3.39</v>
      </c>
      <c r="C17">
        <v>3.83</v>
      </c>
      <c r="D17">
        <v>3.6</v>
      </c>
      <c r="E17">
        <v>3.91</v>
      </c>
      <c r="F17">
        <v>4.46</v>
      </c>
      <c r="G17">
        <v>4.18</v>
      </c>
      <c r="H17">
        <v>4.37</v>
      </c>
      <c r="I17">
        <v>5</v>
      </c>
      <c r="J17">
        <v>4.68</v>
      </c>
      <c r="K17">
        <v>5.12</v>
      </c>
      <c r="L17">
        <v>5.83</v>
      </c>
      <c r="M17">
        <v>5.48</v>
      </c>
      <c r="N17">
        <v>5.51</v>
      </c>
      <c r="O17">
        <v>6.24</v>
      </c>
      <c r="P17">
        <v>5.87</v>
      </c>
      <c r="Q17">
        <v>6.07</v>
      </c>
      <c r="R17">
        <v>6.9</v>
      </c>
      <c r="S17">
        <v>6.49</v>
      </c>
    </row>
    <row r="18" spans="1:19" x14ac:dyDescent="0.3">
      <c r="A18" t="s">
        <v>101</v>
      </c>
      <c r="B18">
        <v>2.35</v>
      </c>
      <c r="C18">
        <v>2.75</v>
      </c>
      <c r="D18">
        <v>2.5499999999999998</v>
      </c>
      <c r="E18">
        <v>2.75</v>
      </c>
      <c r="F18">
        <v>3.35</v>
      </c>
      <c r="G18">
        <v>3.05</v>
      </c>
      <c r="H18">
        <v>3.25</v>
      </c>
      <c r="I18">
        <v>3.99</v>
      </c>
      <c r="J18">
        <v>3.62</v>
      </c>
      <c r="K18">
        <v>3.71</v>
      </c>
      <c r="L18">
        <v>4.57</v>
      </c>
      <c r="M18">
        <v>4.1399999999999997</v>
      </c>
      <c r="N18">
        <v>4.45</v>
      </c>
      <c r="O18">
        <v>5.42</v>
      </c>
      <c r="P18">
        <v>4.9400000000000004</v>
      </c>
      <c r="Q18">
        <v>4.88</v>
      </c>
      <c r="R18">
        <v>5.9</v>
      </c>
      <c r="S18">
        <v>5.39</v>
      </c>
    </row>
    <row r="19" spans="1:19" x14ac:dyDescent="0.3">
      <c r="A19" t="s">
        <v>102</v>
      </c>
      <c r="B19">
        <v>1.56</v>
      </c>
      <c r="C19">
        <v>2.0099999999999998</v>
      </c>
      <c r="D19">
        <v>1.78</v>
      </c>
      <c r="E19">
        <v>1.7</v>
      </c>
      <c r="F19">
        <v>2.2000000000000002</v>
      </c>
      <c r="G19">
        <v>1.95</v>
      </c>
      <c r="H19">
        <v>2.0499999999999998</v>
      </c>
      <c r="I19">
        <v>2.78</v>
      </c>
      <c r="J19">
        <v>2.41</v>
      </c>
      <c r="K19">
        <v>2.48</v>
      </c>
      <c r="L19">
        <v>3.42</v>
      </c>
      <c r="M19">
        <v>2.95</v>
      </c>
      <c r="N19">
        <v>2.92</v>
      </c>
      <c r="O19">
        <v>4.01</v>
      </c>
      <c r="P19">
        <v>3.46</v>
      </c>
      <c r="Q19">
        <v>3.62</v>
      </c>
      <c r="R19">
        <v>4.8600000000000003</v>
      </c>
      <c r="S19">
        <v>4.24</v>
      </c>
    </row>
    <row r="20" spans="1:19" x14ac:dyDescent="0.3">
      <c r="A20" t="s">
        <v>103</v>
      </c>
      <c r="B20">
        <v>1.06</v>
      </c>
      <c r="C20">
        <v>1.63</v>
      </c>
      <c r="D20">
        <v>1.34</v>
      </c>
      <c r="E20">
        <v>1.27</v>
      </c>
      <c r="F20">
        <v>2.04</v>
      </c>
      <c r="G20">
        <v>1.66</v>
      </c>
      <c r="H20">
        <v>1.49</v>
      </c>
      <c r="I20">
        <v>2.4900000000000002</v>
      </c>
      <c r="J20">
        <v>1.99</v>
      </c>
      <c r="K20">
        <v>1.85</v>
      </c>
      <c r="L20">
        <v>3.26</v>
      </c>
      <c r="M20">
        <v>2.56</v>
      </c>
      <c r="N20">
        <v>2.37</v>
      </c>
      <c r="O20">
        <v>4.28</v>
      </c>
      <c r="P20">
        <v>3.33</v>
      </c>
      <c r="Q20">
        <v>3.02</v>
      </c>
      <c r="R20">
        <v>5.48</v>
      </c>
      <c r="S20">
        <v>4.25</v>
      </c>
    </row>
    <row r="21" spans="1:19" x14ac:dyDescent="0.3">
      <c r="A21" t="s">
        <v>73</v>
      </c>
      <c r="B21" s="5">
        <v>100</v>
      </c>
      <c r="C21" s="5">
        <v>100</v>
      </c>
      <c r="D21" s="5">
        <v>100</v>
      </c>
      <c r="E21" s="5">
        <v>100</v>
      </c>
      <c r="F21" s="5">
        <v>100</v>
      </c>
      <c r="G21" s="5">
        <v>100</v>
      </c>
      <c r="H21" s="5">
        <v>100</v>
      </c>
      <c r="I21" s="5">
        <v>100</v>
      </c>
      <c r="J21" s="5">
        <v>100</v>
      </c>
      <c r="K21" s="5">
        <v>100</v>
      </c>
      <c r="L21" s="5">
        <v>100</v>
      </c>
      <c r="M21" s="5">
        <v>100</v>
      </c>
      <c r="N21" s="5">
        <v>100</v>
      </c>
      <c r="O21" s="5">
        <v>100</v>
      </c>
      <c r="P21" s="5">
        <v>100</v>
      </c>
      <c r="Q21" s="5">
        <v>100</v>
      </c>
      <c r="R21" s="5">
        <v>100</v>
      </c>
      <c r="S21" s="5">
        <v>100</v>
      </c>
    </row>
  </sheetData>
  <mergeCells count="6">
    <mergeCell ref="Q2:S2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39"/>
  <sheetViews>
    <sheetView topLeftCell="A15" workbookViewId="0">
      <selection activeCell="A40" sqref="A40"/>
    </sheetView>
  </sheetViews>
  <sheetFormatPr defaultRowHeight="14.4" x14ac:dyDescent="0.3"/>
  <cols>
    <col min="1" max="1" width="30.33203125" customWidth="1"/>
  </cols>
  <sheetData>
    <row r="1" spans="1:7" x14ac:dyDescent="0.3">
      <c r="A1" s="2" t="s">
        <v>123</v>
      </c>
      <c r="B1" s="1"/>
      <c r="C1" s="1"/>
      <c r="D1" s="1"/>
      <c r="E1" s="1"/>
      <c r="F1" s="1"/>
      <c r="G1" s="1"/>
    </row>
    <row r="2" spans="1:7" x14ac:dyDescent="0.3">
      <c r="A2" t="s">
        <v>52</v>
      </c>
      <c r="B2">
        <v>2026</v>
      </c>
      <c r="C2">
        <v>2031</v>
      </c>
      <c r="D2">
        <v>2036</v>
      </c>
      <c r="E2">
        <v>2041</v>
      </c>
      <c r="F2">
        <v>2046</v>
      </c>
      <c r="G2">
        <v>2051</v>
      </c>
    </row>
    <row r="3" spans="1:7" x14ac:dyDescent="0.3">
      <c r="A3" t="s">
        <v>53</v>
      </c>
    </row>
    <row r="4" spans="1:7" x14ac:dyDescent="0.3">
      <c r="A4" t="s">
        <v>54</v>
      </c>
      <c r="B4">
        <v>1.41</v>
      </c>
      <c r="C4">
        <v>1.4</v>
      </c>
      <c r="D4">
        <v>1.4</v>
      </c>
      <c r="E4">
        <v>1.4</v>
      </c>
      <c r="F4">
        <v>1.4</v>
      </c>
      <c r="G4">
        <v>1.4</v>
      </c>
    </row>
    <row r="5" spans="1:7" x14ac:dyDescent="0.3">
      <c r="A5" t="s">
        <v>55</v>
      </c>
      <c r="B5">
        <v>0.63</v>
      </c>
      <c r="C5">
        <v>0.63</v>
      </c>
      <c r="D5">
        <v>0.63</v>
      </c>
      <c r="E5">
        <v>0.64</v>
      </c>
      <c r="F5">
        <v>0.64</v>
      </c>
      <c r="G5">
        <v>0.64</v>
      </c>
    </row>
    <row r="6" spans="1:7" x14ac:dyDescent="0.3">
      <c r="A6" t="s">
        <v>56</v>
      </c>
      <c r="B6">
        <v>0.6</v>
      </c>
      <c r="C6">
        <v>0.61</v>
      </c>
      <c r="D6">
        <v>0.61</v>
      </c>
      <c r="E6">
        <v>0.62</v>
      </c>
      <c r="F6">
        <v>0.62</v>
      </c>
      <c r="G6">
        <v>0.63</v>
      </c>
    </row>
    <row r="7" spans="1:7" x14ac:dyDescent="0.3">
      <c r="A7" t="s">
        <v>57</v>
      </c>
      <c r="B7">
        <v>28.7</v>
      </c>
      <c r="C7">
        <v>28.4</v>
      </c>
      <c r="D7">
        <v>28</v>
      </c>
      <c r="E7">
        <v>27.7</v>
      </c>
      <c r="F7">
        <v>27.4</v>
      </c>
      <c r="G7">
        <v>27.1</v>
      </c>
    </row>
    <row r="8" spans="1:7" x14ac:dyDescent="0.3">
      <c r="A8" t="s">
        <v>58</v>
      </c>
      <c r="B8">
        <v>0.21</v>
      </c>
      <c r="C8">
        <v>0.22</v>
      </c>
      <c r="D8">
        <v>0.21</v>
      </c>
      <c r="E8">
        <v>0.19</v>
      </c>
      <c r="F8">
        <v>0.17</v>
      </c>
      <c r="G8">
        <v>0.17</v>
      </c>
    </row>
    <row r="9" spans="1:7" x14ac:dyDescent="0.3">
      <c r="A9" t="s">
        <v>59</v>
      </c>
    </row>
    <row r="10" spans="1:7" x14ac:dyDescent="0.3">
      <c r="A10" t="s">
        <v>60</v>
      </c>
      <c r="B10">
        <v>74.099999999999994</v>
      </c>
      <c r="C10">
        <v>75.8</v>
      </c>
      <c r="D10">
        <v>77.400000000000006</v>
      </c>
      <c r="E10">
        <v>79.099999999999994</v>
      </c>
      <c r="F10">
        <v>80.599999999999994</v>
      </c>
      <c r="G10">
        <v>81.7</v>
      </c>
    </row>
    <row r="11" spans="1:7" x14ac:dyDescent="0.3">
      <c r="A11" t="s">
        <v>61</v>
      </c>
      <c r="B11">
        <v>76.900000000000006</v>
      </c>
      <c r="C11">
        <v>78.900000000000006</v>
      </c>
      <c r="D11">
        <v>80.7</v>
      </c>
      <c r="E11">
        <v>82.2</v>
      </c>
      <c r="F11">
        <v>83.7</v>
      </c>
      <c r="G11">
        <v>85</v>
      </c>
    </row>
    <row r="12" spans="1:7" x14ac:dyDescent="0.3">
      <c r="A12" t="s">
        <v>62</v>
      </c>
      <c r="B12">
        <v>75.5</v>
      </c>
      <c r="C12">
        <v>77.3</v>
      </c>
      <c r="D12">
        <v>79</v>
      </c>
      <c r="E12">
        <v>80.599999999999994</v>
      </c>
      <c r="F12">
        <v>82</v>
      </c>
      <c r="G12">
        <v>83.3</v>
      </c>
    </row>
    <row r="13" spans="1:7" x14ac:dyDescent="0.3">
      <c r="A13" t="s">
        <v>63</v>
      </c>
      <c r="B13">
        <v>34.4</v>
      </c>
      <c r="C13">
        <v>28.8</v>
      </c>
      <c r="D13">
        <v>24.2</v>
      </c>
      <c r="E13">
        <v>20.399999999999999</v>
      </c>
      <c r="F13">
        <v>17</v>
      </c>
      <c r="G13">
        <v>14.6</v>
      </c>
    </row>
    <row r="14" spans="1:7" x14ac:dyDescent="0.3">
      <c r="A14" t="s">
        <v>64</v>
      </c>
      <c r="B14">
        <v>39.799999999999997</v>
      </c>
      <c r="C14">
        <v>33.200000000000003</v>
      </c>
      <c r="D14">
        <v>27.9</v>
      </c>
      <c r="E14">
        <v>23.4</v>
      </c>
      <c r="F14">
        <v>19.600000000000001</v>
      </c>
      <c r="G14">
        <v>16.8</v>
      </c>
    </row>
    <row r="15" spans="1:7" x14ac:dyDescent="0.3">
      <c r="A15" t="s">
        <v>105</v>
      </c>
    </row>
    <row r="16" spans="1:7" x14ac:dyDescent="0.3">
      <c r="A16" t="s">
        <v>74</v>
      </c>
      <c r="B16">
        <v>-1368</v>
      </c>
      <c r="C16">
        <v>-1375</v>
      </c>
      <c r="D16">
        <v>-1378</v>
      </c>
      <c r="E16">
        <v>-1379</v>
      </c>
      <c r="F16">
        <v>-1380</v>
      </c>
      <c r="G16">
        <v>-1380</v>
      </c>
    </row>
    <row r="17" spans="1:7" x14ac:dyDescent="0.3">
      <c r="A17" t="s">
        <v>75</v>
      </c>
      <c r="B17">
        <v>-73</v>
      </c>
      <c r="C17">
        <v>-46</v>
      </c>
      <c r="D17">
        <v>-19</v>
      </c>
      <c r="E17">
        <v>8</v>
      </c>
      <c r="F17">
        <v>35</v>
      </c>
      <c r="G17">
        <v>62</v>
      </c>
    </row>
    <row r="18" spans="1:7" x14ac:dyDescent="0.3">
      <c r="A18" t="s">
        <v>73</v>
      </c>
      <c r="B18">
        <v>-1441</v>
      </c>
      <c r="C18">
        <v>-1421</v>
      </c>
      <c r="D18">
        <v>-1397</v>
      </c>
      <c r="E18">
        <v>-1371</v>
      </c>
      <c r="F18">
        <v>-1345</v>
      </c>
      <c r="G18">
        <v>-1318</v>
      </c>
    </row>
    <row r="19" spans="1:7" x14ac:dyDescent="0.3">
      <c r="A19" t="s">
        <v>65</v>
      </c>
    </row>
    <row r="20" spans="1:7" x14ac:dyDescent="0.3">
      <c r="A20" t="s">
        <v>66</v>
      </c>
      <c r="B20">
        <v>12.5</v>
      </c>
      <c r="C20">
        <v>12.2</v>
      </c>
      <c r="D20">
        <v>10.7</v>
      </c>
      <c r="E20">
        <v>8.4</v>
      </c>
      <c r="F20">
        <v>7.2</v>
      </c>
      <c r="G20">
        <v>6.8</v>
      </c>
    </row>
    <row r="21" spans="1:7" x14ac:dyDescent="0.3">
      <c r="A21" t="s">
        <v>67</v>
      </c>
      <c r="B21">
        <v>5.0999999999999996</v>
      </c>
      <c r="C21">
        <v>5.3</v>
      </c>
      <c r="D21">
        <v>5.4</v>
      </c>
      <c r="E21">
        <v>5.9</v>
      </c>
      <c r="F21">
        <v>6.6</v>
      </c>
      <c r="G21">
        <v>7.5</v>
      </c>
    </row>
    <row r="22" spans="1:7" x14ac:dyDescent="0.3">
      <c r="A22" t="s">
        <v>68</v>
      </c>
      <c r="B22">
        <v>0.74</v>
      </c>
      <c r="C22">
        <v>0.69</v>
      </c>
      <c r="D22">
        <v>0.52</v>
      </c>
      <c r="E22">
        <v>0.25</v>
      </c>
      <c r="F22">
        <v>0.06</v>
      </c>
      <c r="G22">
        <v>-0.06</v>
      </c>
    </row>
    <row r="23" spans="1:7" x14ac:dyDescent="0.3">
      <c r="A23" t="s">
        <v>69</v>
      </c>
    </row>
    <row r="24" spans="1:7" x14ac:dyDescent="0.3">
      <c r="A24" t="s">
        <v>70</v>
      </c>
      <c r="B24">
        <v>0.18</v>
      </c>
      <c r="C24">
        <v>0.18</v>
      </c>
      <c r="D24">
        <v>0.16</v>
      </c>
      <c r="E24">
        <v>0.13</v>
      </c>
      <c r="F24">
        <v>0.11</v>
      </c>
      <c r="G24">
        <v>0.11</v>
      </c>
    </row>
    <row r="25" spans="1:7" x14ac:dyDescent="0.3">
      <c r="A25" t="s">
        <v>71</v>
      </c>
      <c r="B25">
        <v>7.0000000000000007E-2</v>
      </c>
      <c r="C25">
        <v>0.08</v>
      </c>
      <c r="D25">
        <v>0.08</v>
      </c>
      <c r="E25">
        <v>0.09</v>
      </c>
      <c r="F25">
        <v>0.1</v>
      </c>
      <c r="G25">
        <v>0.12</v>
      </c>
    </row>
    <row r="26" spans="1:7" x14ac:dyDescent="0.3">
      <c r="A26" t="s">
        <v>72</v>
      </c>
    </row>
    <row r="27" spans="1:7" x14ac:dyDescent="0.3">
      <c r="A27" t="s">
        <v>73</v>
      </c>
      <c r="B27">
        <v>14.2</v>
      </c>
      <c r="C27">
        <v>14.7</v>
      </c>
      <c r="D27">
        <v>15.1</v>
      </c>
      <c r="E27">
        <v>15.3</v>
      </c>
      <c r="F27">
        <v>15.5</v>
      </c>
      <c r="G27">
        <v>15.5</v>
      </c>
    </row>
    <row r="28" spans="1:7" x14ac:dyDescent="0.3">
      <c r="A28" t="s">
        <v>74</v>
      </c>
      <c r="B28">
        <v>7.5</v>
      </c>
      <c r="C28">
        <v>7.8</v>
      </c>
      <c r="D28">
        <v>8</v>
      </c>
      <c r="E28">
        <v>8.1</v>
      </c>
      <c r="F28">
        <v>8.1999999999999993</v>
      </c>
      <c r="G28">
        <v>8.1999999999999993</v>
      </c>
    </row>
    <row r="29" spans="1:7" x14ac:dyDescent="0.3">
      <c r="A29" t="s">
        <v>75</v>
      </c>
      <c r="B29">
        <v>6.7</v>
      </c>
      <c r="C29">
        <v>6.9</v>
      </c>
      <c r="D29">
        <v>7.1</v>
      </c>
      <c r="E29">
        <v>7.2</v>
      </c>
      <c r="F29">
        <v>7.3</v>
      </c>
      <c r="G29">
        <v>7.3</v>
      </c>
    </row>
    <row r="30" spans="1:7" x14ac:dyDescent="0.3">
      <c r="A30" t="s">
        <v>76</v>
      </c>
      <c r="B30">
        <v>5.9</v>
      </c>
      <c r="C30">
        <v>5.9</v>
      </c>
      <c r="D30">
        <v>5.4</v>
      </c>
      <c r="E30">
        <v>4.5</v>
      </c>
      <c r="F30">
        <v>3.7</v>
      </c>
      <c r="G30">
        <v>3.4</v>
      </c>
    </row>
    <row r="31" spans="1:7" x14ac:dyDescent="0.3">
      <c r="A31" t="s">
        <v>77</v>
      </c>
      <c r="B31">
        <v>11.7</v>
      </c>
      <c r="C31">
        <v>11.3</v>
      </c>
      <c r="D31">
        <v>11.2</v>
      </c>
      <c r="E31">
        <v>10.9</v>
      </c>
      <c r="F31">
        <v>9.8000000000000007</v>
      </c>
      <c r="G31">
        <v>8.1999999999999993</v>
      </c>
    </row>
    <row r="32" spans="1:7" x14ac:dyDescent="0.3">
      <c r="A32" t="s">
        <v>78</v>
      </c>
      <c r="B32">
        <v>19.8</v>
      </c>
      <c r="C32">
        <v>15.3</v>
      </c>
      <c r="D32">
        <v>11</v>
      </c>
      <c r="E32">
        <v>10.7</v>
      </c>
      <c r="F32">
        <v>10.9</v>
      </c>
      <c r="G32">
        <v>10.8</v>
      </c>
    </row>
    <row r="33" spans="1:7" x14ac:dyDescent="0.3">
      <c r="A33" t="s">
        <v>79</v>
      </c>
      <c r="B33">
        <v>60.5</v>
      </c>
      <c r="C33">
        <v>57.7</v>
      </c>
      <c r="D33">
        <v>54.2</v>
      </c>
      <c r="E33">
        <v>51.1</v>
      </c>
      <c r="F33">
        <v>48.4</v>
      </c>
      <c r="G33">
        <v>44.7</v>
      </c>
    </row>
    <row r="34" spans="1:7" x14ac:dyDescent="0.3">
      <c r="A34" t="s">
        <v>80</v>
      </c>
      <c r="B34">
        <v>71</v>
      </c>
      <c r="C34">
        <v>69.2</v>
      </c>
      <c r="D34">
        <v>67</v>
      </c>
      <c r="E34">
        <v>65.2</v>
      </c>
      <c r="F34">
        <v>63.3</v>
      </c>
      <c r="G34">
        <v>61.3</v>
      </c>
    </row>
    <row r="35" spans="1:7" x14ac:dyDescent="0.3">
      <c r="A35" t="s">
        <v>81</v>
      </c>
      <c r="B35">
        <v>11.4</v>
      </c>
      <c r="C35">
        <v>13.6</v>
      </c>
      <c r="D35">
        <v>16.399999999999999</v>
      </c>
      <c r="E35">
        <v>19.399999999999999</v>
      </c>
      <c r="F35">
        <v>23.2</v>
      </c>
      <c r="G35">
        <v>27.1</v>
      </c>
    </row>
    <row r="36" spans="1:7" x14ac:dyDescent="0.3">
      <c r="A36" t="s">
        <v>82</v>
      </c>
      <c r="B36">
        <v>60.8</v>
      </c>
      <c r="C36">
        <v>57.7</v>
      </c>
      <c r="D36">
        <v>54.1</v>
      </c>
      <c r="E36">
        <v>50.6</v>
      </c>
      <c r="F36">
        <v>47.4</v>
      </c>
      <c r="G36">
        <v>43.3</v>
      </c>
    </row>
    <row r="37" spans="1:7" x14ac:dyDescent="0.3">
      <c r="A37" t="s">
        <v>83</v>
      </c>
      <c r="B37">
        <v>112.8</v>
      </c>
      <c r="C37">
        <v>112.9</v>
      </c>
      <c r="D37">
        <v>112.8</v>
      </c>
      <c r="E37">
        <v>112.7</v>
      </c>
      <c r="F37">
        <v>112.5</v>
      </c>
      <c r="G37">
        <v>112.2</v>
      </c>
    </row>
    <row r="38" spans="1:7" x14ac:dyDescent="0.3">
      <c r="A38" t="s">
        <v>84</v>
      </c>
      <c r="B38">
        <v>47.4</v>
      </c>
      <c r="C38">
        <v>41.1</v>
      </c>
      <c r="D38">
        <v>44.7</v>
      </c>
      <c r="E38">
        <v>49.4</v>
      </c>
      <c r="F38">
        <v>53.6</v>
      </c>
      <c r="G38">
        <v>58.1</v>
      </c>
    </row>
    <row r="39" spans="1:7" x14ac:dyDescent="0.3">
      <c r="A39" t="s">
        <v>85</v>
      </c>
      <c r="B39">
        <v>31</v>
      </c>
      <c r="C39">
        <v>34</v>
      </c>
      <c r="D39">
        <v>37</v>
      </c>
      <c r="E39">
        <v>40</v>
      </c>
      <c r="F39">
        <v>43</v>
      </c>
      <c r="G39">
        <v>46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S21"/>
  <sheetViews>
    <sheetView workbookViewId="0">
      <selection activeCell="U22" sqref="U22"/>
    </sheetView>
  </sheetViews>
  <sheetFormatPr defaultRowHeight="14.4" x14ac:dyDescent="0.3"/>
  <cols>
    <col min="1" max="1" width="10.33203125" customWidth="1"/>
  </cols>
  <sheetData>
    <row r="1" spans="1:19" x14ac:dyDescent="0.3">
      <c r="A1" s="2" t="s">
        <v>124</v>
      </c>
      <c r="B1" s="1"/>
      <c r="C1" s="1"/>
      <c r="D1" s="1"/>
      <c r="E1" s="1"/>
      <c r="F1" s="1"/>
      <c r="G1" s="1"/>
      <c r="H1" s="1"/>
      <c r="I1" s="1"/>
      <c r="J1" s="1"/>
    </row>
    <row r="2" spans="1:19" s="3" customFormat="1" x14ac:dyDescent="0.3">
      <c r="A2" s="3" t="s">
        <v>34</v>
      </c>
      <c r="B2" s="34">
        <v>2026</v>
      </c>
      <c r="C2" s="34"/>
      <c r="D2" s="34"/>
      <c r="E2" s="34">
        <v>2031</v>
      </c>
      <c r="F2" s="34"/>
      <c r="G2" s="34"/>
      <c r="H2" s="34">
        <v>2036</v>
      </c>
      <c r="I2" s="34"/>
      <c r="J2" s="34"/>
      <c r="K2" s="37">
        <v>2041</v>
      </c>
      <c r="L2" s="37"/>
      <c r="M2" s="37"/>
      <c r="N2" s="37">
        <v>2046</v>
      </c>
      <c r="O2" s="37"/>
      <c r="P2" s="37"/>
      <c r="Q2" s="37">
        <v>2051</v>
      </c>
      <c r="R2" s="37"/>
      <c r="S2" s="37"/>
    </row>
    <row r="3" spans="1:19" s="3" customFormat="1" x14ac:dyDescent="0.3">
      <c r="B3" s="3" t="s">
        <v>16</v>
      </c>
      <c r="C3" s="3" t="s">
        <v>46</v>
      </c>
      <c r="D3" s="3" t="s">
        <v>91</v>
      </c>
      <c r="E3" s="3" t="s">
        <v>16</v>
      </c>
      <c r="F3" s="3" t="s">
        <v>46</v>
      </c>
      <c r="G3" s="3" t="s">
        <v>91</v>
      </c>
      <c r="H3" s="3" t="s">
        <v>16</v>
      </c>
      <c r="I3" s="3" t="s">
        <v>46</v>
      </c>
      <c r="J3" s="3" t="s">
        <v>91</v>
      </c>
      <c r="K3" s="3" t="s">
        <v>16</v>
      </c>
      <c r="L3" s="3" t="s">
        <v>46</v>
      </c>
      <c r="M3" s="3" t="s">
        <v>91</v>
      </c>
      <c r="N3" s="3" t="s">
        <v>16</v>
      </c>
      <c r="O3" s="3" t="s">
        <v>46</v>
      </c>
      <c r="P3" s="3" t="s">
        <v>91</v>
      </c>
      <c r="Q3" s="3" t="s">
        <v>16</v>
      </c>
      <c r="R3" s="3" t="s">
        <v>46</v>
      </c>
      <c r="S3" s="3" t="s">
        <v>91</v>
      </c>
    </row>
    <row r="4" spans="1:19" x14ac:dyDescent="0.3">
      <c r="A4" t="s">
        <v>94</v>
      </c>
      <c r="B4">
        <v>6.14</v>
      </c>
      <c r="C4">
        <v>5.61</v>
      </c>
      <c r="D4">
        <v>5.89</v>
      </c>
      <c r="E4">
        <v>6.09</v>
      </c>
      <c r="F4">
        <v>5.62</v>
      </c>
      <c r="G4">
        <v>5.87</v>
      </c>
      <c r="H4">
        <v>5.61</v>
      </c>
      <c r="I4">
        <v>5.22</v>
      </c>
      <c r="J4">
        <v>5.43</v>
      </c>
      <c r="K4">
        <v>4.66</v>
      </c>
      <c r="L4">
        <v>4.3600000000000003</v>
      </c>
      <c r="M4">
        <v>4.5199999999999996</v>
      </c>
      <c r="N4">
        <v>3.84</v>
      </c>
      <c r="O4">
        <v>3.59</v>
      </c>
      <c r="P4">
        <v>3.72</v>
      </c>
      <c r="Q4">
        <v>3.52</v>
      </c>
      <c r="R4">
        <v>3.3</v>
      </c>
      <c r="S4">
        <v>3.42</v>
      </c>
    </row>
    <row r="5" spans="1:19" x14ac:dyDescent="0.3">
      <c r="A5" t="s">
        <v>95</v>
      </c>
      <c r="B5">
        <v>6.06</v>
      </c>
      <c r="C5">
        <v>5.5</v>
      </c>
      <c r="D5">
        <v>5.8</v>
      </c>
      <c r="E5">
        <v>5.9</v>
      </c>
      <c r="F5">
        <v>5.39</v>
      </c>
      <c r="G5">
        <v>5.66</v>
      </c>
      <c r="H5">
        <v>5.9</v>
      </c>
      <c r="I5">
        <v>5.43</v>
      </c>
      <c r="J5">
        <v>5.68</v>
      </c>
      <c r="K5">
        <v>5.5</v>
      </c>
      <c r="L5">
        <v>5.1100000000000003</v>
      </c>
      <c r="M5">
        <v>5.32</v>
      </c>
      <c r="N5">
        <v>4.62</v>
      </c>
      <c r="O5">
        <v>4.32</v>
      </c>
      <c r="P5">
        <v>4.4800000000000004</v>
      </c>
      <c r="Q5">
        <v>3.84</v>
      </c>
      <c r="R5">
        <v>3.59</v>
      </c>
      <c r="S5">
        <v>3.72</v>
      </c>
    </row>
    <row r="6" spans="1:19" x14ac:dyDescent="0.3">
      <c r="A6" t="s">
        <v>96</v>
      </c>
      <c r="B6">
        <v>6.22</v>
      </c>
      <c r="C6">
        <v>5.61</v>
      </c>
      <c r="D6">
        <v>5.93</v>
      </c>
      <c r="E6">
        <v>5.83</v>
      </c>
      <c r="F6">
        <v>5.31</v>
      </c>
      <c r="G6">
        <v>5.59</v>
      </c>
      <c r="H6">
        <v>5.72</v>
      </c>
      <c r="I6">
        <v>5.23</v>
      </c>
      <c r="J6">
        <v>5.49</v>
      </c>
      <c r="K6">
        <v>5.79</v>
      </c>
      <c r="L6">
        <v>5.33</v>
      </c>
      <c r="M6">
        <v>5.57</v>
      </c>
      <c r="N6">
        <v>5.46</v>
      </c>
      <c r="O6">
        <v>5.07</v>
      </c>
      <c r="P6">
        <v>5.28</v>
      </c>
      <c r="Q6">
        <v>4.62</v>
      </c>
      <c r="R6">
        <v>4.3099999999999996</v>
      </c>
      <c r="S6">
        <v>4.4800000000000004</v>
      </c>
    </row>
    <row r="7" spans="1:19" x14ac:dyDescent="0.3">
      <c r="A7" t="s">
        <v>35</v>
      </c>
      <c r="B7">
        <v>10.07</v>
      </c>
      <c r="C7">
        <v>9.7200000000000006</v>
      </c>
      <c r="D7">
        <v>9.91</v>
      </c>
      <c r="E7">
        <v>5.99</v>
      </c>
      <c r="F7">
        <v>5.41</v>
      </c>
      <c r="G7">
        <v>5.72</v>
      </c>
      <c r="H7">
        <v>5.65</v>
      </c>
      <c r="I7">
        <v>5.15</v>
      </c>
      <c r="J7">
        <v>5.42</v>
      </c>
      <c r="K7">
        <v>5.6</v>
      </c>
      <c r="L7">
        <v>5.13</v>
      </c>
      <c r="M7">
        <v>5.38</v>
      </c>
      <c r="N7">
        <v>5.74</v>
      </c>
      <c r="O7">
        <v>5.29</v>
      </c>
      <c r="P7">
        <v>5.53</v>
      </c>
      <c r="Q7">
        <v>5.46</v>
      </c>
      <c r="R7">
        <v>5.07</v>
      </c>
      <c r="S7">
        <v>5.28</v>
      </c>
    </row>
    <row r="8" spans="1:19" x14ac:dyDescent="0.3">
      <c r="A8" t="s">
        <v>36</v>
      </c>
      <c r="B8">
        <v>9.8800000000000008</v>
      </c>
      <c r="C8">
        <v>9.9600000000000009</v>
      </c>
      <c r="D8">
        <v>9.92</v>
      </c>
      <c r="E8">
        <v>9.69</v>
      </c>
      <c r="F8">
        <v>9.3699999999999992</v>
      </c>
      <c r="G8">
        <v>9.5399999999999991</v>
      </c>
      <c r="H8">
        <v>5.8</v>
      </c>
      <c r="I8">
        <v>5.24</v>
      </c>
      <c r="J8">
        <v>5.54</v>
      </c>
      <c r="K8">
        <v>5.54</v>
      </c>
      <c r="L8">
        <v>5.05</v>
      </c>
      <c r="M8">
        <v>5.31</v>
      </c>
      <c r="N8">
        <v>5.56</v>
      </c>
      <c r="O8">
        <v>5.09</v>
      </c>
      <c r="P8">
        <v>5.34</v>
      </c>
      <c r="Q8">
        <v>5.74</v>
      </c>
      <c r="R8">
        <v>5.28</v>
      </c>
      <c r="S8">
        <v>5.52</v>
      </c>
    </row>
    <row r="9" spans="1:19" x14ac:dyDescent="0.3">
      <c r="A9" t="s">
        <v>37</v>
      </c>
      <c r="B9">
        <v>9.83</v>
      </c>
      <c r="C9">
        <v>10.01</v>
      </c>
      <c r="D9">
        <v>9.91</v>
      </c>
      <c r="E9">
        <v>9.5</v>
      </c>
      <c r="F9">
        <v>9.6</v>
      </c>
      <c r="G9">
        <v>9.5500000000000007</v>
      </c>
      <c r="H9">
        <v>9.39</v>
      </c>
      <c r="I9">
        <v>9.08</v>
      </c>
      <c r="J9">
        <v>9.24</v>
      </c>
      <c r="K9">
        <v>5.68</v>
      </c>
      <c r="L9">
        <v>5.14</v>
      </c>
      <c r="M9">
        <v>5.43</v>
      </c>
      <c r="N9">
        <v>5.49</v>
      </c>
      <c r="O9">
        <v>5.01</v>
      </c>
      <c r="P9">
        <v>5.26</v>
      </c>
      <c r="Q9">
        <v>5.55</v>
      </c>
      <c r="R9">
        <v>5.08</v>
      </c>
      <c r="S9">
        <v>5.33</v>
      </c>
    </row>
    <row r="10" spans="1:19" x14ac:dyDescent="0.3">
      <c r="A10" t="s">
        <v>38</v>
      </c>
      <c r="B10">
        <v>8.43</v>
      </c>
      <c r="C10">
        <v>8.92</v>
      </c>
      <c r="D10">
        <v>8.66</v>
      </c>
      <c r="E10">
        <v>9.4600000000000009</v>
      </c>
      <c r="F10">
        <v>9.64</v>
      </c>
      <c r="G10">
        <v>9.5399999999999991</v>
      </c>
      <c r="H10">
        <v>9.1999999999999993</v>
      </c>
      <c r="I10">
        <v>9.3000000000000007</v>
      </c>
      <c r="J10">
        <v>9.25</v>
      </c>
      <c r="K10">
        <v>9.1999999999999993</v>
      </c>
      <c r="L10">
        <v>8.9</v>
      </c>
      <c r="M10">
        <v>9.06</v>
      </c>
      <c r="N10">
        <v>5.63</v>
      </c>
      <c r="O10">
        <v>5.09</v>
      </c>
      <c r="P10">
        <v>5.38</v>
      </c>
      <c r="Q10">
        <v>5.49</v>
      </c>
      <c r="R10">
        <v>5</v>
      </c>
      <c r="S10">
        <v>5.26</v>
      </c>
    </row>
    <row r="11" spans="1:19" x14ac:dyDescent="0.3">
      <c r="A11" t="s">
        <v>39</v>
      </c>
      <c r="B11">
        <v>7.93</v>
      </c>
      <c r="C11">
        <v>8.31</v>
      </c>
      <c r="D11">
        <v>8.11</v>
      </c>
      <c r="E11">
        <v>8.1</v>
      </c>
      <c r="F11">
        <v>8.58</v>
      </c>
      <c r="G11">
        <v>8.33</v>
      </c>
      <c r="H11">
        <v>9.15</v>
      </c>
      <c r="I11">
        <v>9.33</v>
      </c>
      <c r="J11">
        <v>9.24</v>
      </c>
      <c r="K11">
        <v>9.01</v>
      </c>
      <c r="L11">
        <v>9.11</v>
      </c>
      <c r="M11">
        <v>9.06</v>
      </c>
      <c r="N11">
        <v>9.1300000000000008</v>
      </c>
      <c r="O11">
        <v>8.82</v>
      </c>
      <c r="P11">
        <v>8.98</v>
      </c>
      <c r="Q11">
        <v>5.63</v>
      </c>
      <c r="R11">
        <v>5.09</v>
      </c>
      <c r="S11">
        <v>5.37</v>
      </c>
    </row>
    <row r="12" spans="1:19" x14ac:dyDescent="0.3">
      <c r="A12" t="s">
        <v>40</v>
      </c>
      <c r="B12">
        <v>7.65</v>
      </c>
      <c r="C12">
        <v>7.46</v>
      </c>
      <c r="D12">
        <v>7.56</v>
      </c>
      <c r="E12">
        <v>7.61</v>
      </c>
      <c r="F12">
        <v>7.99</v>
      </c>
      <c r="G12">
        <v>7.78</v>
      </c>
      <c r="H12">
        <v>7.83</v>
      </c>
      <c r="I12">
        <v>8.3000000000000007</v>
      </c>
      <c r="J12">
        <v>8.0500000000000007</v>
      </c>
      <c r="K12">
        <v>8.9499999999999993</v>
      </c>
      <c r="L12">
        <v>9.14</v>
      </c>
      <c r="M12">
        <v>9.0399999999999991</v>
      </c>
      <c r="N12">
        <v>8.93</v>
      </c>
      <c r="O12">
        <v>9.0299999999999994</v>
      </c>
      <c r="P12">
        <v>8.9700000000000006</v>
      </c>
      <c r="Q12">
        <v>9.1199999999999992</v>
      </c>
      <c r="R12">
        <v>8.8000000000000007</v>
      </c>
      <c r="S12">
        <v>8.9700000000000006</v>
      </c>
    </row>
    <row r="13" spans="1:19" x14ac:dyDescent="0.3">
      <c r="A13" t="s">
        <v>41</v>
      </c>
      <c r="B13">
        <v>6.44</v>
      </c>
      <c r="C13">
        <v>6.38</v>
      </c>
      <c r="D13">
        <v>6.41</v>
      </c>
      <c r="E13">
        <v>7.32</v>
      </c>
      <c r="F13">
        <v>7.16</v>
      </c>
      <c r="G13">
        <v>7.24</v>
      </c>
      <c r="H13">
        <v>7.33</v>
      </c>
      <c r="I13">
        <v>7.72</v>
      </c>
      <c r="J13">
        <v>7.51</v>
      </c>
      <c r="K13">
        <v>7.64</v>
      </c>
      <c r="L13">
        <v>8.1199999999999992</v>
      </c>
      <c r="M13">
        <v>7.87</v>
      </c>
      <c r="N13">
        <v>8.85</v>
      </c>
      <c r="O13">
        <v>9.0399999999999991</v>
      </c>
      <c r="P13">
        <v>8.94</v>
      </c>
      <c r="Q13">
        <v>8.91</v>
      </c>
      <c r="R13">
        <v>9</v>
      </c>
      <c r="S13">
        <v>8.9499999999999993</v>
      </c>
    </row>
    <row r="14" spans="1:19" x14ac:dyDescent="0.3">
      <c r="A14" t="s">
        <v>97</v>
      </c>
      <c r="B14">
        <v>5.66</v>
      </c>
      <c r="C14">
        <v>5.83</v>
      </c>
      <c r="D14">
        <v>5.74</v>
      </c>
      <c r="E14">
        <v>6.12</v>
      </c>
      <c r="F14">
        <v>6.11</v>
      </c>
      <c r="G14">
        <v>6.11</v>
      </c>
      <c r="H14">
        <v>7.01</v>
      </c>
      <c r="I14">
        <v>6.89</v>
      </c>
      <c r="J14">
        <v>6.96</v>
      </c>
      <c r="K14">
        <v>7.12</v>
      </c>
      <c r="L14">
        <v>7.53</v>
      </c>
      <c r="M14">
        <v>7.31</v>
      </c>
      <c r="N14">
        <v>7.53</v>
      </c>
      <c r="O14">
        <v>8.02</v>
      </c>
      <c r="P14">
        <v>7.76</v>
      </c>
      <c r="Q14">
        <v>8.8000000000000007</v>
      </c>
      <c r="R14">
        <v>9</v>
      </c>
      <c r="S14">
        <v>8.9</v>
      </c>
    </row>
    <row r="15" spans="1:19" x14ac:dyDescent="0.3">
      <c r="A15" t="s">
        <v>98</v>
      </c>
      <c r="B15">
        <v>4.8600000000000003</v>
      </c>
      <c r="C15">
        <v>4.74</v>
      </c>
      <c r="D15">
        <v>4.8</v>
      </c>
      <c r="E15">
        <v>5.32</v>
      </c>
      <c r="F15">
        <v>5.55</v>
      </c>
      <c r="G15">
        <v>5.43</v>
      </c>
      <c r="H15">
        <v>5.81</v>
      </c>
      <c r="I15">
        <v>5.86</v>
      </c>
      <c r="J15">
        <v>5.84</v>
      </c>
      <c r="K15">
        <v>6.77</v>
      </c>
      <c r="L15">
        <v>6.7</v>
      </c>
      <c r="M15">
        <v>6.74</v>
      </c>
      <c r="N15">
        <v>6.97</v>
      </c>
      <c r="O15">
        <v>7.41</v>
      </c>
      <c r="P15">
        <v>7.18</v>
      </c>
      <c r="Q15">
        <v>7.45</v>
      </c>
      <c r="R15">
        <v>7.96</v>
      </c>
      <c r="S15">
        <v>7.69</v>
      </c>
    </row>
    <row r="16" spans="1:19" x14ac:dyDescent="0.3">
      <c r="A16" t="s">
        <v>99</v>
      </c>
      <c r="B16">
        <v>3.76</v>
      </c>
      <c r="C16">
        <v>3.98</v>
      </c>
      <c r="D16">
        <v>3.86</v>
      </c>
      <c r="E16">
        <v>4.5</v>
      </c>
      <c r="F16">
        <v>4.4800000000000004</v>
      </c>
      <c r="G16">
        <v>4.49</v>
      </c>
      <c r="H16">
        <v>4.99</v>
      </c>
      <c r="I16">
        <v>5.29</v>
      </c>
      <c r="J16">
        <v>5.13</v>
      </c>
      <c r="K16">
        <v>5.55</v>
      </c>
      <c r="L16">
        <v>5.67</v>
      </c>
      <c r="M16">
        <v>5.61</v>
      </c>
      <c r="N16">
        <v>6.57</v>
      </c>
      <c r="O16">
        <v>6.57</v>
      </c>
      <c r="P16">
        <v>6.57</v>
      </c>
      <c r="Q16">
        <v>6.84</v>
      </c>
      <c r="R16">
        <v>7.33</v>
      </c>
      <c r="S16">
        <v>7.08</v>
      </c>
    </row>
    <row r="17" spans="1:19" x14ac:dyDescent="0.3">
      <c r="A17" t="s">
        <v>100</v>
      </c>
      <c r="B17">
        <v>2.91</v>
      </c>
      <c r="C17">
        <v>2.93</v>
      </c>
      <c r="D17">
        <v>2.92</v>
      </c>
      <c r="E17">
        <v>3.4</v>
      </c>
      <c r="F17">
        <v>3.7</v>
      </c>
      <c r="G17">
        <v>3.54</v>
      </c>
      <c r="H17">
        <v>4.1399999999999997</v>
      </c>
      <c r="I17">
        <v>4.21</v>
      </c>
      <c r="J17">
        <v>4.17</v>
      </c>
      <c r="K17">
        <v>4.68</v>
      </c>
      <c r="L17">
        <v>5.0599999999999996</v>
      </c>
      <c r="M17">
        <v>4.8600000000000003</v>
      </c>
      <c r="N17">
        <v>5.31</v>
      </c>
      <c r="O17">
        <v>5.5</v>
      </c>
      <c r="P17">
        <v>5.4</v>
      </c>
      <c r="Q17">
        <v>6.36</v>
      </c>
      <c r="R17">
        <v>6.45</v>
      </c>
      <c r="S17">
        <v>6.4</v>
      </c>
    </row>
    <row r="18" spans="1:19" x14ac:dyDescent="0.3">
      <c r="A18" t="s">
        <v>101</v>
      </c>
      <c r="B18">
        <v>1.78</v>
      </c>
      <c r="C18">
        <v>2.14</v>
      </c>
      <c r="D18">
        <v>1.95</v>
      </c>
      <c r="E18">
        <v>2.52</v>
      </c>
      <c r="F18">
        <v>2.63</v>
      </c>
      <c r="G18">
        <v>2.57</v>
      </c>
      <c r="H18">
        <v>3</v>
      </c>
      <c r="I18">
        <v>3.38</v>
      </c>
      <c r="J18">
        <v>3.18</v>
      </c>
      <c r="K18">
        <v>3.74</v>
      </c>
      <c r="L18">
        <v>3.92</v>
      </c>
      <c r="M18">
        <v>3.83</v>
      </c>
      <c r="N18">
        <v>4.34</v>
      </c>
      <c r="O18">
        <v>4.8</v>
      </c>
      <c r="P18">
        <v>4.5599999999999996</v>
      </c>
      <c r="Q18">
        <v>5</v>
      </c>
      <c r="R18">
        <v>5.3</v>
      </c>
      <c r="S18">
        <v>5.14</v>
      </c>
    </row>
    <row r="19" spans="1:19" x14ac:dyDescent="0.3">
      <c r="A19" t="s">
        <v>102</v>
      </c>
      <c r="B19">
        <v>1.47</v>
      </c>
      <c r="C19">
        <v>1.65</v>
      </c>
      <c r="D19">
        <v>1.55</v>
      </c>
      <c r="E19">
        <v>1.39</v>
      </c>
      <c r="F19">
        <v>1.78</v>
      </c>
      <c r="G19">
        <v>1.58</v>
      </c>
      <c r="H19">
        <v>2.04</v>
      </c>
      <c r="I19">
        <v>2.2599999999999998</v>
      </c>
      <c r="J19">
        <v>2.14</v>
      </c>
      <c r="K19">
        <v>2.52</v>
      </c>
      <c r="L19">
        <v>2.98</v>
      </c>
      <c r="M19">
        <v>2.73</v>
      </c>
      <c r="N19">
        <v>3.25</v>
      </c>
      <c r="O19">
        <v>3.55</v>
      </c>
      <c r="P19">
        <v>3.39</v>
      </c>
      <c r="Q19">
        <v>3.85</v>
      </c>
      <c r="R19">
        <v>4.43</v>
      </c>
      <c r="S19">
        <v>4.13</v>
      </c>
    </row>
    <row r="20" spans="1:19" x14ac:dyDescent="0.3">
      <c r="A20" t="s">
        <v>103</v>
      </c>
      <c r="B20">
        <v>0.91</v>
      </c>
      <c r="C20">
        <v>1.27</v>
      </c>
      <c r="D20">
        <v>1.08</v>
      </c>
      <c r="E20">
        <v>1.26</v>
      </c>
      <c r="F20">
        <v>1.7</v>
      </c>
      <c r="G20">
        <v>1.46</v>
      </c>
      <c r="H20">
        <v>1.44</v>
      </c>
      <c r="I20">
        <v>2.1</v>
      </c>
      <c r="J20">
        <v>1.75</v>
      </c>
      <c r="K20">
        <v>2.0299999999999998</v>
      </c>
      <c r="L20">
        <v>2.76</v>
      </c>
      <c r="M20">
        <v>2.38</v>
      </c>
      <c r="N20">
        <v>2.78</v>
      </c>
      <c r="O20">
        <v>3.8</v>
      </c>
      <c r="P20">
        <v>3.26</v>
      </c>
      <c r="Q20">
        <v>3.82</v>
      </c>
      <c r="R20">
        <v>4.99</v>
      </c>
      <c r="S20">
        <v>4.37</v>
      </c>
    </row>
    <row r="21" spans="1:19" x14ac:dyDescent="0.3">
      <c r="A21" t="s">
        <v>73</v>
      </c>
      <c r="B21" s="5">
        <v>100</v>
      </c>
      <c r="C21" s="5">
        <v>100</v>
      </c>
      <c r="D21" s="5">
        <v>100</v>
      </c>
      <c r="E21" s="5">
        <v>100</v>
      </c>
      <c r="F21" s="5">
        <v>100</v>
      </c>
      <c r="G21" s="5">
        <v>100</v>
      </c>
      <c r="H21" s="5">
        <v>100</v>
      </c>
      <c r="I21" s="5">
        <v>100</v>
      </c>
      <c r="J21" s="5">
        <v>100</v>
      </c>
      <c r="K21" s="5">
        <v>100</v>
      </c>
      <c r="L21" s="5">
        <v>100</v>
      </c>
      <c r="M21" s="5">
        <v>100</v>
      </c>
      <c r="N21" s="5">
        <v>100</v>
      </c>
      <c r="O21" s="5">
        <v>100</v>
      </c>
      <c r="P21" s="5">
        <v>100</v>
      </c>
      <c r="Q21" s="5">
        <v>100</v>
      </c>
      <c r="R21" s="5">
        <v>100</v>
      </c>
      <c r="S21" s="5">
        <v>100</v>
      </c>
    </row>
  </sheetData>
  <mergeCells count="6">
    <mergeCell ref="Q2:S2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S21"/>
  <sheetViews>
    <sheetView workbookViewId="0">
      <selection activeCell="B2" sqref="B2:S2"/>
    </sheetView>
  </sheetViews>
  <sheetFormatPr defaultRowHeight="14.4" x14ac:dyDescent="0.3"/>
  <sheetData>
    <row r="1" spans="1:19" x14ac:dyDescent="0.3">
      <c r="A1" s="2" t="s">
        <v>125</v>
      </c>
      <c r="B1" s="1"/>
      <c r="C1" s="1"/>
      <c r="D1" s="1"/>
      <c r="E1" s="1"/>
      <c r="F1" s="1"/>
      <c r="G1" s="1"/>
      <c r="H1" s="1"/>
      <c r="I1" s="1"/>
      <c r="J1" s="1"/>
    </row>
    <row r="2" spans="1:19" s="3" customFormat="1" x14ac:dyDescent="0.3">
      <c r="A2" s="12" t="s">
        <v>93</v>
      </c>
      <c r="B2" s="34">
        <v>2026</v>
      </c>
      <c r="C2" s="34"/>
      <c r="D2" s="34"/>
      <c r="E2" s="34">
        <v>2031</v>
      </c>
      <c r="F2" s="34"/>
      <c r="G2" s="34"/>
      <c r="H2" s="34">
        <v>2036</v>
      </c>
      <c r="I2" s="34"/>
      <c r="J2" s="34"/>
      <c r="K2" s="37">
        <v>2041</v>
      </c>
      <c r="L2" s="37"/>
      <c r="M2" s="37"/>
      <c r="N2" s="37">
        <v>2046</v>
      </c>
      <c r="O2" s="37"/>
      <c r="P2" s="37"/>
      <c r="Q2" s="37">
        <v>2051</v>
      </c>
      <c r="R2" s="37"/>
      <c r="S2" s="37"/>
    </row>
    <row r="3" spans="1:19" s="3" customFormat="1" x14ac:dyDescent="0.3">
      <c r="B3" s="3" t="s">
        <v>16</v>
      </c>
      <c r="C3" s="3" t="s">
        <v>46</v>
      </c>
      <c r="D3" s="3" t="s">
        <v>91</v>
      </c>
      <c r="E3" s="3" t="s">
        <v>16</v>
      </c>
      <c r="F3" s="3" t="s">
        <v>46</v>
      </c>
      <c r="G3" s="3" t="s">
        <v>91</v>
      </c>
      <c r="H3" s="3" t="s">
        <v>16</v>
      </c>
      <c r="I3" s="3" t="s">
        <v>46</v>
      </c>
      <c r="J3" s="3" t="s">
        <v>91</v>
      </c>
      <c r="K3" s="3" t="s">
        <v>16</v>
      </c>
      <c r="L3" s="3" t="s">
        <v>46</v>
      </c>
      <c r="M3" s="3" t="s">
        <v>91</v>
      </c>
      <c r="N3" s="3" t="s">
        <v>16</v>
      </c>
      <c r="O3" s="3" t="s">
        <v>46</v>
      </c>
      <c r="P3" s="3" t="s">
        <v>91</v>
      </c>
      <c r="Q3" s="3" t="s">
        <v>16</v>
      </c>
      <c r="R3" s="3" t="s">
        <v>46</v>
      </c>
      <c r="S3" s="3" t="s">
        <v>91</v>
      </c>
    </row>
    <row r="4" spans="1:19" x14ac:dyDescent="0.3">
      <c r="A4" t="s">
        <v>94</v>
      </c>
      <c r="B4">
        <v>6.2</v>
      </c>
      <c r="C4">
        <v>5.63</v>
      </c>
      <c r="D4">
        <v>5.93</v>
      </c>
      <c r="E4">
        <v>6.16</v>
      </c>
      <c r="F4">
        <v>5.64</v>
      </c>
      <c r="G4">
        <v>5.92</v>
      </c>
      <c r="H4">
        <v>5.68</v>
      </c>
      <c r="I4">
        <v>5.24</v>
      </c>
      <c r="J4">
        <v>5.47</v>
      </c>
      <c r="K4">
        <v>4.71</v>
      </c>
      <c r="L4">
        <v>4.38</v>
      </c>
      <c r="M4">
        <v>4.55</v>
      </c>
      <c r="N4">
        <v>3.88</v>
      </c>
      <c r="O4">
        <v>3.61</v>
      </c>
      <c r="P4">
        <v>3.75</v>
      </c>
      <c r="Q4">
        <v>3.55</v>
      </c>
      <c r="R4">
        <v>3.32</v>
      </c>
      <c r="S4">
        <v>3.44</v>
      </c>
    </row>
    <row r="5" spans="1:19" x14ac:dyDescent="0.3">
      <c r="A5" t="s">
        <v>95</v>
      </c>
      <c r="B5">
        <v>6.11</v>
      </c>
      <c r="C5">
        <v>5.52</v>
      </c>
      <c r="D5">
        <v>5.83</v>
      </c>
      <c r="E5">
        <v>5.95</v>
      </c>
      <c r="F5">
        <v>5.41</v>
      </c>
      <c r="G5">
        <v>5.7</v>
      </c>
      <c r="H5">
        <v>5.95</v>
      </c>
      <c r="I5">
        <v>5.45</v>
      </c>
      <c r="J5">
        <v>5.72</v>
      </c>
      <c r="K5">
        <v>5.55</v>
      </c>
      <c r="L5">
        <v>5.12</v>
      </c>
      <c r="M5">
        <v>5.35</v>
      </c>
      <c r="N5">
        <v>4.66</v>
      </c>
      <c r="O5">
        <v>4.33</v>
      </c>
      <c r="P5">
        <v>4.51</v>
      </c>
      <c r="Q5">
        <v>3.87</v>
      </c>
      <c r="R5">
        <v>3.6</v>
      </c>
      <c r="S5">
        <v>3.74</v>
      </c>
    </row>
    <row r="6" spans="1:19" x14ac:dyDescent="0.3">
      <c r="A6" t="s">
        <v>96</v>
      </c>
      <c r="B6">
        <v>6.28</v>
      </c>
      <c r="C6">
        <v>5.62</v>
      </c>
      <c r="D6">
        <v>5.97</v>
      </c>
      <c r="E6">
        <v>5.88</v>
      </c>
      <c r="F6">
        <v>5.33</v>
      </c>
      <c r="G6">
        <v>5.62</v>
      </c>
      <c r="H6">
        <v>5.77</v>
      </c>
      <c r="I6">
        <v>5.25</v>
      </c>
      <c r="J6">
        <v>5.52</v>
      </c>
      <c r="K6">
        <v>5.83</v>
      </c>
      <c r="L6">
        <v>5.35</v>
      </c>
      <c r="M6">
        <v>5.6</v>
      </c>
      <c r="N6">
        <v>5.5</v>
      </c>
      <c r="O6">
        <v>5.09</v>
      </c>
      <c r="P6">
        <v>5.31</v>
      </c>
      <c r="Q6">
        <v>4.66</v>
      </c>
      <c r="R6">
        <v>4.33</v>
      </c>
      <c r="S6">
        <v>4.5</v>
      </c>
    </row>
    <row r="7" spans="1:19" x14ac:dyDescent="0.3">
      <c r="A7" t="s">
        <v>35</v>
      </c>
      <c r="B7">
        <v>10.14</v>
      </c>
      <c r="C7">
        <v>9.7200000000000006</v>
      </c>
      <c r="D7">
        <v>9.94</v>
      </c>
      <c r="E7">
        <v>6.03</v>
      </c>
      <c r="F7">
        <v>5.41</v>
      </c>
      <c r="G7">
        <v>5.74</v>
      </c>
      <c r="H7">
        <v>5.69</v>
      </c>
      <c r="I7">
        <v>5.15</v>
      </c>
      <c r="J7">
        <v>5.44</v>
      </c>
      <c r="K7">
        <v>5.64</v>
      </c>
      <c r="L7">
        <v>5.13</v>
      </c>
      <c r="M7">
        <v>5.4</v>
      </c>
      <c r="N7">
        <v>5.77</v>
      </c>
      <c r="O7">
        <v>5.29</v>
      </c>
      <c r="P7">
        <v>5.55</v>
      </c>
      <c r="Q7">
        <v>5.49</v>
      </c>
      <c r="R7">
        <v>5.07</v>
      </c>
      <c r="S7">
        <v>5.29</v>
      </c>
    </row>
    <row r="8" spans="1:19" x14ac:dyDescent="0.3">
      <c r="A8" t="s">
        <v>36</v>
      </c>
      <c r="B8">
        <v>9.84</v>
      </c>
      <c r="C8">
        <v>9.9499999999999993</v>
      </c>
      <c r="D8">
        <v>9.89</v>
      </c>
      <c r="E8">
        <v>9.66</v>
      </c>
      <c r="F8">
        <v>9.36</v>
      </c>
      <c r="G8">
        <v>9.52</v>
      </c>
      <c r="H8">
        <v>5.78</v>
      </c>
      <c r="I8">
        <v>5.23</v>
      </c>
      <c r="J8">
        <v>5.52</v>
      </c>
      <c r="K8">
        <v>5.52</v>
      </c>
      <c r="L8">
        <v>5.04</v>
      </c>
      <c r="M8">
        <v>5.29</v>
      </c>
      <c r="N8">
        <v>5.54</v>
      </c>
      <c r="O8">
        <v>5.08</v>
      </c>
      <c r="P8">
        <v>5.32</v>
      </c>
      <c r="Q8">
        <v>5.72</v>
      </c>
      <c r="R8">
        <v>5.28</v>
      </c>
      <c r="S8">
        <v>5.51</v>
      </c>
    </row>
    <row r="9" spans="1:19" x14ac:dyDescent="0.3">
      <c r="A9" t="s">
        <v>37</v>
      </c>
      <c r="B9">
        <v>9.69</v>
      </c>
      <c r="C9">
        <v>9.98</v>
      </c>
      <c r="D9">
        <v>9.83</v>
      </c>
      <c r="E9">
        <v>9.3699999999999992</v>
      </c>
      <c r="F9">
        <v>9.58</v>
      </c>
      <c r="G9">
        <v>9.4700000000000006</v>
      </c>
      <c r="H9">
        <v>9.26</v>
      </c>
      <c r="I9">
        <v>9.06</v>
      </c>
      <c r="J9">
        <v>9.16</v>
      </c>
      <c r="K9">
        <v>5.6</v>
      </c>
      <c r="L9">
        <v>5.12</v>
      </c>
      <c r="M9">
        <v>5.38</v>
      </c>
      <c r="N9">
        <v>5.41</v>
      </c>
      <c r="O9">
        <v>5</v>
      </c>
      <c r="P9">
        <v>5.21</v>
      </c>
      <c r="Q9">
        <v>5.47</v>
      </c>
      <c r="R9">
        <v>5.07</v>
      </c>
      <c r="S9">
        <v>5.28</v>
      </c>
    </row>
    <row r="10" spans="1:19" x14ac:dyDescent="0.3">
      <c r="A10" t="s">
        <v>38</v>
      </c>
      <c r="B10">
        <v>8.35</v>
      </c>
      <c r="C10">
        <v>8.91</v>
      </c>
      <c r="D10">
        <v>8.61</v>
      </c>
      <c r="E10">
        <v>9.3699999999999992</v>
      </c>
      <c r="F10">
        <v>9.6300000000000008</v>
      </c>
      <c r="G10">
        <v>9.49</v>
      </c>
      <c r="H10">
        <v>9.11</v>
      </c>
      <c r="I10">
        <v>9.3000000000000007</v>
      </c>
      <c r="J10">
        <v>9.1999999999999993</v>
      </c>
      <c r="K10">
        <v>9.11</v>
      </c>
      <c r="L10">
        <v>8.89</v>
      </c>
      <c r="M10">
        <v>9.01</v>
      </c>
      <c r="N10">
        <v>5.58</v>
      </c>
      <c r="O10">
        <v>5.09</v>
      </c>
      <c r="P10">
        <v>5.35</v>
      </c>
      <c r="Q10">
        <v>5.43</v>
      </c>
      <c r="R10">
        <v>5</v>
      </c>
      <c r="S10">
        <v>5.23</v>
      </c>
    </row>
    <row r="11" spans="1:19" x14ac:dyDescent="0.3">
      <c r="A11" t="s">
        <v>39</v>
      </c>
      <c r="B11">
        <v>7.9</v>
      </c>
      <c r="C11">
        <v>8.31</v>
      </c>
      <c r="D11">
        <v>8.09</v>
      </c>
      <c r="E11">
        <v>8.08</v>
      </c>
      <c r="F11">
        <v>8.59</v>
      </c>
      <c r="G11">
        <v>8.32</v>
      </c>
      <c r="H11">
        <v>9.1199999999999992</v>
      </c>
      <c r="I11">
        <v>9.34</v>
      </c>
      <c r="J11">
        <v>9.2200000000000006</v>
      </c>
      <c r="K11">
        <v>8.98</v>
      </c>
      <c r="L11">
        <v>9.1199999999999992</v>
      </c>
      <c r="M11">
        <v>9.0399999999999991</v>
      </c>
      <c r="N11">
        <v>9.09</v>
      </c>
      <c r="O11">
        <v>8.82</v>
      </c>
      <c r="P11">
        <v>8.9600000000000009</v>
      </c>
      <c r="Q11">
        <v>5.6</v>
      </c>
      <c r="R11">
        <v>5.09</v>
      </c>
      <c r="S11">
        <v>5.36</v>
      </c>
    </row>
    <row r="12" spans="1:19" x14ac:dyDescent="0.3">
      <c r="A12" t="s">
        <v>40</v>
      </c>
      <c r="B12">
        <v>7.64</v>
      </c>
      <c r="C12">
        <v>7.46</v>
      </c>
      <c r="D12">
        <v>7.56</v>
      </c>
      <c r="E12">
        <v>7.6</v>
      </c>
      <c r="F12">
        <v>7.99</v>
      </c>
      <c r="G12">
        <v>7.78</v>
      </c>
      <c r="H12">
        <v>7.82</v>
      </c>
      <c r="I12">
        <v>8.31</v>
      </c>
      <c r="J12">
        <v>8.0500000000000007</v>
      </c>
      <c r="K12">
        <v>8.94</v>
      </c>
      <c r="L12">
        <v>9.14</v>
      </c>
      <c r="M12">
        <v>9.0399999999999991</v>
      </c>
      <c r="N12">
        <v>8.92</v>
      </c>
      <c r="O12">
        <v>9.0299999999999994</v>
      </c>
      <c r="P12">
        <v>8.9700000000000006</v>
      </c>
      <c r="Q12">
        <v>9.1</v>
      </c>
      <c r="R12">
        <v>8.81</v>
      </c>
      <c r="S12">
        <v>8.9700000000000006</v>
      </c>
    </row>
    <row r="13" spans="1:19" x14ac:dyDescent="0.3">
      <c r="A13" t="s">
        <v>41</v>
      </c>
      <c r="B13">
        <v>6.44</v>
      </c>
      <c r="C13">
        <v>6.38</v>
      </c>
      <c r="D13">
        <v>6.42</v>
      </c>
      <c r="E13">
        <v>7.32</v>
      </c>
      <c r="F13">
        <v>7.16</v>
      </c>
      <c r="G13">
        <v>7.25</v>
      </c>
      <c r="H13">
        <v>7.34</v>
      </c>
      <c r="I13">
        <v>7.72</v>
      </c>
      <c r="J13">
        <v>7.52</v>
      </c>
      <c r="K13">
        <v>7.65</v>
      </c>
      <c r="L13">
        <v>8.1199999999999992</v>
      </c>
      <c r="M13">
        <v>7.87</v>
      </c>
      <c r="N13">
        <v>8.86</v>
      </c>
      <c r="O13">
        <v>9.0399999999999991</v>
      </c>
      <c r="P13">
        <v>8.94</v>
      </c>
      <c r="Q13">
        <v>8.91</v>
      </c>
      <c r="R13">
        <v>9</v>
      </c>
      <c r="S13">
        <v>8.9499999999999993</v>
      </c>
    </row>
    <row r="14" spans="1:19" x14ac:dyDescent="0.3">
      <c r="A14" t="s">
        <v>97</v>
      </c>
      <c r="B14">
        <v>5.68</v>
      </c>
      <c r="C14">
        <v>5.82</v>
      </c>
      <c r="D14">
        <v>5.75</v>
      </c>
      <c r="E14">
        <v>6.15</v>
      </c>
      <c r="F14">
        <v>6.1</v>
      </c>
      <c r="G14">
        <v>6.12</v>
      </c>
      <c r="H14">
        <v>7.04</v>
      </c>
      <c r="I14">
        <v>6.89</v>
      </c>
      <c r="J14">
        <v>6.97</v>
      </c>
      <c r="K14">
        <v>7.15</v>
      </c>
      <c r="L14">
        <v>7.52</v>
      </c>
      <c r="M14">
        <v>7.32</v>
      </c>
      <c r="N14">
        <v>7.56</v>
      </c>
      <c r="O14">
        <v>8.01</v>
      </c>
      <c r="P14">
        <v>7.77</v>
      </c>
      <c r="Q14">
        <v>8.84</v>
      </c>
      <c r="R14">
        <v>8.99</v>
      </c>
      <c r="S14">
        <v>8.91</v>
      </c>
    </row>
    <row r="15" spans="1:19" x14ac:dyDescent="0.3">
      <c r="A15" t="s">
        <v>98</v>
      </c>
      <c r="B15">
        <v>4.87</v>
      </c>
      <c r="C15">
        <v>4.74</v>
      </c>
      <c r="D15">
        <v>4.8099999999999996</v>
      </c>
      <c r="E15">
        <v>5.33</v>
      </c>
      <c r="F15">
        <v>5.55</v>
      </c>
      <c r="G15">
        <v>5.44</v>
      </c>
      <c r="H15">
        <v>5.83</v>
      </c>
      <c r="I15">
        <v>5.86</v>
      </c>
      <c r="J15">
        <v>5.84</v>
      </c>
      <c r="K15">
        <v>6.78</v>
      </c>
      <c r="L15">
        <v>6.71</v>
      </c>
      <c r="M15">
        <v>6.75</v>
      </c>
      <c r="N15">
        <v>6.99</v>
      </c>
      <c r="O15">
        <v>7.42</v>
      </c>
      <c r="P15">
        <v>7.19</v>
      </c>
      <c r="Q15">
        <v>7.46</v>
      </c>
      <c r="R15">
        <v>7.97</v>
      </c>
      <c r="S15">
        <v>7.7</v>
      </c>
    </row>
    <row r="16" spans="1:19" x14ac:dyDescent="0.3">
      <c r="A16" t="s">
        <v>99</v>
      </c>
      <c r="B16">
        <v>3.77</v>
      </c>
      <c r="C16">
        <v>3.97</v>
      </c>
      <c r="D16">
        <v>3.87</v>
      </c>
      <c r="E16">
        <v>4.5199999999999996</v>
      </c>
      <c r="F16">
        <v>4.47</v>
      </c>
      <c r="G16">
        <v>4.5</v>
      </c>
      <c r="H16">
        <v>5.01</v>
      </c>
      <c r="I16">
        <v>5.28</v>
      </c>
      <c r="J16">
        <v>5.14</v>
      </c>
      <c r="K16">
        <v>5.57</v>
      </c>
      <c r="L16">
        <v>5.66</v>
      </c>
      <c r="M16">
        <v>5.61</v>
      </c>
      <c r="N16">
        <v>6.59</v>
      </c>
      <c r="O16">
        <v>6.56</v>
      </c>
      <c r="P16">
        <v>6.58</v>
      </c>
      <c r="Q16">
        <v>6.87</v>
      </c>
      <c r="R16">
        <v>7.32</v>
      </c>
      <c r="S16">
        <v>7.08</v>
      </c>
    </row>
    <row r="17" spans="1:19" x14ac:dyDescent="0.3">
      <c r="A17" t="s">
        <v>100</v>
      </c>
      <c r="B17">
        <v>2.91</v>
      </c>
      <c r="C17">
        <v>2.93</v>
      </c>
      <c r="D17">
        <v>2.92</v>
      </c>
      <c r="E17">
        <v>3.41</v>
      </c>
      <c r="F17">
        <v>3.7</v>
      </c>
      <c r="G17">
        <v>3.54</v>
      </c>
      <c r="H17">
        <v>4.1399999999999997</v>
      </c>
      <c r="I17">
        <v>4.21</v>
      </c>
      <c r="J17">
        <v>4.17</v>
      </c>
      <c r="K17">
        <v>4.68</v>
      </c>
      <c r="L17">
        <v>5.0599999999999996</v>
      </c>
      <c r="M17">
        <v>4.8600000000000003</v>
      </c>
      <c r="N17">
        <v>5.31</v>
      </c>
      <c r="O17">
        <v>5.5</v>
      </c>
      <c r="P17">
        <v>5.4</v>
      </c>
      <c r="Q17">
        <v>6.36</v>
      </c>
      <c r="R17">
        <v>6.45</v>
      </c>
      <c r="S17">
        <v>6.4</v>
      </c>
    </row>
    <row r="18" spans="1:19" x14ac:dyDescent="0.3">
      <c r="A18" t="s">
        <v>101</v>
      </c>
      <c r="B18">
        <v>1.78</v>
      </c>
      <c r="C18">
        <v>2.14</v>
      </c>
      <c r="D18">
        <v>1.95</v>
      </c>
      <c r="E18">
        <v>2.52</v>
      </c>
      <c r="F18">
        <v>2.62</v>
      </c>
      <c r="G18">
        <v>2.57</v>
      </c>
      <c r="H18">
        <v>3.01</v>
      </c>
      <c r="I18">
        <v>3.37</v>
      </c>
      <c r="J18">
        <v>3.18</v>
      </c>
      <c r="K18">
        <v>3.75</v>
      </c>
      <c r="L18">
        <v>3.92</v>
      </c>
      <c r="M18">
        <v>3.83</v>
      </c>
      <c r="N18">
        <v>4.3499999999999996</v>
      </c>
      <c r="O18">
        <v>4.79</v>
      </c>
      <c r="P18">
        <v>4.5599999999999996</v>
      </c>
      <c r="Q18">
        <v>5.01</v>
      </c>
      <c r="R18">
        <v>5.29</v>
      </c>
      <c r="S18">
        <v>5.14</v>
      </c>
    </row>
    <row r="19" spans="1:19" x14ac:dyDescent="0.3">
      <c r="A19" t="s">
        <v>102</v>
      </c>
      <c r="B19">
        <v>1.46</v>
      </c>
      <c r="C19">
        <v>1.64</v>
      </c>
      <c r="D19">
        <v>1.55</v>
      </c>
      <c r="E19">
        <v>1.39</v>
      </c>
      <c r="F19">
        <v>1.78</v>
      </c>
      <c r="G19">
        <v>1.57</v>
      </c>
      <c r="H19">
        <v>2.0299999999999998</v>
      </c>
      <c r="I19">
        <v>2.25</v>
      </c>
      <c r="J19">
        <v>2.13</v>
      </c>
      <c r="K19">
        <v>2.5</v>
      </c>
      <c r="L19">
        <v>2.97</v>
      </c>
      <c r="M19">
        <v>2.72</v>
      </c>
      <c r="N19">
        <v>3.23</v>
      </c>
      <c r="O19">
        <v>3.54</v>
      </c>
      <c r="P19">
        <v>3.37</v>
      </c>
      <c r="Q19">
        <v>3.83</v>
      </c>
      <c r="R19">
        <v>4.42</v>
      </c>
      <c r="S19">
        <v>4.1100000000000003</v>
      </c>
    </row>
    <row r="20" spans="1:19" x14ac:dyDescent="0.3">
      <c r="A20" t="s">
        <v>103</v>
      </c>
      <c r="B20">
        <v>0.91</v>
      </c>
      <c r="C20">
        <v>1.27</v>
      </c>
      <c r="D20">
        <v>1.08</v>
      </c>
      <c r="E20">
        <v>1.25</v>
      </c>
      <c r="F20">
        <v>1.69</v>
      </c>
      <c r="G20">
        <v>1.46</v>
      </c>
      <c r="H20">
        <v>1.44</v>
      </c>
      <c r="I20">
        <v>2.09</v>
      </c>
      <c r="J20">
        <v>1.75</v>
      </c>
      <c r="K20">
        <v>2.0299999999999998</v>
      </c>
      <c r="L20">
        <v>2.76</v>
      </c>
      <c r="M20">
        <v>2.38</v>
      </c>
      <c r="N20">
        <v>2.78</v>
      </c>
      <c r="O20">
        <v>3.8</v>
      </c>
      <c r="P20">
        <v>3.26</v>
      </c>
      <c r="Q20">
        <v>3.81</v>
      </c>
      <c r="R20">
        <v>4.99</v>
      </c>
      <c r="S20">
        <v>4.37</v>
      </c>
    </row>
    <row r="21" spans="1:19" x14ac:dyDescent="0.3">
      <c r="A21" t="s">
        <v>73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</row>
  </sheetData>
  <mergeCells count="6">
    <mergeCell ref="Q2:S2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G39"/>
  <sheetViews>
    <sheetView workbookViewId="0">
      <selection activeCell="I8" sqref="I8"/>
    </sheetView>
  </sheetViews>
  <sheetFormatPr defaultRowHeight="14.4" x14ac:dyDescent="0.3"/>
  <cols>
    <col min="1" max="1" width="31" customWidth="1"/>
  </cols>
  <sheetData>
    <row r="1" spans="1:7" x14ac:dyDescent="0.3">
      <c r="A1" s="2" t="s">
        <v>126</v>
      </c>
      <c r="B1" s="1"/>
      <c r="C1" s="1"/>
      <c r="D1" s="1"/>
      <c r="E1" s="1"/>
      <c r="F1" s="1"/>
      <c r="G1" s="1"/>
    </row>
    <row r="2" spans="1:7" x14ac:dyDescent="0.3">
      <c r="A2" t="s">
        <v>52</v>
      </c>
      <c r="B2">
        <v>2026</v>
      </c>
      <c r="C2">
        <v>2031</v>
      </c>
      <c r="D2">
        <v>2036</v>
      </c>
      <c r="E2">
        <v>2041</v>
      </c>
      <c r="F2">
        <v>2046</v>
      </c>
      <c r="G2">
        <v>2051</v>
      </c>
    </row>
    <row r="3" spans="1:7" x14ac:dyDescent="0.3">
      <c r="A3" t="s">
        <v>53</v>
      </c>
    </row>
    <row r="4" spans="1:7" x14ac:dyDescent="0.3">
      <c r="A4" t="s">
        <v>54</v>
      </c>
      <c r="B4">
        <v>2.0299999999999998</v>
      </c>
      <c r="C4">
        <v>1.85</v>
      </c>
      <c r="D4">
        <v>1.74</v>
      </c>
      <c r="E4">
        <v>1.68</v>
      </c>
      <c r="F4">
        <v>1.66</v>
      </c>
      <c r="G4">
        <v>1.65</v>
      </c>
    </row>
    <row r="5" spans="1:7" x14ac:dyDescent="0.3">
      <c r="A5" t="s">
        <v>55</v>
      </c>
      <c r="B5">
        <v>0.98</v>
      </c>
      <c r="C5">
        <v>0.89</v>
      </c>
      <c r="D5">
        <v>0.84</v>
      </c>
      <c r="E5">
        <v>0.81</v>
      </c>
      <c r="F5">
        <v>0.8</v>
      </c>
      <c r="G5">
        <v>0.79</v>
      </c>
    </row>
    <row r="6" spans="1:7" x14ac:dyDescent="0.3">
      <c r="A6" t="s">
        <v>56</v>
      </c>
      <c r="B6">
        <v>0.9</v>
      </c>
      <c r="C6">
        <v>0.83</v>
      </c>
      <c r="D6">
        <v>0.79</v>
      </c>
      <c r="E6">
        <v>0.77</v>
      </c>
      <c r="F6">
        <v>0.76</v>
      </c>
      <c r="G6">
        <v>0.76</v>
      </c>
    </row>
    <row r="7" spans="1:7" x14ac:dyDescent="0.3">
      <c r="A7" t="s">
        <v>57</v>
      </c>
      <c r="B7">
        <v>27.3</v>
      </c>
      <c r="C7">
        <v>27.3</v>
      </c>
      <c r="D7">
        <v>27.2</v>
      </c>
      <c r="E7">
        <v>27.2</v>
      </c>
      <c r="F7">
        <v>27.1</v>
      </c>
      <c r="G7">
        <v>27.1</v>
      </c>
    </row>
    <row r="8" spans="1:7" x14ac:dyDescent="0.3">
      <c r="A8" t="s">
        <v>58</v>
      </c>
      <c r="B8">
        <v>0.32</v>
      </c>
      <c r="C8">
        <v>0.28999999999999998</v>
      </c>
      <c r="D8">
        <v>0.26</v>
      </c>
      <c r="E8">
        <v>0.23</v>
      </c>
      <c r="F8">
        <v>0.22</v>
      </c>
      <c r="G8">
        <v>0.22</v>
      </c>
    </row>
    <row r="9" spans="1:7" x14ac:dyDescent="0.3">
      <c r="A9" t="s">
        <v>59</v>
      </c>
    </row>
    <row r="10" spans="1:7" x14ac:dyDescent="0.3">
      <c r="A10" t="s">
        <v>60</v>
      </c>
      <c r="B10">
        <v>69.3</v>
      </c>
      <c r="C10">
        <v>70.8</v>
      </c>
      <c r="D10">
        <v>72.3</v>
      </c>
      <c r="E10">
        <v>73.8</v>
      </c>
      <c r="F10">
        <v>75.400000000000006</v>
      </c>
      <c r="G10">
        <v>76.599999999999994</v>
      </c>
    </row>
    <row r="11" spans="1:7" x14ac:dyDescent="0.3">
      <c r="A11" t="s">
        <v>61</v>
      </c>
      <c r="B11">
        <v>70.900000000000006</v>
      </c>
      <c r="C11">
        <v>72.8</v>
      </c>
      <c r="D11">
        <v>74.599999999999994</v>
      </c>
      <c r="E11">
        <v>76.099999999999994</v>
      </c>
      <c r="F11">
        <v>77.5</v>
      </c>
      <c r="G11">
        <v>79.099999999999994</v>
      </c>
    </row>
    <row r="12" spans="1:7" x14ac:dyDescent="0.3">
      <c r="A12" t="s">
        <v>62</v>
      </c>
      <c r="B12">
        <v>70.099999999999994</v>
      </c>
      <c r="C12">
        <v>71.8</v>
      </c>
      <c r="D12">
        <v>73.400000000000006</v>
      </c>
      <c r="E12">
        <v>74.900000000000006</v>
      </c>
      <c r="F12">
        <v>76.400000000000006</v>
      </c>
      <c r="G12">
        <v>77.8</v>
      </c>
    </row>
    <row r="13" spans="1:7" x14ac:dyDescent="0.3">
      <c r="A13" t="s">
        <v>63</v>
      </c>
      <c r="B13">
        <v>54.3</v>
      </c>
      <c r="C13">
        <v>47.8</v>
      </c>
      <c r="D13">
        <v>41.8</v>
      </c>
      <c r="E13">
        <v>36.299999999999997</v>
      </c>
      <c r="F13">
        <v>31.4</v>
      </c>
      <c r="G13">
        <v>27.4</v>
      </c>
    </row>
    <row r="14" spans="1:7" x14ac:dyDescent="0.3">
      <c r="A14" t="s">
        <v>64</v>
      </c>
      <c r="B14">
        <v>66</v>
      </c>
      <c r="C14">
        <v>57.1</v>
      </c>
      <c r="D14">
        <v>49.2</v>
      </c>
      <c r="E14">
        <v>42.3</v>
      </c>
      <c r="F14">
        <v>36.299999999999997</v>
      </c>
      <c r="G14">
        <v>31.6</v>
      </c>
    </row>
    <row r="15" spans="1:7" x14ac:dyDescent="0.3">
      <c r="A15" t="s">
        <v>108</v>
      </c>
    </row>
    <row r="16" spans="1:7" x14ac:dyDescent="0.3">
      <c r="A16" t="s">
        <v>74</v>
      </c>
      <c r="B16">
        <v>-4979</v>
      </c>
      <c r="C16">
        <v>-5407</v>
      </c>
      <c r="D16">
        <v>-5695</v>
      </c>
      <c r="E16">
        <v>-5880</v>
      </c>
      <c r="F16">
        <v>-5994</v>
      </c>
      <c r="G16">
        <v>-6064</v>
      </c>
    </row>
    <row r="17" spans="1:7" x14ac:dyDescent="0.3">
      <c r="A17" t="s">
        <v>75</v>
      </c>
      <c r="B17">
        <v>-5415</v>
      </c>
      <c r="C17">
        <v>-5662</v>
      </c>
      <c r="D17">
        <v>-5809</v>
      </c>
      <c r="E17">
        <v>-5893</v>
      </c>
      <c r="F17">
        <v>-5940</v>
      </c>
      <c r="G17">
        <v>-5967</v>
      </c>
    </row>
    <row r="18" spans="1:7" x14ac:dyDescent="0.3">
      <c r="A18" t="s">
        <v>73</v>
      </c>
      <c r="B18">
        <v>-10394</v>
      </c>
      <c r="C18">
        <v>-11069</v>
      </c>
      <c r="D18">
        <v>-11504</v>
      </c>
      <c r="E18">
        <v>-11773</v>
      </c>
      <c r="F18">
        <v>-11934</v>
      </c>
      <c r="G18">
        <v>-12031</v>
      </c>
    </row>
    <row r="19" spans="1:7" x14ac:dyDescent="0.3">
      <c r="A19" t="s">
        <v>65</v>
      </c>
    </row>
    <row r="20" spans="1:7" x14ac:dyDescent="0.3">
      <c r="A20" t="s">
        <v>66</v>
      </c>
      <c r="B20">
        <v>18.2</v>
      </c>
      <c r="C20">
        <v>16.100000000000001</v>
      </c>
      <c r="D20">
        <v>13.8</v>
      </c>
      <c r="E20">
        <v>12.2</v>
      </c>
      <c r="F20">
        <v>11.5</v>
      </c>
      <c r="G20">
        <v>11.1</v>
      </c>
    </row>
    <row r="21" spans="1:7" x14ac:dyDescent="0.3">
      <c r="A21" t="s">
        <v>67</v>
      </c>
      <c r="B21">
        <v>6.6</v>
      </c>
      <c r="C21">
        <v>6.5</v>
      </c>
      <c r="D21">
        <v>6.4</v>
      </c>
      <c r="E21">
        <v>6.5</v>
      </c>
      <c r="F21">
        <v>6.9</v>
      </c>
      <c r="G21">
        <v>7.3</v>
      </c>
    </row>
    <row r="22" spans="1:7" x14ac:dyDescent="0.3">
      <c r="A22" t="s">
        <v>68</v>
      </c>
      <c r="B22">
        <v>1.1599999999999999</v>
      </c>
      <c r="C22">
        <v>0.96</v>
      </c>
      <c r="D22">
        <v>0.74</v>
      </c>
      <c r="E22">
        <v>0.56999999999999995</v>
      </c>
      <c r="F22">
        <v>0.46</v>
      </c>
      <c r="G22">
        <v>0.37</v>
      </c>
    </row>
    <row r="23" spans="1:7" x14ac:dyDescent="0.3">
      <c r="A23" t="s">
        <v>69</v>
      </c>
    </row>
    <row r="24" spans="1:7" x14ac:dyDescent="0.3">
      <c r="A24" t="s">
        <v>70</v>
      </c>
      <c r="B24">
        <v>0.73</v>
      </c>
      <c r="C24">
        <v>0.68</v>
      </c>
      <c r="D24">
        <v>0.61</v>
      </c>
      <c r="E24">
        <v>0.56000000000000005</v>
      </c>
      <c r="F24">
        <v>0.54</v>
      </c>
      <c r="G24">
        <v>0.53</v>
      </c>
    </row>
    <row r="25" spans="1:7" x14ac:dyDescent="0.3">
      <c r="A25" t="s">
        <v>71</v>
      </c>
      <c r="B25">
        <v>0.27</v>
      </c>
      <c r="C25">
        <v>0.28000000000000003</v>
      </c>
      <c r="D25">
        <v>0.28000000000000003</v>
      </c>
      <c r="E25">
        <v>0.3</v>
      </c>
      <c r="F25">
        <v>0.32</v>
      </c>
      <c r="G25">
        <v>0.35</v>
      </c>
    </row>
    <row r="26" spans="1:7" x14ac:dyDescent="0.3">
      <c r="A26" t="s">
        <v>72</v>
      </c>
    </row>
    <row r="27" spans="1:7" x14ac:dyDescent="0.3">
      <c r="A27" t="s">
        <v>73</v>
      </c>
      <c r="B27">
        <v>40.4</v>
      </c>
      <c r="C27">
        <v>42.5</v>
      </c>
      <c r="D27">
        <v>44.2</v>
      </c>
      <c r="E27">
        <v>45.6</v>
      </c>
      <c r="F27">
        <v>46.7</v>
      </c>
      <c r="G27">
        <v>47.6</v>
      </c>
    </row>
    <row r="28" spans="1:7" x14ac:dyDescent="0.3">
      <c r="A28" t="s">
        <v>74</v>
      </c>
      <c r="B28">
        <v>20.8</v>
      </c>
      <c r="C28">
        <v>21.8</v>
      </c>
      <c r="D28">
        <v>22.7</v>
      </c>
      <c r="E28">
        <v>23.4</v>
      </c>
      <c r="F28">
        <v>23.9</v>
      </c>
      <c r="G28">
        <v>24.4</v>
      </c>
    </row>
    <row r="29" spans="1:7" x14ac:dyDescent="0.3">
      <c r="A29" t="s">
        <v>75</v>
      </c>
      <c r="B29">
        <v>19.600000000000001</v>
      </c>
      <c r="C29">
        <v>20.7</v>
      </c>
      <c r="D29">
        <v>21.5</v>
      </c>
      <c r="E29">
        <v>22.2</v>
      </c>
      <c r="F29">
        <v>22.7</v>
      </c>
      <c r="G29">
        <v>23.2</v>
      </c>
    </row>
    <row r="30" spans="1:7" x14ac:dyDescent="0.3">
      <c r="A30" t="s">
        <v>76</v>
      </c>
      <c r="B30">
        <v>8.5</v>
      </c>
      <c r="C30">
        <v>7.9</v>
      </c>
      <c r="D30">
        <v>6.8</v>
      </c>
      <c r="E30">
        <v>6</v>
      </c>
      <c r="F30">
        <v>5.6</v>
      </c>
      <c r="G30">
        <v>5.4</v>
      </c>
    </row>
    <row r="31" spans="1:7" x14ac:dyDescent="0.3">
      <c r="A31" t="s">
        <v>77</v>
      </c>
      <c r="B31">
        <v>16.8</v>
      </c>
      <c r="C31">
        <v>16</v>
      </c>
      <c r="D31">
        <v>15.2</v>
      </c>
      <c r="E31">
        <v>13.9</v>
      </c>
      <c r="F31">
        <v>12.3</v>
      </c>
      <c r="G31">
        <v>11.2</v>
      </c>
    </row>
    <row r="32" spans="1:7" x14ac:dyDescent="0.3">
      <c r="A32" t="s">
        <v>78</v>
      </c>
      <c r="B32">
        <v>19.100000000000001</v>
      </c>
      <c r="C32">
        <v>16.399999999999999</v>
      </c>
      <c r="D32">
        <v>15.3</v>
      </c>
      <c r="E32">
        <v>14.9</v>
      </c>
      <c r="F32">
        <v>14.4</v>
      </c>
      <c r="G32">
        <v>13.2</v>
      </c>
    </row>
    <row r="33" spans="1:7" x14ac:dyDescent="0.3">
      <c r="A33" t="s">
        <v>79</v>
      </c>
      <c r="B33">
        <v>55.7</v>
      </c>
      <c r="C33">
        <v>55.3</v>
      </c>
      <c r="D33">
        <v>54.7</v>
      </c>
      <c r="E33">
        <v>54.3</v>
      </c>
      <c r="F33">
        <v>53.3</v>
      </c>
      <c r="G33">
        <v>50</v>
      </c>
    </row>
    <row r="34" spans="1:7" x14ac:dyDescent="0.3">
      <c r="A34" t="s">
        <v>80</v>
      </c>
      <c r="B34">
        <v>64.8</v>
      </c>
      <c r="C34">
        <v>65</v>
      </c>
      <c r="D34">
        <v>65.099999999999994</v>
      </c>
      <c r="E34">
        <v>65.5</v>
      </c>
      <c r="F34">
        <v>65.3</v>
      </c>
      <c r="G34">
        <v>64.400000000000006</v>
      </c>
    </row>
    <row r="35" spans="1:7" x14ac:dyDescent="0.3">
      <c r="A35" t="s">
        <v>81</v>
      </c>
      <c r="B35">
        <v>9.9</v>
      </c>
      <c r="C35">
        <v>11.1</v>
      </c>
      <c r="D35">
        <v>12.8</v>
      </c>
      <c r="E35">
        <v>14.6</v>
      </c>
      <c r="F35">
        <v>16.8</v>
      </c>
      <c r="G35">
        <v>18.899999999999999</v>
      </c>
    </row>
    <row r="36" spans="1:7" x14ac:dyDescent="0.3">
      <c r="A36" t="s">
        <v>82</v>
      </c>
      <c r="B36">
        <v>55.7</v>
      </c>
      <c r="C36">
        <v>55</v>
      </c>
      <c r="D36">
        <v>54.2</v>
      </c>
      <c r="E36">
        <v>53.6</v>
      </c>
      <c r="F36">
        <v>52.7</v>
      </c>
      <c r="G36">
        <v>49.4</v>
      </c>
    </row>
    <row r="37" spans="1:7" x14ac:dyDescent="0.3">
      <c r="A37" t="s">
        <v>83</v>
      </c>
      <c r="B37">
        <v>105.8</v>
      </c>
      <c r="C37">
        <v>105.8</v>
      </c>
      <c r="D37">
        <v>105.6</v>
      </c>
      <c r="E37">
        <v>105.4</v>
      </c>
      <c r="F37">
        <v>105.3</v>
      </c>
      <c r="G37">
        <v>105</v>
      </c>
    </row>
    <row r="38" spans="1:7" x14ac:dyDescent="0.3">
      <c r="A38" t="s">
        <v>84</v>
      </c>
      <c r="B38">
        <v>56.6</v>
      </c>
      <c r="C38">
        <v>54.3</v>
      </c>
      <c r="D38">
        <v>53.8</v>
      </c>
      <c r="E38">
        <v>53.6</v>
      </c>
      <c r="F38">
        <v>52.7</v>
      </c>
      <c r="G38">
        <v>53.1</v>
      </c>
    </row>
    <row r="39" spans="1:7" x14ac:dyDescent="0.3">
      <c r="A39" t="s">
        <v>85</v>
      </c>
      <c r="B39">
        <v>28</v>
      </c>
      <c r="C39">
        <v>30</v>
      </c>
      <c r="D39">
        <v>33</v>
      </c>
      <c r="E39">
        <v>35</v>
      </c>
      <c r="F39">
        <v>37</v>
      </c>
      <c r="G39">
        <v>39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S21"/>
  <sheetViews>
    <sheetView workbookViewId="0">
      <selection activeCell="B2" sqref="B2:S2"/>
    </sheetView>
  </sheetViews>
  <sheetFormatPr defaultRowHeight="14.4" x14ac:dyDescent="0.3"/>
  <sheetData>
    <row r="1" spans="1:19" x14ac:dyDescent="0.3">
      <c r="A1" s="2" t="s">
        <v>127</v>
      </c>
      <c r="B1" s="1"/>
      <c r="C1" s="1"/>
      <c r="D1" s="1"/>
      <c r="E1" s="1"/>
      <c r="F1" s="1"/>
      <c r="G1" s="1"/>
      <c r="H1" s="1"/>
      <c r="I1" s="1"/>
      <c r="J1" s="1"/>
    </row>
    <row r="2" spans="1:19" x14ac:dyDescent="0.3">
      <c r="A2" t="s">
        <v>93</v>
      </c>
      <c r="B2" s="34">
        <v>2026</v>
      </c>
      <c r="C2" s="34"/>
      <c r="D2" s="34"/>
      <c r="E2" s="34">
        <v>2031</v>
      </c>
      <c r="F2" s="34"/>
      <c r="G2" s="34"/>
      <c r="H2" s="34">
        <v>2036</v>
      </c>
      <c r="I2" s="34"/>
      <c r="J2" s="34"/>
      <c r="K2" s="37">
        <v>2041</v>
      </c>
      <c r="L2" s="37"/>
      <c r="M2" s="37"/>
      <c r="N2" s="37">
        <v>2046</v>
      </c>
      <c r="O2" s="37"/>
      <c r="P2" s="37"/>
      <c r="Q2" s="37">
        <v>2051</v>
      </c>
      <c r="R2" s="37"/>
      <c r="S2" s="37"/>
    </row>
    <row r="3" spans="1:19" x14ac:dyDescent="0.3">
      <c r="B3" t="s">
        <v>16</v>
      </c>
      <c r="C3" t="s">
        <v>46</v>
      </c>
      <c r="D3" t="s">
        <v>91</v>
      </c>
      <c r="E3" t="s">
        <v>16</v>
      </c>
      <c r="F3" t="s">
        <v>46</v>
      </c>
      <c r="G3" t="s">
        <v>91</v>
      </c>
      <c r="H3" t="s">
        <v>16</v>
      </c>
      <c r="I3" t="s">
        <v>46</v>
      </c>
      <c r="J3" t="s">
        <v>91</v>
      </c>
      <c r="K3" t="s">
        <v>16</v>
      </c>
      <c r="L3" t="s">
        <v>46</v>
      </c>
      <c r="M3" t="s">
        <v>91</v>
      </c>
      <c r="N3" t="s">
        <v>16</v>
      </c>
      <c r="O3" t="s">
        <v>46</v>
      </c>
      <c r="P3" t="s">
        <v>91</v>
      </c>
      <c r="Q3" t="s">
        <v>16</v>
      </c>
      <c r="R3" t="s">
        <v>46</v>
      </c>
      <c r="S3" t="s">
        <v>91</v>
      </c>
    </row>
    <row r="4" spans="1:19" x14ac:dyDescent="0.3">
      <c r="A4" t="s">
        <v>94</v>
      </c>
      <c r="B4">
        <v>8.64</v>
      </c>
      <c r="C4">
        <v>8.43</v>
      </c>
      <c r="D4">
        <v>8.5399999999999991</v>
      </c>
      <c r="E4">
        <v>7.95</v>
      </c>
      <c r="F4">
        <v>7.75</v>
      </c>
      <c r="G4">
        <v>7.85</v>
      </c>
      <c r="H4">
        <v>6.92</v>
      </c>
      <c r="I4">
        <v>6.75</v>
      </c>
      <c r="J4">
        <v>6.84</v>
      </c>
      <c r="K4">
        <v>6.11</v>
      </c>
      <c r="L4">
        <v>5.95</v>
      </c>
      <c r="M4">
        <v>6.03</v>
      </c>
      <c r="N4">
        <v>5.69</v>
      </c>
      <c r="O4">
        <v>5.53</v>
      </c>
      <c r="P4">
        <v>5.61</v>
      </c>
      <c r="Q4">
        <v>5.48</v>
      </c>
      <c r="R4">
        <v>5.32</v>
      </c>
      <c r="S4">
        <v>5.4</v>
      </c>
    </row>
    <row r="5" spans="1:19" x14ac:dyDescent="0.3">
      <c r="A5" t="s">
        <v>95</v>
      </c>
      <c r="B5">
        <v>8.5500000000000007</v>
      </c>
      <c r="C5">
        <v>8.27</v>
      </c>
      <c r="D5">
        <v>8.42</v>
      </c>
      <c r="E5">
        <v>8.15</v>
      </c>
      <c r="F5">
        <v>7.93</v>
      </c>
      <c r="G5">
        <v>8.0399999999999991</v>
      </c>
      <c r="H5">
        <v>7.59</v>
      </c>
      <c r="I5">
        <v>7.39</v>
      </c>
      <c r="J5">
        <v>7.49</v>
      </c>
      <c r="K5">
        <v>6.69</v>
      </c>
      <c r="L5">
        <v>6.5</v>
      </c>
      <c r="M5">
        <v>6.6</v>
      </c>
      <c r="N5">
        <v>5.95</v>
      </c>
      <c r="O5">
        <v>5.77</v>
      </c>
      <c r="P5">
        <v>5.86</v>
      </c>
      <c r="Q5">
        <v>5.57</v>
      </c>
      <c r="R5">
        <v>5.39</v>
      </c>
      <c r="S5">
        <v>5.48</v>
      </c>
    </row>
    <row r="6" spans="1:19" x14ac:dyDescent="0.3">
      <c r="A6" t="s">
        <v>96</v>
      </c>
      <c r="B6">
        <v>8.52</v>
      </c>
      <c r="C6">
        <v>8.1999999999999993</v>
      </c>
      <c r="D6">
        <v>8.36</v>
      </c>
      <c r="E6">
        <v>8.11</v>
      </c>
      <c r="F6">
        <v>7.84</v>
      </c>
      <c r="G6">
        <v>7.98</v>
      </c>
      <c r="H6">
        <v>7.82</v>
      </c>
      <c r="I6">
        <v>7.6</v>
      </c>
      <c r="J6">
        <v>7.72</v>
      </c>
      <c r="K6">
        <v>7.36</v>
      </c>
      <c r="L6">
        <v>7.15</v>
      </c>
      <c r="M6">
        <v>7.26</v>
      </c>
      <c r="N6">
        <v>6.53</v>
      </c>
      <c r="O6">
        <v>6.34</v>
      </c>
      <c r="P6">
        <v>6.43</v>
      </c>
      <c r="Q6">
        <v>5.83</v>
      </c>
      <c r="R6">
        <v>5.65</v>
      </c>
      <c r="S6">
        <v>5.74</v>
      </c>
    </row>
    <row r="7" spans="1:19" x14ac:dyDescent="0.3">
      <c r="A7" t="s">
        <v>35</v>
      </c>
      <c r="B7">
        <v>8.91</v>
      </c>
      <c r="C7">
        <v>8.91</v>
      </c>
      <c r="D7">
        <v>8.91</v>
      </c>
      <c r="E7">
        <v>8.08</v>
      </c>
      <c r="F7">
        <v>7.77</v>
      </c>
      <c r="G7">
        <v>7.93</v>
      </c>
      <c r="H7">
        <v>7.79</v>
      </c>
      <c r="I7">
        <v>7.52</v>
      </c>
      <c r="J7">
        <v>7.65</v>
      </c>
      <c r="K7">
        <v>7.58</v>
      </c>
      <c r="L7">
        <v>7.36</v>
      </c>
      <c r="M7">
        <v>7.47</v>
      </c>
      <c r="N7">
        <v>7.18</v>
      </c>
      <c r="O7">
        <v>6.97</v>
      </c>
      <c r="P7">
        <v>7.08</v>
      </c>
      <c r="Q7">
        <v>6.4</v>
      </c>
      <c r="R7">
        <v>6.2</v>
      </c>
      <c r="S7">
        <v>6.3</v>
      </c>
    </row>
    <row r="8" spans="1:19" x14ac:dyDescent="0.3">
      <c r="A8" t="s">
        <v>36</v>
      </c>
      <c r="B8">
        <v>10.130000000000001</v>
      </c>
      <c r="C8">
        <v>10.220000000000001</v>
      </c>
      <c r="D8">
        <v>10.17</v>
      </c>
      <c r="E8">
        <v>8.43</v>
      </c>
      <c r="F8">
        <v>8.43</v>
      </c>
      <c r="G8">
        <v>8.43</v>
      </c>
      <c r="H8">
        <v>7.74</v>
      </c>
      <c r="I8">
        <v>7.44</v>
      </c>
      <c r="J8">
        <v>7.59</v>
      </c>
      <c r="K8">
        <v>7.54</v>
      </c>
      <c r="L8">
        <v>7.26</v>
      </c>
      <c r="M8">
        <v>7.4</v>
      </c>
      <c r="N8">
        <v>7.39</v>
      </c>
      <c r="O8">
        <v>7.16</v>
      </c>
      <c r="P8">
        <v>7.28</v>
      </c>
      <c r="Q8">
        <v>7.04</v>
      </c>
      <c r="R8">
        <v>6.81</v>
      </c>
      <c r="S8">
        <v>6.92</v>
      </c>
    </row>
    <row r="9" spans="1:19" x14ac:dyDescent="0.3">
      <c r="A9" t="s">
        <v>37</v>
      </c>
      <c r="B9">
        <v>10.07</v>
      </c>
      <c r="C9">
        <v>10.029999999999999</v>
      </c>
      <c r="D9">
        <v>10.050000000000001</v>
      </c>
      <c r="E9">
        <v>9.58</v>
      </c>
      <c r="F9">
        <v>9.66</v>
      </c>
      <c r="G9">
        <v>9.6199999999999992</v>
      </c>
      <c r="H9">
        <v>8.07</v>
      </c>
      <c r="I9">
        <v>8.06</v>
      </c>
      <c r="J9">
        <v>8.06</v>
      </c>
      <c r="K9">
        <v>7.48</v>
      </c>
      <c r="L9">
        <v>7.18</v>
      </c>
      <c r="M9">
        <v>7.33</v>
      </c>
      <c r="N9">
        <v>7.34</v>
      </c>
      <c r="O9">
        <v>7.05</v>
      </c>
      <c r="P9">
        <v>7.2</v>
      </c>
      <c r="Q9">
        <v>7.23</v>
      </c>
      <c r="R9">
        <v>6.98</v>
      </c>
      <c r="S9">
        <v>7.11</v>
      </c>
    </row>
    <row r="10" spans="1:19" x14ac:dyDescent="0.3">
      <c r="A10" t="s">
        <v>38</v>
      </c>
      <c r="B10">
        <v>8.1300000000000008</v>
      </c>
      <c r="C10">
        <v>7.46</v>
      </c>
      <c r="D10">
        <v>7.8</v>
      </c>
      <c r="E10">
        <v>9.51</v>
      </c>
      <c r="F10">
        <v>9.4700000000000006</v>
      </c>
      <c r="G10">
        <v>9.49</v>
      </c>
      <c r="H10">
        <v>9.16</v>
      </c>
      <c r="I10">
        <v>9.2200000000000006</v>
      </c>
      <c r="J10">
        <v>9.19</v>
      </c>
      <c r="K10">
        <v>7.79</v>
      </c>
      <c r="L10">
        <v>7.77</v>
      </c>
      <c r="M10">
        <v>7.78</v>
      </c>
      <c r="N10">
        <v>7.28</v>
      </c>
      <c r="O10">
        <v>6.97</v>
      </c>
      <c r="P10">
        <v>7.12</v>
      </c>
      <c r="Q10">
        <v>7.17</v>
      </c>
      <c r="R10">
        <v>6.88</v>
      </c>
      <c r="S10">
        <v>7.03</v>
      </c>
    </row>
    <row r="11" spans="1:19" x14ac:dyDescent="0.3">
      <c r="A11" t="s">
        <v>39</v>
      </c>
      <c r="B11">
        <v>6.75</v>
      </c>
      <c r="C11">
        <v>6.96</v>
      </c>
      <c r="D11">
        <v>6.85</v>
      </c>
      <c r="E11">
        <v>7.66</v>
      </c>
      <c r="F11">
        <v>7.03</v>
      </c>
      <c r="G11">
        <v>7.36</v>
      </c>
      <c r="H11">
        <v>9.08</v>
      </c>
      <c r="I11">
        <v>9.0399999999999991</v>
      </c>
      <c r="J11">
        <v>9.06</v>
      </c>
      <c r="K11">
        <v>8.84</v>
      </c>
      <c r="L11">
        <v>8.89</v>
      </c>
      <c r="M11">
        <v>8.86</v>
      </c>
      <c r="N11">
        <v>7.57</v>
      </c>
      <c r="O11">
        <v>7.54</v>
      </c>
      <c r="P11">
        <v>7.55</v>
      </c>
      <c r="Q11">
        <v>7.11</v>
      </c>
      <c r="R11">
        <v>6.79</v>
      </c>
      <c r="S11">
        <v>6.95</v>
      </c>
    </row>
    <row r="12" spans="1:19" x14ac:dyDescent="0.3">
      <c r="A12" t="s">
        <v>40</v>
      </c>
      <c r="B12">
        <v>6.29</v>
      </c>
      <c r="C12">
        <v>6.5</v>
      </c>
      <c r="D12">
        <v>6.39</v>
      </c>
      <c r="E12">
        <v>6.35</v>
      </c>
      <c r="F12">
        <v>6.54</v>
      </c>
      <c r="G12">
        <v>6.44</v>
      </c>
      <c r="H12">
        <v>7.3</v>
      </c>
      <c r="I12">
        <v>6.7</v>
      </c>
      <c r="J12">
        <v>7.01</v>
      </c>
      <c r="K12">
        <v>8.75</v>
      </c>
      <c r="L12">
        <v>8.6999999999999993</v>
      </c>
      <c r="M12">
        <v>8.7200000000000006</v>
      </c>
      <c r="N12">
        <v>8.58</v>
      </c>
      <c r="O12">
        <v>8.6199999999999992</v>
      </c>
      <c r="P12">
        <v>8.6</v>
      </c>
      <c r="Q12">
        <v>7.38</v>
      </c>
      <c r="R12">
        <v>7.34</v>
      </c>
      <c r="S12">
        <v>7.36</v>
      </c>
    </row>
    <row r="13" spans="1:19" x14ac:dyDescent="0.3">
      <c r="A13" t="s">
        <v>41</v>
      </c>
      <c r="B13">
        <v>5.41</v>
      </c>
      <c r="C13">
        <v>5.62</v>
      </c>
      <c r="D13">
        <v>5.51</v>
      </c>
      <c r="E13">
        <v>5.89</v>
      </c>
      <c r="F13">
        <v>6.1</v>
      </c>
      <c r="G13">
        <v>5.99</v>
      </c>
      <c r="H13">
        <v>6.01</v>
      </c>
      <c r="I13">
        <v>6.22</v>
      </c>
      <c r="J13">
        <v>6.11</v>
      </c>
      <c r="K13">
        <v>7</v>
      </c>
      <c r="L13">
        <v>6.43</v>
      </c>
      <c r="M13">
        <v>6.72</v>
      </c>
      <c r="N13">
        <v>8.4600000000000009</v>
      </c>
      <c r="O13">
        <v>8.42</v>
      </c>
      <c r="P13">
        <v>8.44</v>
      </c>
      <c r="Q13">
        <v>8.34</v>
      </c>
      <c r="R13">
        <v>8.3800000000000008</v>
      </c>
      <c r="S13">
        <v>8.36</v>
      </c>
    </row>
    <row r="14" spans="1:19" x14ac:dyDescent="0.3">
      <c r="A14" t="s">
        <v>97</v>
      </c>
      <c r="B14">
        <v>4.9800000000000004</v>
      </c>
      <c r="C14">
        <v>5.08</v>
      </c>
      <c r="D14">
        <v>5.03</v>
      </c>
      <c r="E14">
        <v>5.01</v>
      </c>
      <c r="F14">
        <v>5.25</v>
      </c>
      <c r="G14">
        <v>5.13</v>
      </c>
      <c r="H14">
        <v>5.54</v>
      </c>
      <c r="I14">
        <v>5.77</v>
      </c>
      <c r="J14">
        <v>5.65</v>
      </c>
      <c r="K14">
        <v>5.73</v>
      </c>
      <c r="L14">
        <v>5.95</v>
      </c>
      <c r="M14">
        <v>5.83</v>
      </c>
      <c r="N14">
        <v>6.73</v>
      </c>
      <c r="O14">
        <v>6.2</v>
      </c>
      <c r="P14">
        <v>6.47</v>
      </c>
      <c r="Q14">
        <v>8.18</v>
      </c>
      <c r="R14">
        <v>8.17</v>
      </c>
      <c r="S14">
        <v>8.17</v>
      </c>
    </row>
    <row r="15" spans="1:19" x14ac:dyDescent="0.3">
      <c r="A15" t="s">
        <v>98</v>
      </c>
      <c r="B15">
        <v>4.1100000000000003</v>
      </c>
      <c r="C15">
        <v>4.0999999999999996</v>
      </c>
      <c r="D15">
        <v>4.1100000000000003</v>
      </c>
      <c r="E15">
        <v>4.55</v>
      </c>
      <c r="F15">
        <v>4.71</v>
      </c>
      <c r="G15">
        <v>4.63</v>
      </c>
      <c r="H15">
        <v>4.66</v>
      </c>
      <c r="I15">
        <v>4.93</v>
      </c>
      <c r="J15">
        <v>4.79</v>
      </c>
      <c r="K15">
        <v>5.21</v>
      </c>
      <c r="L15">
        <v>5.48</v>
      </c>
      <c r="M15">
        <v>5.34</v>
      </c>
      <c r="N15">
        <v>5.44</v>
      </c>
      <c r="O15">
        <v>5.7</v>
      </c>
      <c r="P15">
        <v>5.57</v>
      </c>
      <c r="Q15">
        <v>6.45</v>
      </c>
      <c r="R15">
        <v>5.98</v>
      </c>
      <c r="S15">
        <v>6.22</v>
      </c>
    </row>
    <row r="16" spans="1:19" x14ac:dyDescent="0.3">
      <c r="A16" t="s">
        <v>99</v>
      </c>
      <c r="B16">
        <v>3.37</v>
      </c>
      <c r="C16">
        <v>3.4</v>
      </c>
      <c r="D16">
        <v>3.39</v>
      </c>
      <c r="E16">
        <v>3.68</v>
      </c>
      <c r="F16">
        <v>3.74</v>
      </c>
      <c r="G16">
        <v>3.71</v>
      </c>
      <c r="H16">
        <v>4.1500000000000004</v>
      </c>
      <c r="I16">
        <v>4.37</v>
      </c>
      <c r="J16">
        <v>4.25</v>
      </c>
      <c r="K16">
        <v>4.3099999999999996</v>
      </c>
      <c r="L16">
        <v>4.63</v>
      </c>
      <c r="M16">
        <v>4.47</v>
      </c>
      <c r="N16">
        <v>4.88</v>
      </c>
      <c r="O16">
        <v>5.21</v>
      </c>
      <c r="P16">
        <v>5.04</v>
      </c>
      <c r="Q16">
        <v>5.15</v>
      </c>
      <c r="R16">
        <v>5.46</v>
      </c>
      <c r="S16">
        <v>5.3</v>
      </c>
    </row>
    <row r="17" spans="1:19" x14ac:dyDescent="0.3">
      <c r="A17" t="s">
        <v>100</v>
      </c>
      <c r="B17">
        <v>2.4300000000000002</v>
      </c>
      <c r="C17">
        <v>2.4700000000000002</v>
      </c>
      <c r="D17">
        <v>2.4500000000000002</v>
      </c>
      <c r="E17">
        <v>2.92</v>
      </c>
      <c r="F17">
        <v>3.03</v>
      </c>
      <c r="G17">
        <v>2.97</v>
      </c>
      <c r="H17">
        <v>3.26</v>
      </c>
      <c r="I17">
        <v>3.39</v>
      </c>
      <c r="J17">
        <v>3.32</v>
      </c>
      <c r="K17">
        <v>3.73</v>
      </c>
      <c r="L17">
        <v>4.03</v>
      </c>
      <c r="M17">
        <v>3.87</v>
      </c>
      <c r="N17">
        <v>3.93</v>
      </c>
      <c r="O17">
        <v>4.32</v>
      </c>
      <c r="P17">
        <v>4.12</v>
      </c>
      <c r="Q17">
        <v>4.51</v>
      </c>
      <c r="R17">
        <v>4.91</v>
      </c>
      <c r="S17">
        <v>4.7</v>
      </c>
    </row>
    <row r="18" spans="1:19" x14ac:dyDescent="0.3">
      <c r="A18" t="s">
        <v>101</v>
      </c>
      <c r="B18">
        <v>1.68</v>
      </c>
      <c r="C18">
        <v>1.95</v>
      </c>
      <c r="D18">
        <v>1.81</v>
      </c>
      <c r="E18">
        <v>1.98</v>
      </c>
      <c r="F18">
        <v>2.08</v>
      </c>
      <c r="G18">
        <v>2.0299999999999998</v>
      </c>
      <c r="H18">
        <v>2.44</v>
      </c>
      <c r="I18">
        <v>2.61</v>
      </c>
      <c r="J18">
        <v>2.52</v>
      </c>
      <c r="K18">
        <v>2.78</v>
      </c>
      <c r="L18">
        <v>2.99</v>
      </c>
      <c r="M18">
        <v>2.88</v>
      </c>
      <c r="N18">
        <v>3.25</v>
      </c>
      <c r="O18">
        <v>3.61</v>
      </c>
      <c r="P18">
        <v>3.43</v>
      </c>
      <c r="Q18">
        <v>3.48</v>
      </c>
      <c r="R18">
        <v>3.94</v>
      </c>
      <c r="S18">
        <v>3.7</v>
      </c>
    </row>
    <row r="19" spans="1:19" x14ac:dyDescent="0.3">
      <c r="A19" t="s">
        <v>102</v>
      </c>
      <c r="B19">
        <v>1.29</v>
      </c>
      <c r="C19">
        <v>1.53</v>
      </c>
      <c r="D19">
        <v>1.41</v>
      </c>
      <c r="E19">
        <v>1.2</v>
      </c>
      <c r="F19">
        <v>1.47</v>
      </c>
      <c r="G19">
        <v>1.33</v>
      </c>
      <c r="H19">
        <v>1.47</v>
      </c>
      <c r="I19">
        <v>1.63</v>
      </c>
      <c r="J19">
        <v>1.55</v>
      </c>
      <c r="K19">
        <v>1.86</v>
      </c>
      <c r="L19">
        <v>2.11</v>
      </c>
      <c r="M19">
        <v>1.98</v>
      </c>
      <c r="N19">
        <v>2.1800000000000002</v>
      </c>
      <c r="O19">
        <v>2.48</v>
      </c>
      <c r="P19">
        <v>2.33</v>
      </c>
      <c r="Q19">
        <v>2.62</v>
      </c>
      <c r="R19">
        <v>3.07</v>
      </c>
      <c r="S19">
        <v>2.84</v>
      </c>
    </row>
    <row r="20" spans="1:19" x14ac:dyDescent="0.3">
      <c r="A20" t="s">
        <v>103</v>
      </c>
      <c r="B20">
        <v>0.73</v>
      </c>
      <c r="C20">
        <v>0.87</v>
      </c>
      <c r="D20">
        <v>0.8</v>
      </c>
      <c r="E20">
        <v>0.95</v>
      </c>
      <c r="F20">
        <v>1.21</v>
      </c>
      <c r="G20">
        <v>1.07</v>
      </c>
      <c r="H20">
        <v>1.03</v>
      </c>
      <c r="I20">
        <v>1.38</v>
      </c>
      <c r="J20">
        <v>1.2</v>
      </c>
      <c r="K20">
        <v>1.26</v>
      </c>
      <c r="L20">
        <v>1.62</v>
      </c>
      <c r="M20">
        <v>1.44</v>
      </c>
      <c r="N20">
        <v>1.64</v>
      </c>
      <c r="O20">
        <v>2.13</v>
      </c>
      <c r="P20">
        <v>1.88</v>
      </c>
      <c r="Q20">
        <v>2.08</v>
      </c>
      <c r="R20">
        <v>2.72</v>
      </c>
      <c r="S20">
        <v>2.39</v>
      </c>
    </row>
    <row r="21" spans="1:19" x14ac:dyDescent="0.3">
      <c r="A21" t="s">
        <v>73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</row>
  </sheetData>
  <mergeCells count="6">
    <mergeCell ref="Q2:S2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G39"/>
  <sheetViews>
    <sheetView workbookViewId="0">
      <selection activeCell="J44" sqref="J44"/>
    </sheetView>
  </sheetViews>
  <sheetFormatPr defaultRowHeight="14.4" x14ac:dyDescent="0.3"/>
  <cols>
    <col min="1" max="1" width="31.21875" customWidth="1"/>
  </cols>
  <sheetData>
    <row r="1" spans="1:7" x14ac:dyDescent="0.3">
      <c r="A1" s="2" t="s">
        <v>128</v>
      </c>
      <c r="B1" s="1"/>
      <c r="C1" s="1"/>
      <c r="D1" s="1"/>
      <c r="E1" s="1"/>
      <c r="F1" s="1"/>
      <c r="G1" s="1"/>
    </row>
    <row r="2" spans="1:7" x14ac:dyDescent="0.3">
      <c r="A2" t="s">
        <v>52</v>
      </c>
      <c r="B2">
        <v>2026</v>
      </c>
      <c r="C2">
        <v>2031</v>
      </c>
      <c r="D2">
        <v>2036</v>
      </c>
      <c r="E2">
        <v>2041</v>
      </c>
      <c r="F2">
        <v>2046</v>
      </c>
      <c r="G2">
        <v>2051</v>
      </c>
    </row>
    <row r="3" spans="1:7" x14ac:dyDescent="0.3">
      <c r="A3" t="s">
        <v>53</v>
      </c>
    </row>
    <row r="4" spans="1:7" x14ac:dyDescent="0.3">
      <c r="A4" t="s">
        <v>54</v>
      </c>
      <c r="B4">
        <v>1.59</v>
      </c>
      <c r="C4">
        <v>1.54</v>
      </c>
      <c r="D4">
        <v>1.52</v>
      </c>
      <c r="E4">
        <v>1.51</v>
      </c>
      <c r="F4">
        <v>1.5</v>
      </c>
      <c r="G4">
        <v>1.5</v>
      </c>
    </row>
    <row r="5" spans="1:7" x14ac:dyDescent="0.3">
      <c r="A5" t="s">
        <v>55</v>
      </c>
      <c r="B5">
        <v>0.78</v>
      </c>
      <c r="C5">
        <v>0.75</v>
      </c>
      <c r="D5">
        <v>0.74</v>
      </c>
      <c r="E5">
        <v>0.74</v>
      </c>
      <c r="F5">
        <v>0.73</v>
      </c>
      <c r="G5">
        <v>0.73</v>
      </c>
    </row>
    <row r="6" spans="1:7" x14ac:dyDescent="0.3">
      <c r="A6" t="s">
        <v>56</v>
      </c>
      <c r="B6">
        <v>0.74</v>
      </c>
      <c r="C6">
        <v>0.73</v>
      </c>
      <c r="D6">
        <v>0.72</v>
      </c>
      <c r="E6">
        <v>0.72</v>
      </c>
      <c r="F6">
        <v>0.72</v>
      </c>
      <c r="G6">
        <v>0.72</v>
      </c>
    </row>
    <row r="7" spans="1:7" x14ac:dyDescent="0.3">
      <c r="A7" t="s">
        <v>57</v>
      </c>
      <c r="B7">
        <v>25.6</v>
      </c>
      <c r="C7">
        <v>25.9</v>
      </c>
      <c r="D7">
        <v>26.2</v>
      </c>
      <c r="E7">
        <v>26.5</v>
      </c>
      <c r="F7">
        <v>26.8</v>
      </c>
      <c r="G7">
        <v>27.1</v>
      </c>
    </row>
    <row r="8" spans="1:7" x14ac:dyDescent="0.3">
      <c r="A8" t="s">
        <v>58</v>
      </c>
      <c r="B8">
        <v>0.23</v>
      </c>
      <c r="C8">
        <v>0.21</v>
      </c>
      <c r="D8">
        <v>0.21</v>
      </c>
      <c r="E8">
        <v>0.21</v>
      </c>
      <c r="F8">
        <v>0.21</v>
      </c>
      <c r="G8">
        <v>0.2</v>
      </c>
    </row>
    <row r="9" spans="1:7" x14ac:dyDescent="0.3">
      <c r="A9" t="s">
        <v>59</v>
      </c>
    </row>
    <row r="10" spans="1:7" x14ac:dyDescent="0.3">
      <c r="A10" t="s">
        <v>60</v>
      </c>
      <c r="B10">
        <v>67.099999999999994</v>
      </c>
      <c r="C10">
        <v>68.599999999999994</v>
      </c>
      <c r="D10">
        <v>70.2</v>
      </c>
      <c r="E10">
        <v>71.5</v>
      </c>
      <c r="F10">
        <v>72.8</v>
      </c>
      <c r="G10">
        <v>74.099999999999994</v>
      </c>
    </row>
    <row r="11" spans="1:7" x14ac:dyDescent="0.3">
      <c r="A11" t="s">
        <v>61</v>
      </c>
      <c r="B11">
        <v>72.7</v>
      </c>
      <c r="C11">
        <v>74.7</v>
      </c>
      <c r="D11">
        <v>76.3</v>
      </c>
      <c r="E11">
        <v>75.900000000000006</v>
      </c>
      <c r="F11">
        <v>79.5</v>
      </c>
      <c r="G11">
        <v>80.3</v>
      </c>
    </row>
    <row r="12" spans="1:7" x14ac:dyDescent="0.3">
      <c r="A12" t="s">
        <v>62</v>
      </c>
      <c r="B12">
        <v>69.900000000000006</v>
      </c>
      <c r="C12">
        <v>71.599999999999994</v>
      </c>
      <c r="D12">
        <v>73.2</v>
      </c>
      <c r="E12">
        <v>73.7</v>
      </c>
      <c r="F12">
        <v>76.2</v>
      </c>
      <c r="G12">
        <v>77.3</v>
      </c>
    </row>
    <row r="13" spans="1:7" x14ac:dyDescent="0.3">
      <c r="A13" t="s">
        <v>63</v>
      </c>
      <c r="B13">
        <v>30.8</v>
      </c>
      <c r="C13">
        <v>25</v>
      </c>
      <c r="D13">
        <v>20.399999999999999</v>
      </c>
      <c r="E13">
        <v>18.7</v>
      </c>
      <c r="F13">
        <v>14.5</v>
      </c>
      <c r="G13">
        <v>12.3</v>
      </c>
    </row>
    <row r="14" spans="1:7" x14ac:dyDescent="0.3">
      <c r="A14" t="s">
        <v>64</v>
      </c>
      <c r="B14">
        <v>37.299999999999997</v>
      </c>
      <c r="C14">
        <v>29.6</v>
      </c>
      <c r="D14">
        <v>23.9</v>
      </c>
      <c r="E14">
        <v>21.9</v>
      </c>
      <c r="F14">
        <v>16.899999999999999</v>
      </c>
      <c r="G14">
        <v>14.2</v>
      </c>
    </row>
    <row r="15" spans="1:7" x14ac:dyDescent="0.3">
      <c r="A15" t="s">
        <v>129</v>
      </c>
    </row>
    <row r="16" spans="1:7" x14ac:dyDescent="0.3">
      <c r="A16" t="s">
        <v>74</v>
      </c>
      <c r="B16">
        <v>1662</v>
      </c>
      <c r="C16">
        <v>1625</v>
      </c>
      <c r="D16">
        <v>1611</v>
      </c>
      <c r="E16">
        <v>1605</v>
      </c>
      <c r="F16">
        <v>1602</v>
      </c>
      <c r="G16">
        <v>1601</v>
      </c>
    </row>
    <row r="17" spans="1:7" x14ac:dyDescent="0.3">
      <c r="A17" t="s">
        <v>75</v>
      </c>
      <c r="B17">
        <v>865</v>
      </c>
      <c r="C17">
        <v>845</v>
      </c>
      <c r="D17">
        <v>838</v>
      </c>
      <c r="E17">
        <v>835</v>
      </c>
      <c r="F17">
        <v>833</v>
      </c>
      <c r="G17">
        <v>833</v>
      </c>
    </row>
    <row r="18" spans="1:7" x14ac:dyDescent="0.3">
      <c r="A18" t="s">
        <v>73</v>
      </c>
      <c r="B18">
        <v>2527</v>
      </c>
      <c r="C18">
        <v>2470</v>
      </c>
      <c r="D18">
        <v>2449</v>
      </c>
      <c r="E18">
        <v>2440</v>
      </c>
      <c r="F18">
        <v>2435</v>
      </c>
      <c r="G18">
        <v>2434</v>
      </c>
    </row>
    <row r="19" spans="1:7" x14ac:dyDescent="0.3">
      <c r="A19" t="s">
        <v>65</v>
      </c>
    </row>
    <row r="20" spans="1:7" x14ac:dyDescent="0.3">
      <c r="A20" t="s">
        <v>66</v>
      </c>
      <c r="B20">
        <v>12.5</v>
      </c>
      <c r="C20">
        <v>11.4</v>
      </c>
      <c r="D20">
        <v>10.7</v>
      </c>
      <c r="E20">
        <v>10.1</v>
      </c>
      <c r="F20">
        <v>9.4</v>
      </c>
      <c r="G20">
        <v>8.9</v>
      </c>
    </row>
    <row r="21" spans="1:7" x14ac:dyDescent="0.3">
      <c r="A21" t="s">
        <v>67</v>
      </c>
      <c r="B21">
        <v>8.6</v>
      </c>
      <c r="C21">
        <v>8.6999999999999993</v>
      </c>
      <c r="D21">
        <v>8.9</v>
      </c>
      <c r="E21">
        <v>9.9</v>
      </c>
      <c r="F21">
        <v>9.8000000000000007</v>
      </c>
      <c r="G21">
        <v>10.6</v>
      </c>
    </row>
    <row r="22" spans="1:7" x14ac:dyDescent="0.3">
      <c r="A22" t="s">
        <v>130</v>
      </c>
      <c r="B22">
        <v>0.38</v>
      </c>
      <c r="C22">
        <v>0.26</v>
      </c>
      <c r="D22">
        <v>0.18</v>
      </c>
      <c r="E22">
        <v>0.02</v>
      </c>
      <c r="F22">
        <v>-0.04</v>
      </c>
      <c r="G22">
        <v>-0.17</v>
      </c>
    </row>
    <row r="23" spans="1:7" x14ac:dyDescent="0.3">
      <c r="A23" t="s">
        <v>69</v>
      </c>
    </row>
    <row r="24" spans="1:7" x14ac:dyDescent="0.3">
      <c r="A24" t="s">
        <v>70</v>
      </c>
      <c r="B24">
        <v>0.84</v>
      </c>
      <c r="C24">
        <v>0.78</v>
      </c>
      <c r="D24">
        <v>0.74</v>
      </c>
      <c r="E24">
        <v>0.7</v>
      </c>
      <c r="F24">
        <v>0.66</v>
      </c>
      <c r="G24">
        <v>0.61</v>
      </c>
    </row>
    <row r="25" spans="1:7" x14ac:dyDescent="0.3">
      <c r="A25" t="s">
        <v>71</v>
      </c>
      <c r="B25">
        <v>0.57999999999999996</v>
      </c>
      <c r="C25">
        <v>0.6</v>
      </c>
      <c r="D25">
        <v>0.62</v>
      </c>
      <c r="E25">
        <v>0.69</v>
      </c>
      <c r="F25">
        <v>0.68</v>
      </c>
      <c r="G25">
        <v>0.73</v>
      </c>
    </row>
    <row r="26" spans="1:7" x14ac:dyDescent="0.3">
      <c r="A26" t="s">
        <v>72</v>
      </c>
    </row>
    <row r="27" spans="1:7" x14ac:dyDescent="0.3">
      <c r="A27" t="s">
        <v>73</v>
      </c>
      <c r="B27">
        <v>67.5</v>
      </c>
      <c r="C27">
        <v>68.5</v>
      </c>
      <c r="D27">
        <v>69.3</v>
      </c>
      <c r="E27">
        <v>69.599999999999994</v>
      </c>
      <c r="F27">
        <v>69.5</v>
      </c>
      <c r="G27">
        <v>69.099999999999994</v>
      </c>
    </row>
    <row r="28" spans="1:7" x14ac:dyDescent="0.3">
      <c r="A28" t="s">
        <v>74</v>
      </c>
      <c r="B28">
        <v>34</v>
      </c>
      <c r="C28">
        <v>34.4</v>
      </c>
      <c r="D28">
        <v>34.6</v>
      </c>
      <c r="E28">
        <v>34.700000000000003</v>
      </c>
      <c r="F28">
        <v>34.5</v>
      </c>
      <c r="G28">
        <v>34.1</v>
      </c>
    </row>
    <row r="29" spans="1:7" x14ac:dyDescent="0.3">
      <c r="A29" t="s">
        <v>75</v>
      </c>
      <c r="B29">
        <v>33.5</v>
      </c>
      <c r="C29">
        <v>34.1</v>
      </c>
      <c r="D29">
        <v>34.700000000000003</v>
      </c>
      <c r="E29">
        <v>34.9</v>
      </c>
      <c r="F29">
        <v>35</v>
      </c>
      <c r="G29">
        <v>35</v>
      </c>
    </row>
    <row r="30" spans="1:7" x14ac:dyDescent="0.3">
      <c r="A30" t="s">
        <v>76</v>
      </c>
      <c r="B30">
        <v>6.2</v>
      </c>
      <c r="C30">
        <v>5.7</v>
      </c>
      <c r="D30">
        <v>5.3</v>
      </c>
      <c r="E30">
        <v>5.0999999999999996</v>
      </c>
      <c r="F30">
        <v>4.8</v>
      </c>
      <c r="G30">
        <v>4.5</v>
      </c>
    </row>
    <row r="31" spans="1:7" x14ac:dyDescent="0.3">
      <c r="A31" t="s">
        <v>77</v>
      </c>
      <c r="B31">
        <v>14</v>
      </c>
      <c r="C31">
        <v>12.6</v>
      </c>
      <c r="D31">
        <v>11.6</v>
      </c>
      <c r="E31">
        <v>10.9</v>
      </c>
      <c r="F31">
        <v>10.3</v>
      </c>
      <c r="G31">
        <v>9.8000000000000007</v>
      </c>
    </row>
    <row r="32" spans="1:7" x14ac:dyDescent="0.3">
      <c r="A32" t="s">
        <v>78</v>
      </c>
      <c r="B32">
        <v>15.1</v>
      </c>
      <c r="C32">
        <v>14.5</v>
      </c>
      <c r="D32">
        <v>13.5</v>
      </c>
      <c r="E32">
        <v>12.3</v>
      </c>
      <c r="F32">
        <v>11.5</v>
      </c>
      <c r="G32">
        <v>10.9</v>
      </c>
    </row>
    <row r="33" spans="1:7" x14ac:dyDescent="0.3">
      <c r="A33" t="s">
        <v>79</v>
      </c>
      <c r="B33">
        <v>55.6</v>
      </c>
      <c r="C33">
        <v>55</v>
      </c>
      <c r="D33">
        <v>52.5</v>
      </c>
      <c r="E33">
        <v>49.7</v>
      </c>
      <c r="F33">
        <v>47</v>
      </c>
      <c r="G33">
        <v>44.6</v>
      </c>
    </row>
    <row r="34" spans="1:7" x14ac:dyDescent="0.3">
      <c r="A34" t="s">
        <v>80</v>
      </c>
      <c r="B34">
        <v>67.3</v>
      </c>
      <c r="C34">
        <v>67.599999999999994</v>
      </c>
      <c r="D34">
        <v>66.3</v>
      </c>
      <c r="E34">
        <v>65.2</v>
      </c>
      <c r="F34">
        <v>62.7</v>
      </c>
      <c r="G34">
        <v>62</v>
      </c>
    </row>
    <row r="35" spans="1:7" x14ac:dyDescent="0.3">
      <c r="A35" t="s">
        <v>81</v>
      </c>
      <c r="B35">
        <v>12.5</v>
      </c>
      <c r="C35">
        <v>14.2</v>
      </c>
      <c r="D35">
        <v>16.7</v>
      </c>
      <c r="E35">
        <v>18.899999999999999</v>
      </c>
      <c r="F35">
        <v>22.2</v>
      </c>
      <c r="G35">
        <v>25.7</v>
      </c>
    </row>
    <row r="36" spans="1:7" x14ac:dyDescent="0.3">
      <c r="A36" t="s">
        <v>82</v>
      </c>
      <c r="B36">
        <v>54.9</v>
      </c>
      <c r="C36">
        <v>54.1</v>
      </c>
      <c r="D36">
        <v>51.3</v>
      </c>
      <c r="E36">
        <v>48.5</v>
      </c>
      <c r="F36">
        <v>45.9</v>
      </c>
      <c r="G36">
        <v>43.3</v>
      </c>
    </row>
    <row r="37" spans="1:7" x14ac:dyDescent="0.3">
      <c r="A37" t="s">
        <v>83</v>
      </c>
      <c r="B37">
        <v>101.5</v>
      </c>
      <c r="C37">
        <v>100.8</v>
      </c>
      <c r="D37">
        <v>99.9</v>
      </c>
      <c r="E37">
        <v>99.4</v>
      </c>
      <c r="F37">
        <v>98.5</v>
      </c>
      <c r="G37">
        <v>97.5</v>
      </c>
    </row>
    <row r="38" spans="1:7" x14ac:dyDescent="0.3">
      <c r="A38" t="s">
        <v>84</v>
      </c>
      <c r="B38">
        <v>48.9</v>
      </c>
      <c r="C38">
        <v>48.6</v>
      </c>
      <c r="D38">
        <v>48</v>
      </c>
      <c r="E38">
        <v>50.8</v>
      </c>
      <c r="F38">
        <v>53.4</v>
      </c>
      <c r="G38">
        <v>59.5</v>
      </c>
    </row>
    <row r="39" spans="1:7" x14ac:dyDescent="0.3">
      <c r="A39" t="s">
        <v>85</v>
      </c>
      <c r="B39">
        <v>34</v>
      </c>
      <c r="C39">
        <v>36</v>
      </c>
      <c r="D39">
        <v>38</v>
      </c>
      <c r="E39">
        <v>40</v>
      </c>
      <c r="F39">
        <v>42</v>
      </c>
      <c r="G39">
        <v>44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S21"/>
  <sheetViews>
    <sheetView workbookViewId="0">
      <selection activeCell="B2" sqref="B2:S2"/>
    </sheetView>
  </sheetViews>
  <sheetFormatPr defaultRowHeight="14.4" x14ac:dyDescent="0.3"/>
  <sheetData>
    <row r="1" spans="1:19" x14ac:dyDescent="0.3">
      <c r="A1" s="2" t="s">
        <v>131</v>
      </c>
      <c r="B1" s="1"/>
      <c r="C1" s="1"/>
      <c r="D1" s="1"/>
      <c r="E1" s="1"/>
      <c r="F1" s="1"/>
      <c r="G1" s="1"/>
      <c r="H1" s="1"/>
      <c r="I1" s="1"/>
      <c r="J1" s="1"/>
    </row>
    <row r="2" spans="1:19" x14ac:dyDescent="0.3">
      <c r="A2" t="s">
        <v>93</v>
      </c>
      <c r="B2" s="34">
        <v>2026</v>
      </c>
      <c r="C2" s="34"/>
      <c r="D2" s="34"/>
      <c r="E2" s="34">
        <v>2031</v>
      </c>
      <c r="F2" s="34"/>
      <c r="G2" s="34"/>
      <c r="H2" s="34">
        <v>2036</v>
      </c>
      <c r="I2" s="34"/>
      <c r="J2" s="34"/>
      <c r="K2" s="37">
        <v>2041</v>
      </c>
      <c r="L2" s="37"/>
      <c r="M2" s="37"/>
      <c r="N2" s="37">
        <v>2046</v>
      </c>
      <c r="O2" s="37"/>
      <c r="P2" s="37"/>
      <c r="Q2" s="37">
        <v>2051</v>
      </c>
      <c r="R2" s="37"/>
      <c r="S2" s="37"/>
    </row>
    <row r="3" spans="1:19" x14ac:dyDescent="0.3">
      <c r="B3" t="s">
        <v>16</v>
      </c>
      <c r="C3" t="s">
        <v>46</v>
      </c>
      <c r="D3" t="s">
        <v>91</v>
      </c>
      <c r="E3" t="s">
        <v>16</v>
      </c>
      <c r="F3" t="s">
        <v>46</v>
      </c>
      <c r="G3" t="s">
        <v>91</v>
      </c>
      <c r="H3" t="s">
        <v>16</v>
      </c>
      <c r="I3" t="s">
        <v>46</v>
      </c>
      <c r="J3" t="s">
        <v>91</v>
      </c>
      <c r="K3" t="s">
        <v>16</v>
      </c>
      <c r="L3" t="s">
        <v>46</v>
      </c>
      <c r="M3" t="s">
        <v>91</v>
      </c>
      <c r="N3" t="s">
        <v>16</v>
      </c>
      <c r="O3" t="s">
        <v>46</v>
      </c>
      <c r="P3" t="s">
        <v>91</v>
      </c>
      <c r="Q3" t="s">
        <v>16</v>
      </c>
      <c r="R3" t="s">
        <v>46</v>
      </c>
      <c r="S3" t="s">
        <v>91</v>
      </c>
    </row>
    <row r="4" spans="1:19" x14ac:dyDescent="0.3">
      <c r="A4" t="s">
        <v>94</v>
      </c>
      <c r="B4">
        <v>6.28</v>
      </c>
      <c r="C4">
        <v>6.16</v>
      </c>
      <c r="D4">
        <v>6.22</v>
      </c>
      <c r="E4">
        <v>5.75</v>
      </c>
      <c r="F4">
        <v>5.6</v>
      </c>
      <c r="G4">
        <v>5.67</v>
      </c>
      <c r="H4">
        <v>5.44</v>
      </c>
      <c r="I4">
        <v>5.24</v>
      </c>
      <c r="J4">
        <v>5.34</v>
      </c>
      <c r="K4">
        <v>5.17</v>
      </c>
      <c r="L4">
        <v>4.93</v>
      </c>
      <c r="M4">
        <v>5.05</v>
      </c>
      <c r="N4">
        <v>4.9000000000000004</v>
      </c>
      <c r="O4">
        <v>4.63</v>
      </c>
      <c r="P4">
        <v>4.76</v>
      </c>
      <c r="Q4">
        <v>4.6500000000000004</v>
      </c>
      <c r="R4">
        <v>4.34</v>
      </c>
      <c r="S4">
        <v>4.49</v>
      </c>
    </row>
    <row r="5" spans="1:19" x14ac:dyDescent="0.3">
      <c r="A5" t="s">
        <v>95</v>
      </c>
      <c r="B5">
        <v>6.64</v>
      </c>
      <c r="C5">
        <v>6.51</v>
      </c>
      <c r="D5">
        <v>6.57</v>
      </c>
      <c r="E5">
        <v>6.16</v>
      </c>
      <c r="F5">
        <v>6.02</v>
      </c>
      <c r="G5">
        <v>6.09</v>
      </c>
      <c r="H5">
        <v>5.68</v>
      </c>
      <c r="I5">
        <v>5.5</v>
      </c>
      <c r="J5">
        <v>5.59</v>
      </c>
      <c r="K5">
        <v>5.41</v>
      </c>
      <c r="L5">
        <v>5.19</v>
      </c>
      <c r="M5">
        <v>5.3</v>
      </c>
      <c r="N5">
        <v>5.18</v>
      </c>
      <c r="O5">
        <v>4.9000000000000004</v>
      </c>
      <c r="P5">
        <v>5.04</v>
      </c>
      <c r="Q5">
        <v>4.9400000000000004</v>
      </c>
      <c r="R5">
        <v>4.62</v>
      </c>
      <c r="S5">
        <v>4.78</v>
      </c>
    </row>
    <row r="6" spans="1:19" x14ac:dyDescent="0.3">
      <c r="A6" t="s">
        <v>96</v>
      </c>
      <c r="B6">
        <v>7.47</v>
      </c>
      <c r="C6">
        <v>7.3</v>
      </c>
      <c r="D6">
        <v>7.39</v>
      </c>
      <c r="E6">
        <v>6.54</v>
      </c>
      <c r="F6">
        <v>6.37</v>
      </c>
      <c r="G6">
        <v>6.46</v>
      </c>
      <c r="H6">
        <v>6.1</v>
      </c>
      <c r="I6">
        <v>5.92</v>
      </c>
      <c r="J6">
        <v>6.01</v>
      </c>
      <c r="K6">
        <v>5.66</v>
      </c>
      <c r="L6">
        <v>5.45</v>
      </c>
      <c r="M6">
        <v>5.56</v>
      </c>
      <c r="N6">
        <v>5.43</v>
      </c>
      <c r="O6">
        <v>5.16</v>
      </c>
      <c r="P6">
        <v>5.29</v>
      </c>
      <c r="Q6">
        <v>5.23</v>
      </c>
      <c r="R6">
        <v>4.9000000000000004</v>
      </c>
      <c r="S6">
        <v>5.07</v>
      </c>
    </row>
    <row r="7" spans="1:19" x14ac:dyDescent="0.3">
      <c r="A7" t="s">
        <v>35</v>
      </c>
      <c r="B7">
        <v>7.48</v>
      </c>
      <c r="C7">
        <v>7.28</v>
      </c>
      <c r="D7">
        <v>7.38</v>
      </c>
      <c r="E7">
        <v>7.35</v>
      </c>
      <c r="F7">
        <v>7.15</v>
      </c>
      <c r="G7">
        <v>7.25</v>
      </c>
      <c r="H7">
        <v>6.47</v>
      </c>
      <c r="I7">
        <v>6.27</v>
      </c>
      <c r="J7">
        <v>6.37</v>
      </c>
      <c r="K7">
        <v>6.08</v>
      </c>
      <c r="L7">
        <v>5.87</v>
      </c>
      <c r="M7">
        <v>5.97</v>
      </c>
      <c r="N7">
        <v>5.68</v>
      </c>
      <c r="O7">
        <v>5.43</v>
      </c>
      <c r="P7">
        <v>5.55</v>
      </c>
      <c r="Q7">
        <v>5.48</v>
      </c>
      <c r="R7">
        <v>5.16</v>
      </c>
      <c r="S7">
        <v>5.32</v>
      </c>
    </row>
    <row r="8" spans="1:19" x14ac:dyDescent="0.3">
      <c r="A8" t="s">
        <v>36</v>
      </c>
      <c r="B8">
        <v>7.81</v>
      </c>
      <c r="C8">
        <v>7.53</v>
      </c>
      <c r="D8">
        <v>7.67</v>
      </c>
      <c r="E8">
        <v>7.34</v>
      </c>
      <c r="F8">
        <v>7.12</v>
      </c>
      <c r="G8">
        <v>7.23</v>
      </c>
      <c r="H8">
        <v>7.26</v>
      </c>
      <c r="I8">
        <v>7.02</v>
      </c>
      <c r="J8">
        <v>7.14</v>
      </c>
      <c r="K8">
        <v>6.43</v>
      </c>
      <c r="L8">
        <v>6.21</v>
      </c>
      <c r="M8">
        <v>6.32</v>
      </c>
      <c r="N8">
        <v>6.08</v>
      </c>
      <c r="O8">
        <v>5.84</v>
      </c>
      <c r="P8">
        <v>5.96</v>
      </c>
      <c r="Q8">
        <v>5.72</v>
      </c>
      <c r="R8">
        <v>5.42</v>
      </c>
      <c r="S8">
        <v>5.57</v>
      </c>
    </row>
    <row r="9" spans="1:19" x14ac:dyDescent="0.3">
      <c r="A9" t="s">
        <v>37</v>
      </c>
      <c r="B9">
        <v>8.52</v>
      </c>
      <c r="C9">
        <v>8.1999999999999993</v>
      </c>
      <c r="D9">
        <v>8.36</v>
      </c>
      <c r="E9">
        <v>7.66</v>
      </c>
      <c r="F9">
        <v>7.36</v>
      </c>
      <c r="G9">
        <v>7.51</v>
      </c>
      <c r="H9">
        <v>7.25</v>
      </c>
      <c r="I9">
        <v>6.99</v>
      </c>
      <c r="J9">
        <v>7.12</v>
      </c>
      <c r="K9">
        <v>7.21</v>
      </c>
      <c r="L9">
        <v>6.95</v>
      </c>
      <c r="M9">
        <v>7.08</v>
      </c>
      <c r="N9">
        <v>6.44</v>
      </c>
      <c r="O9">
        <v>6.17</v>
      </c>
      <c r="P9">
        <v>6.3</v>
      </c>
      <c r="Q9">
        <v>6.13</v>
      </c>
      <c r="R9">
        <v>5.83</v>
      </c>
      <c r="S9">
        <v>5.98</v>
      </c>
    </row>
    <row r="10" spans="1:19" x14ac:dyDescent="0.3">
      <c r="A10" t="s">
        <v>38</v>
      </c>
      <c r="B10">
        <v>8.74</v>
      </c>
      <c r="C10">
        <v>8.18</v>
      </c>
      <c r="D10">
        <v>8.4600000000000009</v>
      </c>
      <c r="E10">
        <v>8.36</v>
      </c>
      <c r="F10">
        <v>8.01</v>
      </c>
      <c r="G10">
        <v>8.18</v>
      </c>
      <c r="H10">
        <v>7.57</v>
      </c>
      <c r="I10">
        <v>7.22</v>
      </c>
      <c r="J10">
        <v>7.39</v>
      </c>
      <c r="K10">
        <v>7.2</v>
      </c>
      <c r="L10">
        <v>6.92</v>
      </c>
      <c r="M10">
        <v>7.06</v>
      </c>
      <c r="N10">
        <v>7.22</v>
      </c>
      <c r="O10">
        <v>6.91</v>
      </c>
      <c r="P10">
        <v>7.06</v>
      </c>
      <c r="Q10">
        <v>6.49</v>
      </c>
      <c r="R10">
        <v>6.16</v>
      </c>
      <c r="S10">
        <v>6.32</v>
      </c>
    </row>
    <row r="11" spans="1:19" x14ac:dyDescent="0.3">
      <c r="A11" t="s">
        <v>39</v>
      </c>
      <c r="B11">
        <v>8.9</v>
      </c>
      <c r="C11">
        <v>8.61</v>
      </c>
      <c r="D11">
        <v>8.76</v>
      </c>
      <c r="E11">
        <v>8.5500000000000007</v>
      </c>
      <c r="F11">
        <v>7.97</v>
      </c>
      <c r="G11">
        <v>8.26</v>
      </c>
      <c r="H11">
        <v>8.23</v>
      </c>
      <c r="I11">
        <v>7.85</v>
      </c>
      <c r="J11">
        <v>8.0399999999999991</v>
      </c>
      <c r="K11">
        <v>7.5</v>
      </c>
      <c r="L11">
        <v>7.13</v>
      </c>
      <c r="M11">
        <v>7.32</v>
      </c>
      <c r="N11">
        <v>7.2</v>
      </c>
      <c r="O11">
        <v>6.87</v>
      </c>
      <c r="P11">
        <v>7.03</v>
      </c>
      <c r="Q11">
        <v>7.27</v>
      </c>
      <c r="R11">
        <v>6.89</v>
      </c>
      <c r="S11">
        <v>7.08</v>
      </c>
    </row>
    <row r="12" spans="1:19" x14ac:dyDescent="0.3">
      <c r="A12" t="s">
        <v>40</v>
      </c>
      <c r="B12">
        <v>8.19</v>
      </c>
      <c r="C12">
        <v>8.41</v>
      </c>
      <c r="D12">
        <v>8.3000000000000007</v>
      </c>
      <c r="E12">
        <v>8.68</v>
      </c>
      <c r="F12">
        <v>8.3699999999999992</v>
      </c>
      <c r="G12">
        <v>8.5299999999999994</v>
      </c>
      <c r="H12">
        <v>8.4</v>
      </c>
      <c r="I12">
        <v>7.8</v>
      </c>
      <c r="J12">
        <v>8.1</v>
      </c>
      <c r="K12">
        <v>8.14</v>
      </c>
      <c r="L12">
        <v>7.74</v>
      </c>
      <c r="M12">
        <v>7.94</v>
      </c>
      <c r="N12">
        <v>7.48</v>
      </c>
      <c r="O12">
        <v>7.07</v>
      </c>
      <c r="P12">
        <v>7.27</v>
      </c>
      <c r="Q12">
        <v>7.23</v>
      </c>
      <c r="R12">
        <v>6.84</v>
      </c>
      <c r="S12">
        <v>7.03</v>
      </c>
    </row>
    <row r="13" spans="1:19" x14ac:dyDescent="0.3">
      <c r="A13" t="s">
        <v>41</v>
      </c>
      <c r="B13">
        <v>6.7</v>
      </c>
      <c r="C13">
        <v>6.65</v>
      </c>
      <c r="D13">
        <v>6.67</v>
      </c>
      <c r="E13">
        <v>7.92</v>
      </c>
      <c r="F13">
        <v>8.14</v>
      </c>
      <c r="G13">
        <v>8.0299999999999994</v>
      </c>
      <c r="H13">
        <v>8.4600000000000009</v>
      </c>
      <c r="I13">
        <v>8.15</v>
      </c>
      <c r="J13">
        <v>8.31</v>
      </c>
      <c r="K13">
        <v>8.25</v>
      </c>
      <c r="L13">
        <v>7.66</v>
      </c>
      <c r="M13">
        <v>7.96</v>
      </c>
      <c r="N13">
        <v>8.07</v>
      </c>
      <c r="O13">
        <v>7.64</v>
      </c>
      <c r="P13">
        <v>7.86</v>
      </c>
      <c r="Q13">
        <v>7.48</v>
      </c>
      <c r="R13">
        <v>7.02</v>
      </c>
      <c r="S13">
        <v>7.25</v>
      </c>
    </row>
    <row r="14" spans="1:19" x14ac:dyDescent="0.3">
      <c r="A14" t="s">
        <v>97</v>
      </c>
      <c r="B14">
        <v>6.34</v>
      </c>
      <c r="C14">
        <v>6.73</v>
      </c>
      <c r="D14">
        <v>6.53</v>
      </c>
      <c r="E14">
        <v>6.4</v>
      </c>
      <c r="F14">
        <v>6.39</v>
      </c>
      <c r="G14">
        <v>6.39</v>
      </c>
      <c r="H14">
        <v>7.64</v>
      </c>
      <c r="I14">
        <v>7.88</v>
      </c>
      <c r="J14">
        <v>7.76</v>
      </c>
      <c r="K14">
        <v>8.23</v>
      </c>
      <c r="L14">
        <v>7.96</v>
      </c>
      <c r="M14">
        <v>8.09</v>
      </c>
      <c r="N14">
        <v>8.1</v>
      </c>
      <c r="O14">
        <v>7.53</v>
      </c>
      <c r="P14">
        <v>7.81</v>
      </c>
      <c r="Q14">
        <v>8</v>
      </c>
      <c r="R14">
        <v>7.57</v>
      </c>
      <c r="S14">
        <v>7.78</v>
      </c>
    </row>
    <row r="15" spans="1:19" x14ac:dyDescent="0.3">
      <c r="A15" t="s">
        <v>98</v>
      </c>
      <c r="B15">
        <v>5.18</v>
      </c>
      <c r="C15">
        <v>5.0999999999999996</v>
      </c>
      <c r="D15">
        <v>5.14</v>
      </c>
      <c r="E15">
        <v>5.93</v>
      </c>
      <c r="F15">
        <v>6.4</v>
      </c>
      <c r="G15">
        <v>6.16</v>
      </c>
      <c r="H15">
        <v>6.05</v>
      </c>
      <c r="I15">
        <v>6.13</v>
      </c>
      <c r="J15">
        <v>6.09</v>
      </c>
      <c r="K15">
        <v>7.29</v>
      </c>
      <c r="L15">
        <v>7.63</v>
      </c>
      <c r="M15">
        <v>7.46</v>
      </c>
      <c r="N15">
        <v>7.94</v>
      </c>
      <c r="O15">
        <v>7.77</v>
      </c>
      <c r="P15">
        <v>7.85</v>
      </c>
      <c r="Q15">
        <v>7.9</v>
      </c>
      <c r="R15">
        <v>7.41</v>
      </c>
      <c r="S15">
        <v>7.65</v>
      </c>
    </row>
    <row r="16" spans="1:19" x14ac:dyDescent="0.3">
      <c r="A16" t="s">
        <v>99</v>
      </c>
      <c r="B16">
        <v>4.41</v>
      </c>
      <c r="C16">
        <v>4.54</v>
      </c>
      <c r="D16">
        <v>4.47</v>
      </c>
      <c r="E16">
        <v>4.6900000000000004</v>
      </c>
      <c r="F16">
        <v>4.76</v>
      </c>
      <c r="G16">
        <v>4.7300000000000004</v>
      </c>
      <c r="H16">
        <v>5.43</v>
      </c>
      <c r="I16">
        <v>6.04</v>
      </c>
      <c r="J16">
        <v>5.73</v>
      </c>
      <c r="K16">
        <v>5.61</v>
      </c>
      <c r="L16">
        <v>5.84</v>
      </c>
      <c r="M16">
        <v>5.72</v>
      </c>
      <c r="N16">
        <v>6.85</v>
      </c>
      <c r="O16">
        <v>7.35</v>
      </c>
      <c r="P16">
        <v>7.1</v>
      </c>
      <c r="Q16">
        <v>7.55</v>
      </c>
      <c r="R16">
        <v>7.57</v>
      </c>
      <c r="S16">
        <v>7.56</v>
      </c>
    </row>
    <row r="17" spans="1:19" x14ac:dyDescent="0.3">
      <c r="A17" t="s">
        <v>100</v>
      </c>
      <c r="B17">
        <v>3.04</v>
      </c>
      <c r="C17">
        <v>3.25</v>
      </c>
      <c r="D17">
        <v>3.14</v>
      </c>
      <c r="E17">
        <v>3.8</v>
      </c>
      <c r="F17">
        <v>4.0999999999999996</v>
      </c>
      <c r="G17">
        <v>3.95</v>
      </c>
      <c r="H17">
        <v>4.09</v>
      </c>
      <c r="I17">
        <v>4.37</v>
      </c>
      <c r="J17">
        <v>4.2300000000000004</v>
      </c>
      <c r="K17">
        <v>4.8099999999999996</v>
      </c>
      <c r="L17">
        <v>5.59</v>
      </c>
      <c r="M17">
        <v>5.2</v>
      </c>
      <c r="N17">
        <v>5.05</v>
      </c>
      <c r="O17">
        <v>5.5</v>
      </c>
      <c r="P17">
        <v>5.27</v>
      </c>
      <c r="Q17">
        <v>6.26</v>
      </c>
      <c r="R17">
        <v>7.03</v>
      </c>
      <c r="S17">
        <v>6.65</v>
      </c>
    </row>
    <row r="18" spans="1:19" x14ac:dyDescent="0.3">
      <c r="A18" t="s">
        <v>101</v>
      </c>
      <c r="B18">
        <v>1.96</v>
      </c>
      <c r="C18">
        <v>2.36</v>
      </c>
      <c r="D18">
        <v>2.16</v>
      </c>
      <c r="E18">
        <v>2.41</v>
      </c>
      <c r="F18">
        <v>2.77</v>
      </c>
      <c r="G18">
        <v>2.59</v>
      </c>
      <c r="H18">
        <v>3.06</v>
      </c>
      <c r="I18">
        <v>3.56</v>
      </c>
      <c r="J18">
        <v>3.31</v>
      </c>
      <c r="K18">
        <v>3.36</v>
      </c>
      <c r="L18">
        <v>3.84</v>
      </c>
      <c r="M18">
        <v>3.6</v>
      </c>
      <c r="N18">
        <v>4.03</v>
      </c>
      <c r="O18">
        <v>5.04</v>
      </c>
      <c r="P18">
        <v>4.54</v>
      </c>
      <c r="Q18">
        <v>4.3099999999999996</v>
      </c>
      <c r="R18">
        <v>5.0599999999999996</v>
      </c>
      <c r="S18">
        <v>4.6900000000000004</v>
      </c>
    </row>
    <row r="19" spans="1:19" x14ac:dyDescent="0.3">
      <c r="A19" t="s">
        <v>102</v>
      </c>
      <c r="B19">
        <v>1.41</v>
      </c>
      <c r="C19">
        <v>1.85</v>
      </c>
      <c r="D19">
        <v>1.63</v>
      </c>
      <c r="E19">
        <v>1.36</v>
      </c>
      <c r="F19">
        <v>1.8</v>
      </c>
      <c r="G19">
        <v>1.58</v>
      </c>
      <c r="H19">
        <v>1.72</v>
      </c>
      <c r="I19">
        <v>2.1800000000000002</v>
      </c>
      <c r="J19">
        <v>1.95</v>
      </c>
      <c r="K19">
        <v>2.23</v>
      </c>
      <c r="L19">
        <v>2.85</v>
      </c>
      <c r="M19">
        <v>2.54</v>
      </c>
      <c r="N19">
        <v>2.5099999999999998</v>
      </c>
      <c r="O19">
        <v>3.19</v>
      </c>
      <c r="P19">
        <v>2.85</v>
      </c>
      <c r="Q19">
        <v>3.08</v>
      </c>
      <c r="R19">
        <v>4.33</v>
      </c>
      <c r="S19">
        <v>3.72</v>
      </c>
    </row>
    <row r="20" spans="1:19" x14ac:dyDescent="0.3">
      <c r="A20" t="s">
        <v>103</v>
      </c>
      <c r="B20">
        <v>0.94</v>
      </c>
      <c r="C20">
        <v>1.35</v>
      </c>
      <c r="D20">
        <v>1.1399999999999999</v>
      </c>
      <c r="E20">
        <v>1.0900000000000001</v>
      </c>
      <c r="F20">
        <v>1.67</v>
      </c>
      <c r="G20">
        <v>1.38</v>
      </c>
      <c r="H20">
        <v>1.1499999999999999</v>
      </c>
      <c r="I20">
        <v>1.87</v>
      </c>
      <c r="J20">
        <v>1.51</v>
      </c>
      <c r="K20">
        <v>1.42</v>
      </c>
      <c r="L20">
        <v>2.2400000000000002</v>
      </c>
      <c r="M20">
        <v>1.83</v>
      </c>
      <c r="N20">
        <v>1.86</v>
      </c>
      <c r="O20">
        <v>3</v>
      </c>
      <c r="P20">
        <v>2.44</v>
      </c>
      <c r="Q20">
        <v>2.2799999999999998</v>
      </c>
      <c r="R20">
        <v>3.83</v>
      </c>
      <c r="S20">
        <v>3.07</v>
      </c>
    </row>
    <row r="21" spans="1:19" x14ac:dyDescent="0.3">
      <c r="A21" t="s">
        <v>73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</row>
  </sheetData>
  <mergeCells count="6">
    <mergeCell ref="Q2:S2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G39"/>
  <sheetViews>
    <sheetView workbookViewId="0">
      <selection activeCell="A2" sqref="A2"/>
    </sheetView>
  </sheetViews>
  <sheetFormatPr defaultRowHeight="14.4" x14ac:dyDescent="0.3"/>
  <cols>
    <col min="1" max="1" width="36.109375" customWidth="1"/>
  </cols>
  <sheetData>
    <row r="1" spans="1:7" x14ac:dyDescent="0.3">
      <c r="A1" s="2" t="s">
        <v>228</v>
      </c>
      <c r="B1" s="1"/>
      <c r="C1" s="1"/>
      <c r="D1" s="1"/>
      <c r="E1" s="1"/>
      <c r="F1" s="1"/>
      <c r="G1" s="1"/>
    </row>
    <row r="2" spans="1:7" x14ac:dyDescent="0.3">
      <c r="A2" t="s">
        <v>52</v>
      </c>
      <c r="B2">
        <v>2026</v>
      </c>
      <c r="C2">
        <v>2031</v>
      </c>
      <c r="D2">
        <v>2036</v>
      </c>
      <c r="E2">
        <v>2041</v>
      </c>
      <c r="F2">
        <v>2046</v>
      </c>
      <c r="G2">
        <v>2051</v>
      </c>
    </row>
    <row r="3" spans="1:7" x14ac:dyDescent="0.3">
      <c r="A3" t="s">
        <v>53</v>
      </c>
    </row>
    <row r="4" spans="1:7" x14ac:dyDescent="0.3">
      <c r="A4" t="s">
        <v>54</v>
      </c>
      <c r="B4">
        <v>1.46</v>
      </c>
      <c r="C4">
        <v>1.43</v>
      </c>
      <c r="D4">
        <v>1.41</v>
      </c>
      <c r="E4">
        <v>1.41</v>
      </c>
      <c r="F4">
        <v>1.4</v>
      </c>
      <c r="G4">
        <v>1.4</v>
      </c>
    </row>
    <row r="5" spans="1:7" x14ac:dyDescent="0.3">
      <c r="A5" t="s">
        <v>55</v>
      </c>
      <c r="B5">
        <v>0.72</v>
      </c>
      <c r="C5">
        <v>0.71</v>
      </c>
      <c r="D5">
        <v>0.7</v>
      </c>
      <c r="E5">
        <v>0.7</v>
      </c>
      <c r="F5">
        <v>0.69</v>
      </c>
      <c r="G5">
        <v>0.69</v>
      </c>
    </row>
    <row r="6" spans="1:7" x14ac:dyDescent="0.3">
      <c r="A6" t="s">
        <v>56</v>
      </c>
      <c r="B6">
        <v>0.71</v>
      </c>
      <c r="C6">
        <v>0.7</v>
      </c>
      <c r="D6">
        <v>0.69</v>
      </c>
      <c r="E6">
        <v>0.69</v>
      </c>
      <c r="F6">
        <v>0.69</v>
      </c>
      <c r="G6">
        <v>0.69</v>
      </c>
    </row>
    <row r="7" spans="1:7" x14ac:dyDescent="0.3">
      <c r="A7" t="s">
        <v>57</v>
      </c>
      <c r="B7">
        <v>26.5</v>
      </c>
      <c r="C7">
        <v>26.7</v>
      </c>
      <c r="D7">
        <v>26.8</v>
      </c>
      <c r="E7">
        <v>26.9</v>
      </c>
      <c r="F7">
        <v>27</v>
      </c>
      <c r="G7">
        <v>27.1</v>
      </c>
    </row>
    <row r="8" spans="1:7" x14ac:dyDescent="0.3">
      <c r="A8" t="s">
        <v>58</v>
      </c>
      <c r="B8">
        <v>0.21</v>
      </c>
      <c r="C8">
        <v>0.2</v>
      </c>
      <c r="D8">
        <v>0.2</v>
      </c>
      <c r="E8">
        <v>0.2</v>
      </c>
      <c r="F8">
        <v>0.19</v>
      </c>
      <c r="G8">
        <v>0.19</v>
      </c>
    </row>
    <row r="9" spans="1:7" x14ac:dyDescent="0.3">
      <c r="A9" t="s">
        <v>59</v>
      </c>
    </row>
    <row r="10" spans="1:7" x14ac:dyDescent="0.3">
      <c r="A10" t="s">
        <v>60</v>
      </c>
      <c r="B10">
        <v>72.2</v>
      </c>
      <c r="C10">
        <v>73.900000000000006</v>
      </c>
      <c r="D10">
        <v>75.599999999999994</v>
      </c>
      <c r="E10">
        <v>77</v>
      </c>
      <c r="F10">
        <v>78.400000000000006</v>
      </c>
      <c r="G10">
        <v>80</v>
      </c>
    </row>
    <row r="11" spans="1:7" x14ac:dyDescent="0.3">
      <c r="A11" t="s">
        <v>61</v>
      </c>
      <c r="B11">
        <v>77.8</v>
      </c>
      <c r="C11">
        <v>79.900000000000006</v>
      </c>
      <c r="D11">
        <v>81.5</v>
      </c>
      <c r="E11">
        <v>83</v>
      </c>
      <c r="F11">
        <v>84.4</v>
      </c>
      <c r="G11">
        <v>85.6</v>
      </c>
    </row>
    <row r="12" spans="1:7" x14ac:dyDescent="0.3">
      <c r="A12" t="s">
        <v>62</v>
      </c>
      <c r="B12">
        <v>75.099999999999994</v>
      </c>
      <c r="C12">
        <v>77</v>
      </c>
      <c r="D12">
        <v>78.7</v>
      </c>
      <c r="E12">
        <v>80.099999999999994</v>
      </c>
      <c r="F12">
        <v>81.599999999999994</v>
      </c>
      <c r="G12">
        <v>82.9</v>
      </c>
    </row>
    <row r="13" spans="1:7" x14ac:dyDescent="0.3">
      <c r="A13" t="s">
        <v>63</v>
      </c>
      <c r="B13">
        <v>16.399999999999999</v>
      </c>
      <c r="C13">
        <v>12.8</v>
      </c>
      <c r="D13">
        <v>10.199999999999999</v>
      </c>
      <c r="E13">
        <v>8.6999999999999993</v>
      </c>
      <c r="F13">
        <v>7.4</v>
      </c>
      <c r="G13">
        <v>6.2</v>
      </c>
    </row>
    <row r="14" spans="1:7" x14ac:dyDescent="0.3">
      <c r="A14" t="s">
        <v>64</v>
      </c>
      <c r="B14">
        <v>19.100000000000001</v>
      </c>
      <c r="C14">
        <v>14.7</v>
      </c>
      <c r="D14">
        <v>11.7</v>
      </c>
      <c r="E14">
        <v>10</v>
      </c>
      <c r="F14">
        <v>8.5</v>
      </c>
      <c r="G14">
        <v>7.1</v>
      </c>
    </row>
    <row r="15" spans="1:7" x14ac:dyDescent="0.3">
      <c r="A15" t="s">
        <v>108</v>
      </c>
    </row>
    <row r="16" spans="1:7" x14ac:dyDescent="0.3">
      <c r="A16" t="s">
        <v>74</v>
      </c>
      <c r="B16">
        <v>1807</v>
      </c>
      <c r="C16">
        <v>2176</v>
      </c>
      <c r="D16">
        <v>2545</v>
      </c>
      <c r="E16">
        <v>2914</v>
      </c>
      <c r="F16">
        <v>3283</v>
      </c>
      <c r="G16">
        <v>3652</v>
      </c>
    </row>
    <row r="17" spans="1:7" x14ac:dyDescent="0.3">
      <c r="A17" t="s">
        <v>75</v>
      </c>
      <c r="B17">
        <v>1488</v>
      </c>
      <c r="C17">
        <v>1807</v>
      </c>
      <c r="D17">
        <v>2127</v>
      </c>
      <c r="E17">
        <v>2446</v>
      </c>
      <c r="F17">
        <v>2765</v>
      </c>
      <c r="G17">
        <v>3085</v>
      </c>
    </row>
    <row r="18" spans="1:7" x14ac:dyDescent="0.3">
      <c r="A18" t="s">
        <v>73</v>
      </c>
      <c r="B18">
        <v>3295</v>
      </c>
      <c r="C18">
        <v>3983</v>
      </c>
      <c r="D18">
        <v>4672</v>
      </c>
      <c r="E18">
        <v>5360</v>
      </c>
      <c r="F18">
        <v>6048</v>
      </c>
      <c r="G18">
        <v>6737</v>
      </c>
    </row>
    <row r="19" spans="1:7" x14ac:dyDescent="0.3">
      <c r="A19" t="s">
        <v>65</v>
      </c>
    </row>
    <row r="20" spans="1:7" x14ac:dyDescent="0.3">
      <c r="A20" t="s">
        <v>66</v>
      </c>
      <c r="B20">
        <v>10.7</v>
      </c>
      <c r="C20">
        <v>10</v>
      </c>
      <c r="D20">
        <v>9.4</v>
      </c>
      <c r="E20">
        <v>8.9</v>
      </c>
      <c r="F20">
        <v>8.1999999999999993</v>
      </c>
      <c r="G20">
        <v>7.6</v>
      </c>
    </row>
    <row r="21" spans="1:7" x14ac:dyDescent="0.3">
      <c r="A21" t="s">
        <v>67</v>
      </c>
      <c r="B21">
        <v>8.9</v>
      </c>
      <c r="C21">
        <v>9</v>
      </c>
      <c r="D21">
        <v>9.1999999999999993</v>
      </c>
      <c r="E21">
        <v>9.6</v>
      </c>
      <c r="F21">
        <v>10.1</v>
      </c>
      <c r="G21">
        <v>10.6</v>
      </c>
    </row>
    <row r="22" spans="1:7" x14ac:dyDescent="0.3">
      <c r="A22" t="s">
        <v>130</v>
      </c>
      <c r="B22">
        <v>0.18</v>
      </c>
      <c r="C22">
        <v>0.1</v>
      </c>
      <c r="D22">
        <v>0.02</v>
      </c>
      <c r="E22">
        <v>-0.06</v>
      </c>
      <c r="F22">
        <v>-0.19</v>
      </c>
      <c r="G22">
        <v>-0.28999999999999998</v>
      </c>
    </row>
    <row r="23" spans="1:7" x14ac:dyDescent="0.3">
      <c r="A23" t="s">
        <v>69</v>
      </c>
    </row>
    <row r="24" spans="1:7" x14ac:dyDescent="0.3">
      <c r="A24" t="s">
        <v>70</v>
      </c>
      <c r="B24">
        <v>0.38</v>
      </c>
      <c r="C24">
        <v>0.36</v>
      </c>
      <c r="D24">
        <v>0.34</v>
      </c>
      <c r="E24">
        <v>0.32</v>
      </c>
      <c r="F24">
        <v>0.28999999999999998</v>
      </c>
      <c r="G24">
        <v>0.27</v>
      </c>
    </row>
    <row r="25" spans="1:7" x14ac:dyDescent="0.3">
      <c r="A25" t="s">
        <v>71</v>
      </c>
      <c r="B25">
        <v>0.32</v>
      </c>
      <c r="C25">
        <v>0.32</v>
      </c>
      <c r="D25">
        <v>0.33</v>
      </c>
      <c r="E25">
        <v>0.35</v>
      </c>
      <c r="F25">
        <v>0.36</v>
      </c>
      <c r="G25">
        <v>0.38</v>
      </c>
    </row>
    <row r="26" spans="1:7" x14ac:dyDescent="0.3">
      <c r="A26" t="s">
        <v>72</v>
      </c>
    </row>
    <row r="27" spans="1:7" x14ac:dyDescent="0.3">
      <c r="A27" t="s">
        <v>73</v>
      </c>
      <c r="B27">
        <v>35.799999999999997</v>
      </c>
      <c r="C27">
        <v>36.1</v>
      </c>
      <c r="D27">
        <v>36.1</v>
      </c>
      <c r="E27">
        <v>36.200000000000003</v>
      </c>
      <c r="F27">
        <v>35.9</v>
      </c>
      <c r="G27">
        <v>35.5</v>
      </c>
    </row>
    <row r="28" spans="1:7" x14ac:dyDescent="0.3">
      <c r="A28" t="s">
        <v>74</v>
      </c>
      <c r="B28">
        <v>17.100000000000001</v>
      </c>
      <c r="C28">
        <v>17.2</v>
      </c>
      <c r="D28">
        <v>17.2</v>
      </c>
      <c r="E28">
        <v>17.2</v>
      </c>
      <c r="F28">
        <v>17.100000000000001</v>
      </c>
      <c r="G28">
        <v>16.899999999999999</v>
      </c>
    </row>
    <row r="29" spans="1:7" x14ac:dyDescent="0.3">
      <c r="A29" t="s">
        <v>75</v>
      </c>
      <c r="B29">
        <v>18.7</v>
      </c>
      <c r="C29">
        <v>18.899999999999999</v>
      </c>
      <c r="D29">
        <v>18.899999999999999</v>
      </c>
      <c r="E29">
        <v>19</v>
      </c>
      <c r="F29">
        <v>18.8</v>
      </c>
      <c r="G29">
        <v>18.600000000000001</v>
      </c>
    </row>
    <row r="30" spans="1:7" x14ac:dyDescent="0.3">
      <c r="A30" t="s">
        <v>76</v>
      </c>
      <c r="B30">
        <v>5.3</v>
      </c>
      <c r="C30">
        <v>5.0999999999999996</v>
      </c>
      <c r="D30">
        <v>4.8</v>
      </c>
      <c r="E30">
        <v>4.5</v>
      </c>
      <c r="F30">
        <v>4.2</v>
      </c>
      <c r="G30">
        <v>3.9</v>
      </c>
    </row>
    <row r="31" spans="1:7" x14ac:dyDescent="0.3">
      <c r="A31" t="s">
        <v>77</v>
      </c>
      <c r="B31">
        <v>12.6</v>
      </c>
      <c r="C31">
        <v>11.1</v>
      </c>
      <c r="D31">
        <v>10.3</v>
      </c>
      <c r="E31">
        <v>9.8000000000000007</v>
      </c>
      <c r="F31">
        <v>9.4</v>
      </c>
      <c r="G31">
        <v>8.9</v>
      </c>
    </row>
    <row r="32" spans="1:7" x14ac:dyDescent="0.3">
      <c r="A32" t="s">
        <v>78</v>
      </c>
      <c r="B32">
        <v>13.9</v>
      </c>
      <c r="C32">
        <v>13.4</v>
      </c>
      <c r="D32">
        <v>12.4</v>
      </c>
      <c r="E32">
        <v>11</v>
      </c>
      <c r="F32">
        <v>10.4</v>
      </c>
      <c r="G32">
        <v>10</v>
      </c>
    </row>
    <row r="33" spans="1:7" x14ac:dyDescent="0.3">
      <c r="A33" t="s">
        <v>79</v>
      </c>
      <c r="B33">
        <v>50.3</v>
      </c>
      <c r="C33">
        <v>49.7</v>
      </c>
      <c r="D33">
        <v>48.2</v>
      </c>
      <c r="E33">
        <v>46.2</v>
      </c>
      <c r="F33">
        <v>44.3</v>
      </c>
      <c r="G33">
        <v>41.9</v>
      </c>
    </row>
    <row r="34" spans="1:7" x14ac:dyDescent="0.3">
      <c r="A34" t="s">
        <v>80</v>
      </c>
      <c r="B34">
        <v>63.5</v>
      </c>
      <c r="C34">
        <v>63</v>
      </c>
      <c r="D34">
        <v>61.5</v>
      </c>
      <c r="E34">
        <v>60.1</v>
      </c>
      <c r="F34">
        <v>58.4</v>
      </c>
      <c r="G34">
        <v>56.6</v>
      </c>
    </row>
    <row r="35" spans="1:7" x14ac:dyDescent="0.3">
      <c r="A35" t="s">
        <v>81</v>
      </c>
      <c r="B35">
        <v>18.600000000000001</v>
      </c>
      <c r="C35">
        <v>20.9</v>
      </c>
      <c r="D35">
        <v>23.5</v>
      </c>
      <c r="E35">
        <v>25.6</v>
      </c>
      <c r="F35">
        <v>28</v>
      </c>
      <c r="G35">
        <v>30.6</v>
      </c>
    </row>
    <row r="36" spans="1:7" x14ac:dyDescent="0.3">
      <c r="A36" t="s">
        <v>82</v>
      </c>
      <c r="B36">
        <v>49</v>
      </c>
      <c r="C36">
        <v>47.8</v>
      </c>
      <c r="D36">
        <v>45.7</v>
      </c>
      <c r="E36">
        <v>43.6</v>
      </c>
      <c r="F36">
        <v>41.9</v>
      </c>
      <c r="G36">
        <v>39.6</v>
      </c>
    </row>
    <row r="37" spans="1:7" x14ac:dyDescent="0.3">
      <c r="A37" t="s">
        <v>83</v>
      </c>
      <c r="B37">
        <v>91.6</v>
      </c>
      <c r="C37">
        <v>91.3</v>
      </c>
      <c r="D37">
        <v>90.9</v>
      </c>
      <c r="E37">
        <v>90.7</v>
      </c>
      <c r="F37">
        <v>90.7</v>
      </c>
      <c r="G37">
        <v>90.9</v>
      </c>
    </row>
    <row r="38" spans="1:7" x14ac:dyDescent="0.3">
      <c r="A38" t="s">
        <v>84</v>
      </c>
      <c r="B38">
        <v>55.7</v>
      </c>
      <c r="C38">
        <v>57.4</v>
      </c>
      <c r="D38">
        <v>58.8</v>
      </c>
      <c r="E38">
        <v>62.6</v>
      </c>
      <c r="F38">
        <v>66.400000000000006</v>
      </c>
      <c r="G38">
        <v>71.2</v>
      </c>
    </row>
    <row r="39" spans="1:7" x14ac:dyDescent="0.3">
      <c r="A39" t="s">
        <v>85</v>
      </c>
      <c r="B39">
        <v>37</v>
      </c>
      <c r="C39">
        <v>39</v>
      </c>
      <c r="D39">
        <v>41</v>
      </c>
      <c r="E39">
        <v>43</v>
      </c>
      <c r="F39">
        <v>45</v>
      </c>
      <c r="G39">
        <v>47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S21"/>
  <sheetViews>
    <sheetView workbookViewId="0">
      <selection activeCell="C25" sqref="C25"/>
    </sheetView>
  </sheetViews>
  <sheetFormatPr defaultRowHeight="14.4" x14ac:dyDescent="0.3"/>
  <sheetData>
    <row r="1" spans="1:19" x14ac:dyDescent="0.3">
      <c r="A1" s="2" t="s">
        <v>132</v>
      </c>
      <c r="B1" s="1"/>
      <c r="C1" s="1"/>
      <c r="D1" s="1"/>
      <c r="E1" s="1"/>
      <c r="F1" s="1"/>
      <c r="G1" s="1"/>
      <c r="H1" s="1"/>
      <c r="I1" s="1"/>
      <c r="J1" s="1"/>
    </row>
    <row r="2" spans="1:19" x14ac:dyDescent="0.3">
      <c r="A2" t="s">
        <v>93</v>
      </c>
      <c r="B2" s="34">
        <v>2026</v>
      </c>
      <c r="C2" s="34"/>
      <c r="D2" s="34"/>
      <c r="E2" s="34">
        <v>2031</v>
      </c>
      <c r="F2" s="34"/>
      <c r="G2" s="34"/>
      <c r="H2" s="34">
        <v>2036</v>
      </c>
      <c r="I2" s="34"/>
      <c r="J2" s="34"/>
      <c r="K2" s="37">
        <v>2041</v>
      </c>
      <c r="L2" s="37"/>
      <c r="M2" s="37"/>
      <c r="N2" s="37">
        <v>2046</v>
      </c>
      <c r="O2" s="37"/>
      <c r="P2" s="37"/>
      <c r="Q2" s="37">
        <v>2051</v>
      </c>
      <c r="R2" s="37"/>
      <c r="S2" s="37"/>
    </row>
    <row r="3" spans="1:19" x14ac:dyDescent="0.3">
      <c r="B3" t="s">
        <v>16</v>
      </c>
      <c r="C3" t="s">
        <v>46</v>
      </c>
      <c r="D3" t="s">
        <v>91</v>
      </c>
      <c r="E3" t="s">
        <v>16</v>
      </c>
      <c r="F3" t="s">
        <v>46</v>
      </c>
      <c r="G3" t="s">
        <v>91</v>
      </c>
      <c r="H3" t="s">
        <v>16</v>
      </c>
      <c r="I3" t="s">
        <v>46</v>
      </c>
      <c r="J3" t="s">
        <v>91</v>
      </c>
      <c r="K3" t="s">
        <v>16</v>
      </c>
      <c r="L3" t="s">
        <v>46</v>
      </c>
      <c r="M3" t="s">
        <v>91</v>
      </c>
      <c r="N3" t="s">
        <v>16</v>
      </c>
      <c r="O3" t="s">
        <v>46</v>
      </c>
      <c r="P3" t="s">
        <v>91</v>
      </c>
      <c r="Q3" t="s">
        <v>16</v>
      </c>
      <c r="R3" t="s">
        <v>46</v>
      </c>
      <c r="S3" t="s">
        <v>91</v>
      </c>
    </row>
    <row r="4" spans="1:19" x14ac:dyDescent="0.3">
      <c r="A4" t="s">
        <v>94</v>
      </c>
      <c r="B4">
        <v>5.62</v>
      </c>
      <c r="C4">
        <v>5.08</v>
      </c>
      <c r="D4">
        <v>5.34</v>
      </c>
      <c r="E4">
        <v>5.33</v>
      </c>
      <c r="F4">
        <v>4.79</v>
      </c>
      <c r="G4">
        <v>5.05</v>
      </c>
      <c r="H4">
        <v>5.05</v>
      </c>
      <c r="I4">
        <v>4.51</v>
      </c>
      <c r="J4">
        <v>4.7699999999999996</v>
      </c>
      <c r="K4">
        <v>4.8</v>
      </c>
      <c r="L4">
        <v>4.28</v>
      </c>
      <c r="M4">
        <v>4.53</v>
      </c>
      <c r="N4">
        <v>4.4800000000000004</v>
      </c>
      <c r="O4">
        <v>3.99</v>
      </c>
      <c r="P4">
        <v>4.22</v>
      </c>
      <c r="Q4">
        <v>4.1500000000000004</v>
      </c>
      <c r="R4">
        <v>3.71</v>
      </c>
      <c r="S4">
        <v>3.92</v>
      </c>
    </row>
    <row r="5" spans="1:19" x14ac:dyDescent="0.3">
      <c r="A5" t="s">
        <v>95</v>
      </c>
      <c r="B5">
        <v>6.14</v>
      </c>
      <c r="C5">
        <v>5.57</v>
      </c>
      <c r="D5">
        <v>5.84</v>
      </c>
      <c r="E5">
        <v>5.57</v>
      </c>
      <c r="F5">
        <v>5.03</v>
      </c>
      <c r="G5">
        <v>5.29</v>
      </c>
      <c r="H5">
        <v>5.31</v>
      </c>
      <c r="I5">
        <v>4.76</v>
      </c>
      <c r="J5">
        <v>5.0199999999999996</v>
      </c>
      <c r="K5">
        <v>5.05</v>
      </c>
      <c r="L5">
        <v>4.51</v>
      </c>
      <c r="M5">
        <v>4.7699999999999996</v>
      </c>
      <c r="N5">
        <v>4.83</v>
      </c>
      <c r="O5">
        <v>4.3</v>
      </c>
      <c r="P5">
        <v>4.55</v>
      </c>
      <c r="Q5">
        <v>4.5199999999999996</v>
      </c>
      <c r="R5">
        <v>4.04</v>
      </c>
      <c r="S5">
        <v>4.2699999999999996</v>
      </c>
    </row>
    <row r="6" spans="1:19" x14ac:dyDescent="0.3">
      <c r="A6" t="s">
        <v>96</v>
      </c>
      <c r="B6">
        <v>7.08</v>
      </c>
      <c r="C6">
        <v>6.42</v>
      </c>
      <c r="D6">
        <v>6.74</v>
      </c>
      <c r="E6">
        <v>6.1</v>
      </c>
      <c r="F6">
        <v>5.51</v>
      </c>
      <c r="G6">
        <v>5.79</v>
      </c>
      <c r="H6">
        <v>5.56</v>
      </c>
      <c r="I6">
        <v>5</v>
      </c>
      <c r="J6">
        <v>5.27</v>
      </c>
      <c r="K6">
        <v>5.32</v>
      </c>
      <c r="L6">
        <v>4.76</v>
      </c>
      <c r="M6">
        <v>5.0199999999999996</v>
      </c>
      <c r="N6">
        <v>5.08</v>
      </c>
      <c r="O6">
        <v>4.53</v>
      </c>
      <c r="P6">
        <v>4.79</v>
      </c>
      <c r="Q6">
        <v>4.88</v>
      </c>
      <c r="R6">
        <v>4.3600000000000003</v>
      </c>
      <c r="S6">
        <v>4.6100000000000003</v>
      </c>
    </row>
    <row r="7" spans="1:19" x14ac:dyDescent="0.3">
      <c r="A7" t="s">
        <v>35</v>
      </c>
      <c r="B7">
        <v>7.24</v>
      </c>
      <c r="C7">
        <v>6.43</v>
      </c>
      <c r="D7">
        <v>6.82</v>
      </c>
      <c r="E7">
        <v>7.03</v>
      </c>
      <c r="F7">
        <v>6.35</v>
      </c>
      <c r="G7">
        <v>6.68</v>
      </c>
      <c r="H7">
        <v>6.08</v>
      </c>
      <c r="I7">
        <v>5.48</v>
      </c>
      <c r="J7">
        <v>5.77</v>
      </c>
      <c r="K7">
        <v>5.57</v>
      </c>
      <c r="L7">
        <v>5</v>
      </c>
      <c r="M7">
        <v>5.27</v>
      </c>
      <c r="N7">
        <v>5.35</v>
      </c>
      <c r="O7">
        <v>4.78</v>
      </c>
      <c r="P7">
        <v>5.05</v>
      </c>
      <c r="Q7">
        <v>5.13</v>
      </c>
      <c r="R7">
        <v>4.59</v>
      </c>
      <c r="S7">
        <v>4.8499999999999996</v>
      </c>
    </row>
    <row r="8" spans="1:19" x14ac:dyDescent="0.3">
      <c r="A8" t="s">
        <v>36</v>
      </c>
      <c r="B8">
        <v>7.56</v>
      </c>
      <c r="C8">
        <v>6.68</v>
      </c>
      <c r="D8">
        <v>7.1</v>
      </c>
      <c r="E8">
        <v>7.18</v>
      </c>
      <c r="F8">
        <v>6.37</v>
      </c>
      <c r="G8">
        <v>6.76</v>
      </c>
      <c r="H8">
        <v>7.01</v>
      </c>
      <c r="I8">
        <v>6.32</v>
      </c>
      <c r="J8">
        <v>6.65</v>
      </c>
      <c r="K8">
        <v>6.08</v>
      </c>
      <c r="L8">
        <v>5.48</v>
      </c>
      <c r="M8">
        <v>5.77</v>
      </c>
      <c r="N8">
        <v>5.6</v>
      </c>
      <c r="O8">
        <v>5.03</v>
      </c>
      <c r="P8">
        <v>5.3</v>
      </c>
      <c r="Q8">
        <v>5.4</v>
      </c>
      <c r="R8">
        <v>4.8499999999999996</v>
      </c>
      <c r="S8">
        <v>5.1100000000000003</v>
      </c>
    </row>
    <row r="9" spans="1:19" x14ac:dyDescent="0.3">
      <c r="A9" t="s">
        <v>37</v>
      </c>
      <c r="B9">
        <v>8.33</v>
      </c>
      <c r="C9">
        <v>7.38</v>
      </c>
      <c r="D9">
        <v>7.84</v>
      </c>
      <c r="E9">
        <v>7.5</v>
      </c>
      <c r="F9">
        <v>6.61</v>
      </c>
      <c r="G9">
        <v>7.04</v>
      </c>
      <c r="H9">
        <v>7.16</v>
      </c>
      <c r="I9">
        <v>6.33</v>
      </c>
      <c r="J9">
        <v>6.73</v>
      </c>
      <c r="K9">
        <v>7.02</v>
      </c>
      <c r="L9">
        <v>6.32</v>
      </c>
      <c r="M9">
        <v>6.65</v>
      </c>
      <c r="N9">
        <v>6.12</v>
      </c>
      <c r="O9">
        <v>5.52</v>
      </c>
      <c r="P9">
        <v>5.8</v>
      </c>
      <c r="Q9">
        <v>5.66</v>
      </c>
      <c r="R9">
        <v>5.0999999999999996</v>
      </c>
      <c r="S9">
        <v>5.37</v>
      </c>
    </row>
    <row r="10" spans="1:19" x14ac:dyDescent="0.3">
      <c r="A10" t="s">
        <v>38</v>
      </c>
      <c r="B10">
        <v>7.68</v>
      </c>
      <c r="C10">
        <v>6.83</v>
      </c>
      <c r="D10">
        <v>7.24</v>
      </c>
      <c r="E10">
        <v>8.26</v>
      </c>
      <c r="F10">
        <v>7.3</v>
      </c>
      <c r="G10">
        <v>7.76</v>
      </c>
      <c r="H10">
        <v>7.47</v>
      </c>
      <c r="I10">
        <v>6.57</v>
      </c>
      <c r="J10">
        <v>7</v>
      </c>
      <c r="K10">
        <v>7.17</v>
      </c>
      <c r="L10">
        <v>6.32</v>
      </c>
      <c r="M10">
        <v>6.72</v>
      </c>
      <c r="N10">
        <v>7.05</v>
      </c>
      <c r="O10">
        <v>6.35</v>
      </c>
      <c r="P10">
        <v>6.69</v>
      </c>
      <c r="Q10">
        <v>6.19</v>
      </c>
      <c r="R10">
        <v>5.59</v>
      </c>
      <c r="S10">
        <v>5.87</v>
      </c>
    </row>
    <row r="11" spans="1:19" x14ac:dyDescent="0.3">
      <c r="A11" t="s">
        <v>39</v>
      </c>
      <c r="B11">
        <v>7.49</v>
      </c>
      <c r="C11">
        <v>7.26</v>
      </c>
      <c r="D11">
        <v>7.37</v>
      </c>
      <c r="E11">
        <v>7.6</v>
      </c>
      <c r="F11">
        <v>6.75</v>
      </c>
      <c r="G11">
        <v>7.16</v>
      </c>
      <c r="H11">
        <v>8.2200000000000006</v>
      </c>
      <c r="I11">
        <v>7.24</v>
      </c>
      <c r="J11">
        <v>7.71</v>
      </c>
      <c r="K11">
        <v>7.47</v>
      </c>
      <c r="L11">
        <v>6.56</v>
      </c>
      <c r="M11">
        <v>6.99</v>
      </c>
      <c r="N11">
        <v>7.2</v>
      </c>
      <c r="O11">
        <v>6.35</v>
      </c>
      <c r="P11">
        <v>6.76</v>
      </c>
      <c r="Q11">
        <v>7.12</v>
      </c>
      <c r="R11">
        <v>6.43</v>
      </c>
      <c r="S11">
        <v>6.76</v>
      </c>
    </row>
    <row r="12" spans="1:19" x14ac:dyDescent="0.3">
      <c r="A12" t="s">
        <v>40</v>
      </c>
      <c r="B12">
        <v>6.91</v>
      </c>
      <c r="C12">
        <v>7.41</v>
      </c>
      <c r="D12">
        <v>7.17</v>
      </c>
      <c r="E12">
        <v>7.4</v>
      </c>
      <c r="F12">
        <v>7.16</v>
      </c>
      <c r="G12">
        <v>7.28</v>
      </c>
      <c r="H12">
        <v>7.56</v>
      </c>
      <c r="I12">
        <v>6.69</v>
      </c>
      <c r="J12">
        <v>7.1</v>
      </c>
      <c r="K12">
        <v>8.2100000000000009</v>
      </c>
      <c r="L12">
        <v>7.22</v>
      </c>
      <c r="M12">
        <v>7.69</v>
      </c>
      <c r="N12">
        <v>7.49</v>
      </c>
      <c r="O12">
        <v>6.58</v>
      </c>
      <c r="P12">
        <v>7.02</v>
      </c>
      <c r="Q12">
        <v>7.26</v>
      </c>
      <c r="R12">
        <v>6.43</v>
      </c>
      <c r="S12">
        <v>6.82</v>
      </c>
    </row>
    <row r="13" spans="1:19" x14ac:dyDescent="0.3">
      <c r="A13" t="s">
        <v>41</v>
      </c>
      <c r="B13">
        <v>6.41</v>
      </c>
      <c r="C13">
        <v>6.98</v>
      </c>
      <c r="D13">
        <v>6.71</v>
      </c>
      <c r="E13">
        <v>6.8</v>
      </c>
      <c r="F13">
        <v>7.29</v>
      </c>
      <c r="G13">
        <v>7.05</v>
      </c>
      <c r="H13">
        <v>7.32</v>
      </c>
      <c r="I13">
        <v>7.08</v>
      </c>
      <c r="J13">
        <v>7.2</v>
      </c>
      <c r="K13">
        <v>7.51</v>
      </c>
      <c r="L13">
        <v>6.66</v>
      </c>
      <c r="M13">
        <v>7.06</v>
      </c>
      <c r="N13">
        <v>8.1999999999999993</v>
      </c>
      <c r="O13">
        <v>7.24</v>
      </c>
      <c r="P13">
        <v>7.7</v>
      </c>
      <c r="Q13">
        <v>7.54</v>
      </c>
      <c r="R13">
        <v>6.65</v>
      </c>
      <c r="S13">
        <v>7.07</v>
      </c>
    </row>
    <row r="14" spans="1:19" x14ac:dyDescent="0.3">
      <c r="A14" t="s">
        <v>97</v>
      </c>
      <c r="B14">
        <v>6.48</v>
      </c>
      <c r="C14">
        <v>7.38</v>
      </c>
      <c r="D14">
        <v>6.95</v>
      </c>
      <c r="E14">
        <v>6.25</v>
      </c>
      <c r="F14">
        <v>6.84</v>
      </c>
      <c r="G14">
        <v>6.56</v>
      </c>
      <c r="H14">
        <v>6.68</v>
      </c>
      <c r="I14">
        <v>7.18</v>
      </c>
      <c r="J14">
        <v>6.94</v>
      </c>
      <c r="K14">
        <v>7.24</v>
      </c>
      <c r="L14">
        <v>7.03</v>
      </c>
      <c r="M14">
        <v>7.13</v>
      </c>
      <c r="N14">
        <v>7.47</v>
      </c>
      <c r="O14">
        <v>6.66</v>
      </c>
      <c r="P14">
        <v>7.05</v>
      </c>
      <c r="Q14">
        <v>8.2100000000000009</v>
      </c>
      <c r="R14">
        <v>7.3</v>
      </c>
      <c r="S14">
        <v>7.73</v>
      </c>
    </row>
    <row r="15" spans="1:19" x14ac:dyDescent="0.3">
      <c r="A15" t="s">
        <v>98</v>
      </c>
      <c r="B15">
        <v>6.02</v>
      </c>
      <c r="C15">
        <v>6.63</v>
      </c>
      <c r="D15">
        <v>6.34</v>
      </c>
      <c r="E15">
        <v>6.21</v>
      </c>
      <c r="F15">
        <v>7.18</v>
      </c>
      <c r="G15">
        <v>6.72</v>
      </c>
      <c r="H15">
        <v>6.05</v>
      </c>
      <c r="I15">
        <v>6.7</v>
      </c>
      <c r="J15">
        <v>6.39</v>
      </c>
      <c r="K15">
        <v>6.51</v>
      </c>
      <c r="L15">
        <v>7.09</v>
      </c>
      <c r="M15">
        <v>6.82</v>
      </c>
      <c r="N15">
        <v>7.12</v>
      </c>
      <c r="O15">
        <v>7</v>
      </c>
      <c r="P15">
        <v>7.06</v>
      </c>
      <c r="Q15">
        <v>7.41</v>
      </c>
      <c r="R15">
        <v>6.69</v>
      </c>
      <c r="S15">
        <v>7.03</v>
      </c>
    </row>
    <row r="16" spans="1:19" x14ac:dyDescent="0.3">
      <c r="A16" t="s">
        <v>99</v>
      </c>
      <c r="B16">
        <v>5.63</v>
      </c>
      <c r="C16">
        <v>6.19</v>
      </c>
      <c r="D16">
        <v>5.93</v>
      </c>
      <c r="E16">
        <v>5.63</v>
      </c>
      <c r="F16">
        <v>6.38</v>
      </c>
      <c r="G16">
        <v>6.02</v>
      </c>
      <c r="H16">
        <v>5.88</v>
      </c>
      <c r="I16">
        <v>6.97</v>
      </c>
      <c r="J16">
        <v>6.45</v>
      </c>
      <c r="K16">
        <v>5.79</v>
      </c>
      <c r="L16">
        <v>6.57</v>
      </c>
      <c r="M16">
        <v>6.2</v>
      </c>
      <c r="N16">
        <v>6.3</v>
      </c>
      <c r="O16">
        <v>7.02</v>
      </c>
      <c r="P16">
        <v>6.68</v>
      </c>
      <c r="Q16">
        <v>6.96</v>
      </c>
      <c r="R16">
        <v>7</v>
      </c>
      <c r="S16">
        <v>6.98</v>
      </c>
    </row>
    <row r="17" spans="1:19" x14ac:dyDescent="0.3">
      <c r="A17" t="s">
        <v>100</v>
      </c>
      <c r="B17">
        <v>4.33</v>
      </c>
      <c r="C17">
        <v>4.74</v>
      </c>
      <c r="D17">
        <v>4.55</v>
      </c>
      <c r="E17">
        <v>5.0599999999999996</v>
      </c>
      <c r="F17">
        <v>5.84</v>
      </c>
      <c r="G17">
        <v>5.46</v>
      </c>
      <c r="H17">
        <v>5.13</v>
      </c>
      <c r="I17">
        <v>6.09</v>
      </c>
      <c r="J17">
        <v>5.64</v>
      </c>
      <c r="K17">
        <v>5.44</v>
      </c>
      <c r="L17">
        <v>6.74</v>
      </c>
      <c r="M17">
        <v>6.12</v>
      </c>
      <c r="N17">
        <v>5.44</v>
      </c>
      <c r="O17">
        <v>6.42</v>
      </c>
      <c r="P17">
        <v>5.96</v>
      </c>
      <c r="Q17">
        <v>6.02</v>
      </c>
      <c r="R17">
        <v>6.95</v>
      </c>
      <c r="S17">
        <v>6.51</v>
      </c>
    </row>
    <row r="18" spans="1:19" x14ac:dyDescent="0.3">
      <c r="A18" t="s">
        <v>101</v>
      </c>
      <c r="B18">
        <v>3.46</v>
      </c>
      <c r="C18">
        <v>3.84</v>
      </c>
      <c r="D18">
        <v>3.66</v>
      </c>
      <c r="E18">
        <v>3.63</v>
      </c>
      <c r="F18">
        <v>4.29</v>
      </c>
      <c r="G18">
        <v>3.98</v>
      </c>
      <c r="H18">
        <v>4.33</v>
      </c>
      <c r="I18">
        <v>5.38</v>
      </c>
      <c r="J18">
        <v>4.88</v>
      </c>
      <c r="K18">
        <v>4.49</v>
      </c>
      <c r="L18">
        <v>5.71</v>
      </c>
      <c r="M18">
        <v>5.13</v>
      </c>
      <c r="N18">
        <v>4.87</v>
      </c>
      <c r="O18">
        <v>6.42</v>
      </c>
      <c r="P18">
        <v>5.68</v>
      </c>
      <c r="Q18">
        <v>4.97</v>
      </c>
      <c r="R18">
        <v>6.21</v>
      </c>
      <c r="S18">
        <v>5.62</v>
      </c>
    </row>
    <row r="19" spans="1:19" x14ac:dyDescent="0.3">
      <c r="A19" t="s">
        <v>102</v>
      </c>
      <c r="B19">
        <v>2.1800000000000002</v>
      </c>
      <c r="C19">
        <v>2.72</v>
      </c>
      <c r="D19">
        <v>2.46</v>
      </c>
      <c r="E19">
        <v>2.6</v>
      </c>
      <c r="F19">
        <v>3.23</v>
      </c>
      <c r="G19">
        <v>2.92</v>
      </c>
      <c r="H19">
        <v>2.81</v>
      </c>
      <c r="I19">
        <v>3.72</v>
      </c>
      <c r="J19">
        <v>3.28</v>
      </c>
      <c r="K19">
        <v>3.46</v>
      </c>
      <c r="L19">
        <v>4.78</v>
      </c>
      <c r="M19">
        <v>4.1500000000000004</v>
      </c>
      <c r="N19">
        <v>3.7</v>
      </c>
      <c r="O19">
        <v>5.18</v>
      </c>
      <c r="P19">
        <v>4.4800000000000004</v>
      </c>
      <c r="Q19">
        <v>4.13</v>
      </c>
      <c r="R19">
        <v>5.95</v>
      </c>
      <c r="S19">
        <v>5.08</v>
      </c>
    </row>
    <row r="20" spans="1:19" x14ac:dyDescent="0.3">
      <c r="A20" t="s">
        <v>103</v>
      </c>
      <c r="B20">
        <v>1.44</v>
      </c>
      <c r="C20">
        <v>2.4300000000000002</v>
      </c>
      <c r="D20">
        <v>1.96</v>
      </c>
      <c r="E20">
        <v>1.87</v>
      </c>
      <c r="F20">
        <v>3.08</v>
      </c>
      <c r="G20">
        <v>2.5</v>
      </c>
      <c r="H20">
        <v>2.37</v>
      </c>
      <c r="I20">
        <v>3.95</v>
      </c>
      <c r="J20">
        <v>3.2</v>
      </c>
      <c r="K20">
        <v>2.87</v>
      </c>
      <c r="L20">
        <v>4.99</v>
      </c>
      <c r="M20">
        <v>3.98</v>
      </c>
      <c r="N20">
        <v>3.68</v>
      </c>
      <c r="O20">
        <v>6.6</v>
      </c>
      <c r="P20">
        <v>5.21</v>
      </c>
      <c r="Q20">
        <v>4.4400000000000004</v>
      </c>
      <c r="R20">
        <v>8.15</v>
      </c>
      <c r="S20">
        <v>6.38</v>
      </c>
    </row>
    <row r="21" spans="1:19" x14ac:dyDescent="0.3">
      <c r="A21" t="s">
        <v>73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</row>
  </sheetData>
  <mergeCells count="6">
    <mergeCell ref="Q2:S2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G39"/>
  <sheetViews>
    <sheetView workbookViewId="0">
      <selection activeCell="B2" sqref="B2:G39"/>
    </sheetView>
  </sheetViews>
  <sheetFormatPr defaultRowHeight="14.4" x14ac:dyDescent="0.3"/>
  <cols>
    <col min="1" max="1" width="31.88671875" customWidth="1"/>
  </cols>
  <sheetData>
    <row r="1" spans="1:7" x14ac:dyDescent="0.3">
      <c r="A1" s="2" t="s">
        <v>133</v>
      </c>
      <c r="B1" s="1"/>
      <c r="C1" s="1"/>
      <c r="D1" s="1"/>
      <c r="E1" s="1"/>
      <c r="F1" s="1"/>
      <c r="G1" s="1"/>
    </row>
    <row r="2" spans="1:7" x14ac:dyDescent="0.3">
      <c r="A2" t="s">
        <v>52</v>
      </c>
      <c r="B2">
        <v>2026</v>
      </c>
      <c r="C2">
        <v>2031</v>
      </c>
      <c r="D2">
        <v>2036</v>
      </c>
      <c r="E2">
        <v>2041</v>
      </c>
      <c r="F2">
        <v>2046</v>
      </c>
      <c r="G2">
        <v>2051</v>
      </c>
    </row>
    <row r="3" spans="1:7" x14ac:dyDescent="0.3">
      <c r="A3" t="s">
        <v>53</v>
      </c>
    </row>
    <row r="4" spans="1:7" x14ac:dyDescent="0.3">
      <c r="A4" t="s">
        <v>54</v>
      </c>
      <c r="B4">
        <v>2.27</v>
      </c>
      <c r="C4">
        <v>2.09</v>
      </c>
      <c r="D4">
        <v>1.95</v>
      </c>
      <c r="E4">
        <v>1.85</v>
      </c>
      <c r="F4">
        <v>1.79</v>
      </c>
      <c r="G4">
        <v>1.74</v>
      </c>
    </row>
    <row r="5" spans="1:7" x14ac:dyDescent="0.3">
      <c r="A5" t="s">
        <v>55</v>
      </c>
      <c r="B5">
        <v>1.0900000000000001</v>
      </c>
      <c r="C5">
        <v>1</v>
      </c>
      <c r="D5">
        <v>0.94</v>
      </c>
      <c r="E5">
        <v>0.89</v>
      </c>
      <c r="F5">
        <v>0.86</v>
      </c>
      <c r="G5">
        <v>0.84</v>
      </c>
    </row>
    <row r="6" spans="1:7" x14ac:dyDescent="0.3">
      <c r="A6" t="s">
        <v>56</v>
      </c>
      <c r="B6">
        <v>1</v>
      </c>
      <c r="C6">
        <v>0.93</v>
      </c>
      <c r="D6">
        <v>0.88</v>
      </c>
      <c r="E6">
        <v>0.84</v>
      </c>
      <c r="F6">
        <v>0.82</v>
      </c>
      <c r="G6">
        <v>0.8</v>
      </c>
    </row>
    <row r="7" spans="1:7" x14ac:dyDescent="0.3">
      <c r="A7" t="s">
        <v>57</v>
      </c>
      <c r="B7">
        <v>26.5</v>
      </c>
      <c r="C7">
        <v>26.6</v>
      </c>
      <c r="D7">
        <v>26.7</v>
      </c>
      <c r="E7">
        <v>26.9</v>
      </c>
      <c r="F7">
        <v>27</v>
      </c>
      <c r="G7">
        <v>27.1</v>
      </c>
    </row>
    <row r="8" spans="1:7" x14ac:dyDescent="0.3">
      <c r="A8" t="s">
        <v>58</v>
      </c>
      <c r="B8">
        <v>0.35</v>
      </c>
      <c r="C8">
        <v>0.31</v>
      </c>
      <c r="D8">
        <v>0.28000000000000003</v>
      </c>
      <c r="E8">
        <v>0.25</v>
      </c>
      <c r="F8">
        <v>0.25</v>
      </c>
      <c r="G8">
        <v>0.25</v>
      </c>
    </row>
    <row r="9" spans="1:7" x14ac:dyDescent="0.3">
      <c r="A9" t="s">
        <v>59</v>
      </c>
    </row>
    <row r="10" spans="1:7" x14ac:dyDescent="0.3">
      <c r="A10" t="s">
        <v>60</v>
      </c>
      <c r="B10">
        <v>65.099999999999994</v>
      </c>
      <c r="C10">
        <v>66.3</v>
      </c>
      <c r="D10">
        <v>67.599999999999994</v>
      </c>
      <c r="E10">
        <v>69</v>
      </c>
      <c r="F10">
        <v>70.3</v>
      </c>
      <c r="G10">
        <v>71.3</v>
      </c>
    </row>
    <row r="11" spans="1:7" x14ac:dyDescent="0.3">
      <c r="A11" t="s">
        <v>61</v>
      </c>
      <c r="B11">
        <v>70</v>
      </c>
      <c r="C11">
        <v>71.599999999999994</v>
      </c>
      <c r="D11">
        <v>73.400000000000006</v>
      </c>
      <c r="E11">
        <v>75.099999999999994</v>
      </c>
      <c r="F11">
        <v>76.5</v>
      </c>
      <c r="G11">
        <v>77.8</v>
      </c>
    </row>
    <row r="12" spans="1:7" x14ac:dyDescent="0.3">
      <c r="A12" t="s">
        <v>62</v>
      </c>
      <c r="B12">
        <v>67.5</v>
      </c>
      <c r="C12">
        <v>68.900000000000006</v>
      </c>
      <c r="D12">
        <v>70.5</v>
      </c>
      <c r="E12">
        <v>72</v>
      </c>
      <c r="F12">
        <v>73.3</v>
      </c>
      <c r="G12">
        <v>74.5</v>
      </c>
    </row>
    <row r="13" spans="1:7" x14ac:dyDescent="0.3">
      <c r="A13" t="s">
        <v>63</v>
      </c>
      <c r="B13">
        <v>65.3</v>
      </c>
      <c r="C13">
        <v>59.5</v>
      </c>
      <c r="D13">
        <v>53.4</v>
      </c>
      <c r="E13">
        <v>47.7</v>
      </c>
      <c r="F13">
        <v>42.6</v>
      </c>
      <c r="G13">
        <v>38.4</v>
      </c>
    </row>
    <row r="14" spans="1:7" x14ac:dyDescent="0.3">
      <c r="A14" t="s">
        <v>64</v>
      </c>
      <c r="B14">
        <v>81.8</v>
      </c>
      <c r="C14">
        <v>73.7</v>
      </c>
      <c r="D14">
        <v>65</v>
      </c>
      <c r="E14">
        <v>56.9</v>
      </c>
      <c r="F14">
        <v>50.4</v>
      </c>
      <c r="G14">
        <v>45.2</v>
      </c>
    </row>
    <row r="15" spans="1:7" x14ac:dyDescent="0.3">
      <c r="A15" t="s">
        <v>108</v>
      </c>
    </row>
    <row r="16" spans="1:7" x14ac:dyDescent="0.3">
      <c r="A16" t="s">
        <v>74</v>
      </c>
      <c r="B16" s="14">
        <v>-1973</v>
      </c>
      <c r="C16" s="14">
        <v>-1967</v>
      </c>
      <c r="D16" s="14">
        <v>-1963</v>
      </c>
      <c r="E16" s="14">
        <v>-1960</v>
      </c>
      <c r="F16" s="14">
        <v>-1958</v>
      </c>
      <c r="G16" s="14">
        <v>-1956</v>
      </c>
    </row>
    <row r="17" spans="1:7" x14ac:dyDescent="0.3">
      <c r="A17" t="s">
        <v>75</v>
      </c>
      <c r="B17" s="14">
        <v>-3131</v>
      </c>
      <c r="C17" s="14">
        <v>-3165</v>
      </c>
      <c r="D17" s="14">
        <v>-3182</v>
      </c>
      <c r="E17" s="14">
        <v>-3190</v>
      </c>
      <c r="F17" s="14">
        <v>-3194</v>
      </c>
      <c r="G17" s="14">
        <v>-3196</v>
      </c>
    </row>
    <row r="18" spans="1:7" x14ac:dyDescent="0.3">
      <c r="A18" t="s">
        <v>73</v>
      </c>
      <c r="B18" s="14">
        <v>-5104</v>
      </c>
      <c r="C18" s="14">
        <v>-5132</v>
      </c>
      <c r="D18" s="14">
        <v>-5145</v>
      </c>
      <c r="E18" s="14">
        <v>-5150</v>
      </c>
      <c r="F18" s="14">
        <v>-5152</v>
      </c>
      <c r="G18" s="14">
        <v>-5152</v>
      </c>
    </row>
    <row r="19" spans="1:7" x14ac:dyDescent="0.3">
      <c r="A19" t="s">
        <v>65</v>
      </c>
    </row>
    <row r="20" spans="1:7" x14ac:dyDescent="0.3">
      <c r="A20" t="s">
        <v>66</v>
      </c>
      <c r="B20">
        <v>19.399999999999999</v>
      </c>
      <c r="C20">
        <v>16.7</v>
      </c>
      <c r="D20">
        <v>14.8</v>
      </c>
      <c r="E20">
        <v>13.7</v>
      </c>
      <c r="F20">
        <v>13.1</v>
      </c>
      <c r="G20">
        <v>12.3</v>
      </c>
    </row>
    <row r="21" spans="1:7" x14ac:dyDescent="0.3">
      <c r="A21" t="s">
        <v>67</v>
      </c>
      <c r="B21">
        <v>7.7</v>
      </c>
      <c r="C21">
        <v>7.4</v>
      </c>
      <c r="D21">
        <v>7.3</v>
      </c>
      <c r="E21">
        <v>7.6</v>
      </c>
      <c r="F21">
        <v>8</v>
      </c>
      <c r="G21">
        <v>8.4</v>
      </c>
    </row>
    <row r="22" spans="1:7" x14ac:dyDescent="0.3">
      <c r="A22" t="s">
        <v>86</v>
      </c>
      <c r="B22">
        <v>1.17</v>
      </c>
      <c r="C22">
        <v>0.93</v>
      </c>
      <c r="D22">
        <v>0.75</v>
      </c>
      <c r="E22">
        <v>0.61</v>
      </c>
      <c r="F22">
        <v>0.51</v>
      </c>
      <c r="G22">
        <v>0.39</v>
      </c>
    </row>
    <row r="23" spans="1:7" x14ac:dyDescent="0.3">
      <c r="A23" t="s">
        <v>69</v>
      </c>
    </row>
    <row r="24" spans="1:7" x14ac:dyDescent="0.3">
      <c r="A24" t="s">
        <v>70</v>
      </c>
      <c r="B24">
        <v>1.72</v>
      </c>
      <c r="C24">
        <v>1.57</v>
      </c>
      <c r="D24">
        <v>1.44</v>
      </c>
      <c r="E24">
        <v>1.38</v>
      </c>
      <c r="F24">
        <v>1.36</v>
      </c>
      <c r="G24">
        <v>1.31</v>
      </c>
    </row>
    <row r="25" spans="1:7" x14ac:dyDescent="0.3">
      <c r="A25" t="s">
        <v>71</v>
      </c>
      <c r="B25">
        <v>0.68</v>
      </c>
      <c r="C25">
        <v>0.7</v>
      </c>
      <c r="D25">
        <v>0.72</v>
      </c>
      <c r="E25">
        <v>0.76</v>
      </c>
      <c r="F25">
        <v>0.83</v>
      </c>
      <c r="G25">
        <v>0.9</v>
      </c>
    </row>
    <row r="26" spans="1:7" x14ac:dyDescent="0.3">
      <c r="A26" t="s">
        <v>72</v>
      </c>
    </row>
    <row r="27" spans="1:7" x14ac:dyDescent="0.3">
      <c r="A27" t="s">
        <v>73</v>
      </c>
      <c r="B27">
        <v>89.4</v>
      </c>
      <c r="C27">
        <v>94.1</v>
      </c>
      <c r="D27">
        <v>98</v>
      </c>
      <c r="E27">
        <v>101.3</v>
      </c>
      <c r="F27">
        <v>104.1</v>
      </c>
      <c r="G27">
        <v>106.3</v>
      </c>
    </row>
    <row r="28" spans="1:7" x14ac:dyDescent="0.3">
      <c r="A28" t="s">
        <v>74</v>
      </c>
      <c r="B28">
        <v>46</v>
      </c>
      <c r="C28">
        <v>48.3</v>
      </c>
      <c r="D28">
        <v>50.1</v>
      </c>
      <c r="E28">
        <v>51.6</v>
      </c>
      <c r="F28">
        <v>52.9</v>
      </c>
      <c r="G28">
        <v>53.8</v>
      </c>
    </row>
    <row r="29" spans="1:7" x14ac:dyDescent="0.3">
      <c r="A29" t="s">
        <v>75</v>
      </c>
      <c r="B29">
        <v>43.4</v>
      </c>
      <c r="C29">
        <v>45.8</v>
      </c>
      <c r="D29">
        <v>47.9</v>
      </c>
      <c r="E29">
        <v>49.7</v>
      </c>
      <c r="F29">
        <v>51.2</v>
      </c>
      <c r="G29">
        <v>52.5</v>
      </c>
    </row>
    <row r="30" spans="1:7" x14ac:dyDescent="0.3">
      <c r="A30" t="s">
        <v>76</v>
      </c>
      <c r="B30">
        <v>9.1</v>
      </c>
      <c r="C30">
        <v>8.1</v>
      </c>
      <c r="D30">
        <v>7.2</v>
      </c>
      <c r="E30">
        <v>6.6</v>
      </c>
      <c r="F30">
        <v>6.3</v>
      </c>
      <c r="G30">
        <v>6</v>
      </c>
    </row>
    <row r="31" spans="1:7" x14ac:dyDescent="0.3">
      <c r="A31" t="s">
        <v>77</v>
      </c>
      <c r="B31">
        <v>17.7</v>
      </c>
      <c r="C31">
        <v>17</v>
      </c>
      <c r="D31">
        <v>15.9</v>
      </c>
      <c r="E31">
        <v>14.3</v>
      </c>
      <c r="F31">
        <v>13</v>
      </c>
      <c r="G31">
        <v>12.3</v>
      </c>
    </row>
    <row r="32" spans="1:7" x14ac:dyDescent="0.3">
      <c r="A32" t="s">
        <v>78</v>
      </c>
      <c r="B32">
        <v>17.3</v>
      </c>
      <c r="C32">
        <v>16.100000000000001</v>
      </c>
      <c r="D32">
        <v>16.100000000000001</v>
      </c>
      <c r="E32">
        <v>15.7</v>
      </c>
      <c r="F32">
        <v>14.9</v>
      </c>
      <c r="G32">
        <v>13.6</v>
      </c>
    </row>
    <row r="33" spans="1:7" x14ac:dyDescent="0.3">
      <c r="A33" t="s">
        <v>79</v>
      </c>
      <c r="B33">
        <v>54.1</v>
      </c>
      <c r="C33">
        <v>54</v>
      </c>
      <c r="D33">
        <v>53.9</v>
      </c>
      <c r="E33">
        <v>53.5</v>
      </c>
      <c r="F33">
        <v>52.2</v>
      </c>
      <c r="G33">
        <v>49.7</v>
      </c>
    </row>
    <row r="34" spans="1:7" x14ac:dyDescent="0.3">
      <c r="A34" t="s">
        <v>80</v>
      </c>
      <c r="B34">
        <v>63.7</v>
      </c>
      <c r="C34">
        <v>63.9</v>
      </c>
      <c r="D34">
        <v>64.2</v>
      </c>
      <c r="E34">
        <v>64.8</v>
      </c>
      <c r="F34">
        <v>64.7</v>
      </c>
      <c r="G34">
        <v>63.6</v>
      </c>
    </row>
    <row r="35" spans="1:7" x14ac:dyDescent="0.3">
      <c r="A35" t="s">
        <v>81</v>
      </c>
      <c r="B35">
        <v>9.6</v>
      </c>
      <c r="C35">
        <v>11</v>
      </c>
      <c r="D35">
        <v>12.7</v>
      </c>
      <c r="E35">
        <v>14.3</v>
      </c>
      <c r="F35">
        <v>16</v>
      </c>
      <c r="G35">
        <v>18.100000000000001</v>
      </c>
    </row>
    <row r="36" spans="1:7" x14ac:dyDescent="0.3">
      <c r="A36" t="s">
        <v>82</v>
      </c>
      <c r="B36">
        <v>53.5</v>
      </c>
      <c r="C36">
        <v>53.2</v>
      </c>
      <c r="D36">
        <v>53.1</v>
      </c>
      <c r="E36">
        <v>52.6</v>
      </c>
      <c r="F36">
        <v>51.5</v>
      </c>
      <c r="G36">
        <v>48.9</v>
      </c>
    </row>
    <row r="37" spans="1:7" x14ac:dyDescent="0.3">
      <c r="A37" t="s">
        <v>83</v>
      </c>
      <c r="B37">
        <v>106</v>
      </c>
      <c r="C37">
        <v>105.4</v>
      </c>
      <c r="D37">
        <v>104.8</v>
      </c>
      <c r="E37">
        <v>104</v>
      </c>
      <c r="F37">
        <v>103.2</v>
      </c>
      <c r="G37">
        <v>102.5</v>
      </c>
    </row>
    <row r="38" spans="1:7" x14ac:dyDescent="0.3">
      <c r="A38" t="s">
        <v>84</v>
      </c>
      <c r="B38">
        <v>57.1</v>
      </c>
      <c r="C38">
        <v>57.4</v>
      </c>
      <c r="D38">
        <v>56.6</v>
      </c>
      <c r="E38">
        <v>55.7</v>
      </c>
      <c r="F38">
        <v>54.3</v>
      </c>
      <c r="G38">
        <v>54.5</v>
      </c>
    </row>
    <row r="39" spans="1:7" x14ac:dyDescent="0.3">
      <c r="A39" t="s">
        <v>85</v>
      </c>
      <c r="B39">
        <v>28</v>
      </c>
      <c r="C39">
        <v>30</v>
      </c>
      <c r="D39">
        <v>32</v>
      </c>
      <c r="E39">
        <v>34</v>
      </c>
      <c r="F39">
        <v>36</v>
      </c>
      <c r="G39">
        <v>37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S21"/>
  <sheetViews>
    <sheetView workbookViewId="0">
      <selection activeCell="B2" sqref="B2:S2"/>
    </sheetView>
  </sheetViews>
  <sheetFormatPr defaultRowHeight="14.4" x14ac:dyDescent="0.3"/>
  <sheetData>
    <row r="1" spans="1:19" x14ac:dyDescent="0.3">
      <c r="A1" s="2" t="s">
        <v>134</v>
      </c>
      <c r="B1" s="1"/>
      <c r="C1" s="1"/>
      <c r="D1" s="1"/>
      <c r="E1" s="1"/>
      <c r="F1" s="1"/>
      <c r="G1" s="1"/>
      <c r="H1" s="1"/>
      <c r="I1" s="1"/>
      <c r="J1" s="1"/>
    </row>
    <row r="2" spans="1:19" x14ac:dyDescent="0.3">
      <c r="A2" t="s">
        <v>93</v>
      </c>
      <c r="B2" s="34">
        <v>2026</v>
      </c>
      <c r="C2" s="34"/>
      <c r="D2" s="34"/>
      <c r="E2" s="34">
        <v>2031</v>
      </c>
      <c r="F2" s="34"/>
      <c r="G2" s="34"/>
      <c r="H2" s="34">
        <v>2036</v>
      </c>
      <c r="I2" s="34"/>
      <c r="J2" s="34"/>
      <c r="K2" s="37">
        <v>2041</v>
      </c>
      <c r="L2" s="37"/>
      <c r="M2" s="37"/>
      <c r="N2" s="37">
        <v>2046</v>
      </c>
      <c r="O2" s="37"/>
      <c r="P2" s="37"/>
      <c r="Q2" s="37">
        <v>2051</v>
      </c>
      <c r="R2" s="37"/>
      <c r="S2" s="37"/>
    </row>
    <row r="3" spans="1:19" x14ac:dyDescent="0.3">
      <c r="B3" t="s">
        <v>16</v>
      </c>
      <c r="C3" t="s">
        <v>46</v>
      </c>
      <c r="D3" t="s">
        <v>91</v>
      </c>
      <c r="E3" t="s">
        <v>16</v>
      </c>
      <c r="F3" t="s">
        <v>46</v>
      </c>
      <c r="G3" t="s">
        <v>91</v>
      </c>
      <c r="H3" t="s">
        <v>16</v>
      </c>
      <c r="I3" t="s">
        <v>46</v>
      </c>
      <c r="J3" t="s">
        <v>91</v>
      </c>
      <c r="K3" t="s">
        <v>16</v>
      </c>
      <c r="L3" t="s">
        <v>46</v>
      </c>
      <c r="M3" t="s">
        <v>91</v>
      </c>
      <c r="N3" t="s">
        <v>16</v>
      </c>
      <c r="O3" t="s">
        <v>46</v>
      </c>
      <c r="P3" t="s">
        <v>91</v>
      </c>
      <c r="Q3" t="s">
        <v>16</v>
      </c>
      <c r="R3" t="s">
        <v>46</v>
      </c>
      <c r="S3" t="s">
        <v>91</v>
      </c>
    </row>
    <row r="4" spans="1:19" x14ac:dyDescent="0.3">
      <c r="A4" t="s">
        <v>94</v>
      </c>
      <c r="B4">
        <v>9.16</v>
      </c>
      <c r="C4">
        <v>9.11</v>
      </c>
      <c r="D4">
        <v>9.14</v>
      </c>
      <c r="E4">
        <v>8.17</v>
      </c>
      <c r="F4">
        <v>8.08</v>
      </c>
      <c r="G4">
        <v>8.1300000000000008</v>
      </c>
      <c r="H4">
        <v>7.2</v>
      </c>
      <c r="I4">
        <v>7.09</v>
      </c>
      <c r="J4">
        <v>7.15</v>
      </c>
      <c r="K4">
        <v>6.65</v>
      </c>
      <c r="L4">
        <v>6.5</v>
      </c>
      <c r="M4">
        <v>6.57</v>
      </c>
      <c r="N4">
        <v>6.35</v>
      </c>
      <c r="O4">
        <v>6.16</v>
      </c>
      <c r="P4">
        <v>6.26</v>
      </c>
      <c r="Q4">
        <v>6.09</v>
      </c>
      <c r="R4">
        <v>5.86</v>
      </c>
      <c r="S4">
        <v>5.97</v>
      </c>
    </row>
    <row r="5" spans="1:19" x14ac:dyDescent="0.3">
      <c r="A5" t="s">
        <v>95</v>
      </c>
      <c r="B5">
        <v>8.92</v>
      </c>
      <c r="C5">
        <v>8.86</v>
      </c>
      <c r="D5">
        <v>8.89</v>
      </c>
      <c r="E5">
        <v>8.6</v>
      </c>
      <c r="F5">
        <v>8.5299999999999994</v>
      </c>
      <c r="G5">
        <v>8.57</v>
      </c>
      <c r="H5">
        <v>7.78</v>
      </c>
      <c r="I5">
        <v>7.67</v>
      </c>
      <c r="J5">
        <v>7.72</v>
      </c>
      <c r="K5">
        <v>6.92</v>
      </c>
      <c r="L5">
        <v>6.78</v>
      </c>
      <c r="M5">
        <v>6.85</v>
      </c>
      <c r="N5">
        <v>6.44</v>
      </c>
      <c r="O5">
        <v>6.26</v>
      </c>
      <c r="P5">
        <v>6.35</v>
      </c>
      <c r="Q5">
        <v>6.2</v>
      </c>
      <c r="R5">
        <v>5.98</v>
      </c>
      <c r="S5">
        <v>6.09</v>
      </c>
    </row>
    <row r="6" spans="1:19" x14ac:dyDescent="0.3">
      <c r="A6" t="s">
        <v>96</v>
      </c>
      <c r="B6">
        <v>8.86</v>
      </c>
      <c r="C6">
        <v>8.7899999999999991</v>
      </c>
      <c r="D6">
        <v>8.83</v>
      </c>
      <c r="E6">
        <v>8.4700000000000006</v>
      </c>
      <c r="F6">
        <v>8.3699999999999992</v>
      </c>
      <c r="G6">
        <v>8.42</v>
      </c>
      <c r="H6">
        <v>8.26</v>
      </c>
      <c r="I6">
        <v>8.15</v>
      </c>
      <c r="J6">
        <v>8.2100000000000009</v>
      </c>
      <c r="K6">
        <v>7.53</v>
      </c>
      <c r="L6">
        <v>7.38</v>
      </c>
      <c r="M6">
        <v>7.46</v>
      </c>
      <c r="N6">
        <v>6.74</v>
      </c>
      <c r="O6">
        <v>6.57</v>
      </c>
      <c r="P6">
        <v>6.66</v>
      </c>
      <c r="Q6">
        <v>6.31</v>
      </c>
      <c r="R6">
        <v>6.1</v>
      </c>
      <c r="S6">
        <v>6.21</v>
      </c>
    </row>
    <row r="7" spans="1:19" x14ac:dyDescent="0.3">
      <c r="A7" t="s">
        <v>35</v>
      </c>
      <c r="B7">
        <v>8.2100000000000009</v>
      </c>
      <c r="C7">
        <v>8.11</v>
      </c>
      <c r="D7">
        <v>8.16</v>
      </c>
      <c r="E7">
        <v>8.41</v>
      </c>
      <c r="F7">
        <v>8.3000000000000007</v>
      </c>
      <c r="G7">
        <v>8.36</v>
      </c>
      <c r="H7">
        <v>8.1300000000000008</v>
      </c>
      <c r="I7">
        <v>8</v>
      </c>
      <c r="J7">
        <v>8.07</v>
      </c>
      <c r="K7">
        <v>8</v>
      </c>
      <c r="L7">
        <v>7.84</v>
      </c>
      <c r="M7">
        <v>7.92</v>
      </c>
      <c r="N7">
        <v>7.34</v>
      </c>
      <c r="O7">
        <v>7.15</v>
      </c>
      <c r="P7">
        <v>7.24</v>
      </c>
      <c r="Q7">
        <v>6.61</v>
      </c>
      <c r="R7">
        <v>6.4</v>
      </c>
      <c r="S7">
        <v>6.5</v>
      </c>
    </row>
    <row r="8" spans="1:19" x14ac:dyDescent="0.3">
      <c r="A8" t="s">
        <v>36</v>
      </c>
      <c r="B8">
        <v>9.23</v>
      </c>
      <c r="C8">
        <v>9.0299999999999994</v>
      </c>
      <c r="D8">
        <v>9.1300000000000008</v>
      </c>
      <c r="E8">
        <v>7.77</v>
      </c>
      <c r="F8">
        <v>7.65</v>
      </c>
      <c r="G8">
        <v>7.71</v>
      </c>
      <c r="H8">
        <v>8.06</v>
      </c>
      <c r="I8">
        <v>7.92</v>
      </c>
      <c r="J8">
        <v>7.99</v>
      </c>
      <c r="K8">
        <v>7.86</v>
      </c>
      <c r="L8">
        <v>7.69</v>
      </c>
      <c r="M8">
        <v>7.78</v>
      </c>
      <c r="N8">
        <v>7.78</v>
      </c>
      <c r="O8">
        <v>7.59</v>
      </c>
      <c r="P8">
        <v>7.69</v>
      </c>
      <c r="Q8">
        <v>7.18</v>
      </c>
      <c r="R8">
        <v>6.95</v>
      </c>
      <c r="S8">
        <v>7.07</v>
      </c>
    </row>
    <row r="9" spans="1:19" x14ac:dyDescent="0.3">
      <c r="A9" t="s">
        <v>37</v>
      </c>
      <c r="B9">
        <v>9.4700000000000006</v>
      </c>
      <c r="C9">
        <v>9.3800000000000008</v>
      </c>
      <c r="D9">
        <v>9.43</v>
      </c>
      <c r="E9">
        <v>8.73</v>
      </c>
      <c r="F9">
        <v>8.5</v>
      </c>
      <c r="G9">
        <v>8.6199999999999992</v>
      </c>
      <c r="H9">
        <v>7.44</v>
      </c>
      <c r="I9">
        <v>7.29</v>
      </c>
      <c r="J9">
        <v>7.36</v>
      </c>
      <c r="K9">
        <v>7.78</v>
      </c>
      <c r="L9">
        <v>7.61</v>
      </c>
      <c r="M9">
        <v>7.69</v>
      </c>
      <c r="N9">
        <v>7.64</v>
      </c>
      <c r="O9">
        <v>7.43</v>
      </c>
      <c r="P9">
        <v>7.54</v>
      </c>
      <c r="Q9">
        <v>7.61</v>
      </c>
      <c r="R9">
        <v>7.38</v>
      </c>
      <c r="S9">
        <v>7.5</v>
      </c>
    </row>
    <row r="10" spans="1:19" x14ac:dyDescent="0.3">
      <c r="A10" t="s">
        <v>38</v>
      </c>
      <c r="B10">
        <v>8.4499999999999993</v>
      </c>
      <c r="C10">
        <v>7.84</v>
      </c>
      <c r="D10">
        <v>8.15</v>
      </c>
      <c r="E10">
        <v>8.94</v>
      </c>
      <c r="F10">
        <v>8.83</v>
      </c>
      <c r="G10">
        <v>8.89</v>
      </c>
      <c r="H10">
        <v>8.35</v>
      </c>
      <c r="I10">
        <v>8.1</v>
      </c>
      <c r="J10">
        <v>8.2200000000000006</v>
      </c>
      <c r="K10">
        <v>7.17</v>
      </c>
      <c r="L10">
        <v>6.99</v>
      </c>
      <c r="M10">
        <v>7.09</v>
      </c>
      <c r="N10">
        <v>7.56</v>
      </c>
      <c r="O10">
        <v>7.35</v>
      </c>
      <c r="P10">
        <v>7.45</v>
      </c>
      <c r="Q10">
        <v>7.47</v>
      </c>
      <c r="R10">
        <v>7.22</v>
      </c>
      <c r="S10">
        <v>7.35</v>
      </c>
    </row>
    <row r="11" spans="1:19" x14ac:dyDescent="0.3">
      <c r="A11" t="s">
        <v>39</v>
      </c>
      <c r="B11">
        <v>7.5</v>
      </c>
      <c r="C11">
        <v>7.15</v>
      </c>
      <c r="D11">
        <v>7.33</v>
      </c>
      <c r="E11">
        <v>7.96</v>
      </c>
      <c r="F11">
        <v>7.38</v>
      </c>
      <c r="G11">
        <v>7.67</v>
      </c>
      <c r="H11">
        <v>8.5299999999999994</v>
      </c>
      <c r="I11">
        <v>8.4</v>
      </c>
      <c r="J11">
        <v>8.4700000000000006</v>
      </c>
      <c r="K11">
        <v>8.0399999999999991</v>
      </c>
      <c r="L11">
        <v>7.77</v>
      </c>
      <c r="M11">
        <v>7.9</v>
      </c>
      <c r="N11">
        <v>6.95</v>
      </c>
      <c r="O11">
        <v>6.75</v>
      </c>
      <c r="P11">
        <v>6.85</v>
      </c>
      <c r="Q11">
        <v>7.37</v>
      </c>
      <c r="R11">
        <v>7.14</v>
      </c>
      <c r="S11">
        <v>7.26</v>
      </c>
    </row>
    <row r="12" spans="1:19" x14ac:dyDescent="0.3">
      <c r="A12" t="s">
        <v>40</v>
      </c>
      <c r="B12">
        <v>6.26</v>
      </c>
      <c r="C12">
        <v>6.28</v>
      </c>
      <c r="D12">
        <v>6.27</v>
      </c>
      <c r="E12">
        <v>7.05</v>
      </c>
      <c r="F12">
        <v>6.71</v>
      </c>
      <c r="G12">
        <v>6.88</v>
      </c>
      <c r="H12">
        <v>7.57</v>
      </c>
      <c r="I12">
        <v>7.01</v>
      </c>
      <c r="J12">
        <v>7.3</v>
      </c>
      <c r="K12">
        <v>8.1999999999999993</v>
      </c>
      <c r="L12">
        <v>8.0399999999999991</v>
      </c>
      <c r="M12">
        <v>8.1199999999999992</v>
      </c>
      <c r="N12">
        <v>7.77</v>
      </c>
      <c r="O12">
        <v>7.49</v>
      </c>
      <c r="P12">
        <v>7.63</v>
      </c>
      <c r="Q12">
        <v>6.77</v>
      </c>
      <c r="R12">
        <v>6.55</v>
      </c>
      <c r="S12">
        <v>6.66</v>
      </c>
    </row>
    <row r="13" spans="1:19" x14ac:dyDescent="0.3">
      <c r="A13" t="s">
        <v>41</v>
      </c>
      <c r="B13">
        <v>5.48</v>
      </c>
      <c r="C13">
        <v>5.71</v>
      </c>
      <c r="D13">
        <v>5.59</v>
      </c>
      <c r="E13">
        <v>5.84</v>
      </c>
      <c r="F13">
        <v>5.87</v>
      </c>
      <c r="G13">
        <v>5.86</v>
      </c>
      <c r="H13">
        <v>6.66</v>
      </c>
      <c r="I13">
        <v>6.36</v>
      </c>
      <c r="J13">
        <v>6.51</v>
      </c>
      <c r="K13">
        <v>7.23</v>
      </c>
      <c r="L13">
        <v>6.69</v>
      </c>
      <c r="M13">
        <v>6.97</v>
      </c>
      <c r="N13">
        <v>7.89</v>
      </c>
      <c r="O13">
        <v>7.74</v>
      </c>
      <c r="P13">
        <v>7.81</v>
      </c>
      <c r="Q13">
        <v>7.53</v>
      </c>
      <c r="R13">
        <v>7.25</v>
      </c>
      <c r="S13">
        <v>7.39</v>
      </c>
    </row>
    <row r="14" spans="1:19" x14ac:dyDescent="0.3">
      <c r="A14" t="s">
        <v>97</v>
      </c>
      <c r="B14">
        <v>5.05</v>
      </c>
      <c r="C14">
        <v>5.21</v>
      </c>
      <c r="D14">
        <v>5.13</v>
      </c>
      <c r="E14">
        <v>5.0599999999999996</v>
      </c>
      <c r="F14">
        <v>5.31</v>
      </c>
      <c r="G14">
        <v>5.19</v>
      </c>
      <c r="H14">
        <v>5.47</v>
      </c>
      <c r="I14">
        <v>5.54</v>
      </c>
      <c r="J14">
        <v>5.5</v>
      </c>
      <c r="K14">
        <v>6.3</v>
      </c>
      <c r="L14">
        <v>6.05</v>
      </c>
      <c r="M14">
        <v>6.18</v>
      </c>
      <c r="N14">
        <v>6.9</v>
      </c>
      <c r="O14">
        <v>6.41</v>
      </c>
      <c r="P14">
        <v>6.66</v>
      </c>
      <c r="Q14">
        <v>7.58</v>
      </c>
      <c r="R14">
        <v>7.47</v>
      </c>
      <c r="S14">
        <v>7.52</v>
      </c>
    </row>
    <row r="15" spans="1:19" x14ac:dyDescent="0.3">
      <c r="A15" t="s">
        <v>98</v>
      </c>
      <c r="B15">
        <v>4.29</v>
      </c>
      <c r="C15">
        <v>4.37</v>
      </c>
      <c r="D15">
        <v>4.32</v>
      </c>
      <c r="E15">
        <v>4.58</v>
      </c>
      <c r="F15">
        <v>4.8099999999999996</v>
      </c>
      <c r="G15">
        <v>4.6900000000000004</v>
      </c>
      <c r="H15">
        <v>4.66</v>
      </c>
      <c r="I15">
        <v>4.97</v>
      </c>
      <c r="J15">
        <v>4.8099999999999996</v>
      </c>
      <c r="K15">
        <v>5.09</v>
      </c>
      <c r="L15">
        <v>5.23</v>
      </c>
      <c r="M15">
        <v>5.16</v>
      </c>
      <c r="N15">
        <v>5.92</v>
      </c>
      <c r="O15">
        <v>5.76</v>
      </c>
      <c r="P15">
        <v>5.84</v>
      </c>
      <c r="Q15">
        <v>6.53</v>
      </c>
      <c r="R15">
        <v>6.16</v>
      </c>
      <c r="S15">
        <v>6.35</v>
      </c>
    </row>
    <row r="16" spans="1:19" x14ac:dyDescent="0.3">
      <c r="A16" t="s">
        <v>99</v>
      </c>
      <c r="B16">
        <v>3.4</v>
      </c>
      <c r="C16">
        <v>3.53</v>
      </c>
      <c r="D16">
        <v>3.46</v>
      </c>
      <c r="E16">
        <v>3.79</v>
      </c>
      <c r="F16">
        <v>3.97</v>
      </c>
      <c r="G16">
        <v>3.88</v>
      </c>
      <c r="H16">
        <v>4.12</v>
      </c>
      <c r="I16">
        <v>4.45</v>
      </c>
      <c r="J16">
        <v>4.28</v>
      </c>
      <c r="K16">
        <v>4.24</v>
      </c>
      <c r="L16">
        <v>4.6500000000000004</v>
      </c>
      <c r="M16">
        <v>4.4400000000000004</v>
      </c>
      <c r="N16">
        <v>4.68</v>
      </c>
      <c r="O16">
        <v>4.9400000000000004</v>
      </c>
      <c r="P16">
        <v>4.8099999999999996</v>
      </c>
      <c r="Q16">
        <v>5.5</v>
      </c>
      <c r="R16">
        <v>5.48</v>
      </c>
      <c r="S16">
        <v>5.49</v>
      </c>
    </row>
    <row r="17" spans="1:19" x14ac:dyDescent="0.3">
      <c r="A17" t="s">
        <v>100</v>
      </c>
      <c r="B17">
        <v>2.4500000000000002</v>
      </c>
      <c r="C17">
        <v>2.4700000000000002</v>
      </c>
      <c r="D17">
        <v>2.46</v>
      </c>
      <c r="E17">
        <v>2.89</v>
      </c>
      <c r="F17">
        <v>3.12</v>
      </c>
      <c r="G17">
        <v>3</v>
      </c>
      <c r="H17">
        <v>3.28</v>
      </c>
      <c r="I17">
        <v>3.58</v>
      </c>
      <c r="J17">
        <v>3.43</v>
      </c>
      <c r="K17">
        <v>3.61</v>
      </c>
      <c r="L17">
        <v>4.0599999999999996</v>
      </c>
      <c r="M17">
        <v>3.83</v>
      </c>
      <c r="N17">
        <v>3.77</v>
      </c>
      <c r="O17">
        <v>4.3</v>
      </c>
      <c r="P17">
        <v>4.03</v>
      </c>
      <c r="Q17">
        <v>4.21</v>
      </c>
      <c r="R17">
        <v>4.62</v>
      </c>
      <c r="S17">
        <v>4.41</v>
      </c>
    </row>
    <row r="18" spans="1:19" x14ac:dyDescent="0.3">
      <c r="A18" t="s">
        <v>101</v>
      </c>
      <c r="B18">
        <v>1.51</v>
      </c>
      <c r="C18">
        <v>1.81</v>
      </c>
      <c r="D18">
        <v>1.65</v>
      </c>
      <c r="E18">
        <v>1.94</v>
      </c>
      <c r="F18">
        <v>2.06</v>
      </c>
      <c r="G18">
        <v>2</v>
      </c>
      <c r="H18">
        <v>2.33</v>
      </c>
      <c r="I18">
        <v>2.67</v>
      </c>
      <c r="J18">
        <v>2.4900000000000002</v>
      </c>
      <c r="K18">
        <v>2.69</v>
      </c>
      <c r="L18">
        <v>3.12</v>
      </c>
      <c r="M18">
        <v>2.9</v>
      </c>
      <c r="N18">
        <v>3.01</v>
      </c>
      <c r="O18">
        <v>3.6</v>
      </c>
      <c r="P18">
        <v>3.3</v>
      </c>
      <c r="Q18">
        <v>3.19</v>
      </c>
      <c r="R18">
        <v>3.87</v>
      </c>
      <c r="S18">
        <v>3.53</v>
      </c>
    </row>
    <row r="19" spans="1:19" x14ac:dyDescent="0.3">
      <c r="A19" t="s">
        <v>102</v>
      </c>
      <c r="B19">
        <v>1.1100000000000001</v>
      </c>
      <c r="C19">
        <v>1.41</v>
      </c>
      <c r="D19">
        <v>1.25</v>
      </c>
      <c r="E19">
        <v>1.03</v>
      </c>
      <c r="F19">
        <v>1.35</v>
      </c>
      <c r="G19">
        <v>1.18</v>
      </c>
      <c r="H19">
        <v>1.36</v>
      </c>
      <c r="I19">
        <v>1.59</v>
      </c>
      <c r="J19">
        <v>1.47</v>
      </c>
      <c r="K19">
        <v>1.67</v>
      </c>
      <c r="L19">
        <v>2.11</v>
      </c>
      <c r="M19">
        <v>1.89</v>
      </c>
      <c r="N19">
        <v>1.98</v>
      </c>
      <c r="O19">
        <v>2.5299999999999998</v>
      </c>
      <c r="P19">
        <v>2.25</v>
      </c>
      <c r="Q19">
        <v>2.2599999999999998</v>
      </c>
      <c r="R19">
        <v>3</v>
      </c>
      <c r="S19">
        <v>2.62</v>
      </c>
    </row>
    <row r="20" spans="1:19" x14ac:dyDescent="0.3">
      <c r="A20" t="s">
        <v>103</v>
      </c>
      <c r="B20">
        <v>0.65</v>
      </c>
      <c r="C20">
        <v>0.97</v>
      </c>
      <c r="D20">
        <v>0.81</v>
      </c>
      <c r="E20">
        <v>0.77</v>
      </c>
      <c r="F20">
        <v>1.1499999999999999</v>
      </c>
      <c r="G20">
        <v>0.95</v>
      </c>
      <c r="H20">
        <v>0.8</v>
      </c>
      <c r="I20">
        <v>1.25</v>
      </c>
      <c r="J20">
        <v>1.02</v>
      </c>
      <c r="K20">
        <v>1.01</v>
      </c>
      <c r="L20">
        <v>1.49</v>
      </c>
      <c r="M20">
        <v>1.24</v>
      </c>
      <c r="N20">
        <v>1.28</v>
      </c>
      <c r="O20">
        <v>2</v>
      </c>
      <c r="P20">
        <v>1.63</v>
      </c>
      <c r="Q20">
        <v>1.58</v>
      </c>
      <c r="R20">
        <v>2.59</v>
      </c>
      <c r="S20">
        <v>2.08</v>
      </c>
    </row>
    <row r="21" spans="1:19" x14ac:dyDescent="0.3">
      <c r="A21" t="s">
        <v>73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</row>
  </sheetData>
  <mergeCells count="6">
    <mergeCell ref="Q2:S2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G39"/>
  <sheetViews>
    <sheetView workbookViewId="0">
      <selection activeCell="B25" sqref="B25"/>
    </sheetView>
  </sheetViews>
  <sheetFormatPr defaultRowHeight="14.4" x14ac:dyDescent="0.3"/>
  <cols>
    <col min="1" max="1" width="32.44140625" customWidth="1"/>
  </cols>
  <sheetData>
    <row r="1" spans="1:7" x14ac:dyDescent="0.3">
      <c r="A1" s="2" t="s">
        <v>135</v>
      </c>
      <c r="B1" s="1"/>
      <c r="C1" s="1"/>
      <c r="D1" s="1"/>
      <c r="E1" s="1"/>
      <c r="F1" s="1"/>
      <c r="G1" s="1"/>
    </row>
    <row r="2" spans="1:7" x14ac:dyDescent="0.3">
      <c r="A2" t="s">
        <v>52</v>
      </c>
      <c r="B2">
        <v>2026</v>
      </c>
      <c r="C2">
        <v>2031</v>
      </c>
      <c r="D2">
        <v>2036</v>
      </c>
      <c r="E2">
        <v>2041</v>
      </c>
      <c r="F2">
        <v>2046</v>
      </c>
      <c r="G2">
        <v>2051</v>
      </c>
    </row>
    <row r="3" spans="1:7" x14ac:dyDescent="0.3">
      <c r="A3" t="s">
        <v>53</v>
      </c>
    </row>
    <row r="4" spans="1:7" x14ac:dyDescent="0.3">
      <c r="A4" t="s">
        <v>136</v>
      </c>
      <c r="B4">
        <v>1.44</v>
      </c>
      <c r="C4">
        <v>1.41</v>
      </c>
      <c r="D4">
        <v>1.4</v>
      </c>
      <c r="E4">
        <v>1.4</v>
      </c>
      <c r="F4">
        <v>1.4</v>
      </c>
      <c r="G4">
        <v>1.4</v>
      </c>
    </row>
    <row r="5" spans="1:7" x14ac:dyDescent="0.3">
      <c r="A5" t="s">
        <v>55</v>
      </c>
      <c r="B5">
        <v>0.67</v>
      </c>
      <c r="C5">
        <v>0.66</v>
      </c>
      <c r="D5">
        <v>0.65</v>
      </c>
      <c r="E5">
        <v>0.65</v>
      </c>
      <c r="F5">
        <v>0.65</v>
      </c>
      <c r="G5">
        <v>0.65</v>
      </c>
    </row>
    <row r="6" spans="1:7" x14ac:dyDescent="0.3">
      <c r="A6" t="s">
        <v>56</v>
      </c>
      <c r="B6">
        <v>0.65</v>
      </c>
      <c r="C6">
        <v>0.64</v>
      </c>
      <c r="D6">
        <v>0.64</v>
      </c>
      <c r="E6">
        <v>0.64</v>
      </c>
      <c r="F6">
        <v>0.65</v>
      </c>
      <c r="G6">
        <v>0.65</v>
      </c>
    </row>
    <row r="7" spans="1:7" x14ac:dyDescent="0.3">
      <c r="A7" t="s">
        <v>57</v>
      </c>
      <c r="B7">
        <v>25.8</v>
      </c>
      <c r="C7">
        <v>26.1</v>
      </c>
      <c r="D7">
        <v>26.3</v>
      </c>
      <c r="E7">
        <v>26.6</v>
      </c>
      <c r="F7">
        <v>26.9</v>
      </c>
      <c r="G7">
        <v>27.1</v>
      </c>
    </row>
    <row r="8" spans="1:7" x14ac:dyDescent="0.3">
      <c r="A8" t="s">
        <v>58</v>
      </c>
      <c r="B8">
        <v>0.21</v>
      </c>
      <c r="C8">
        <v>0.2</v>
      </c>
      <c r="D8">
        <v>0.19</v>
      </c>
      <c r="E8">
        <v>0.19</v>
      </c>
      <c r="F8">
        <v>0.19</v>
      </c>
      <c r="G8">
        <v>0.19</v>
      </c>
    </row>
    <row r="9" spans="1:7" x14ac:dyDescent="0.3">
      <c r="A9" t="s">
        <v>59</v>
      </c>
    </row>
    <row r="10" spans="1:7" x14ac:dyDescent="0.3">
      <c r="A10" t="s">
        <v>60</v>
      </c>
      <c r="B10">
        <v>69.5</v>
      </c>
      <c r="C10">
        <v>71</v>
      </c>
      <c r="D10">
        <v>72.599999999999994</v>
      </c>
      <c r="E10">
        <v>74.099999999999994</v>
      </c>
      <c r="F10">
        <v>75.5</v>
      </c>
      <c r="G10">
        <v>76.8</v>
      </c>
    </row>
    <row r="11" spans="1:7" x14ac:dyDescent="0.3">
      <c r="A11" t="s">
        <v>61</v>
      </c>
      <c r="B11">
        <v>75.7</v>
      </c>
      <c r="C11">
        <v>77.599999999999994</v>
      </c>
      <c r="D11">
        <v>79.400000000000006</v>
      </c>
      <c r="E11">
        <v>81</v>
      </c>
      <c r="F11">
        <v>82.3</v>
      </c>
      <c r="G11">
        <v>83.6</v>
      </c>
    </row>
    <row r="12" spans="1:7" x14ac:dyDescent="0.3">
      <c r="A12" t="s">
        <v>62</v>
      </c>
      <c r="B12">
        <v>72.5</v>
      </c>
      <c r="C12">
        <v>74.2</v>
      </c>
      <c r="D12">
        <v>75.900000000000006</v>
      </c>
      <c r="E12">
        <v>77.5</v>
      </c>
      <c r="F12">
        <v>78.8</v>
      </c>
      <c r="G12">
        <v>80.2</v>
      </c>
    </row>
    <row r="13" spans="1:7" x14ac:dyDescent="0.3">
      <c r="A13" t="s">
        <v>63</v>
      </c>
      <c r="B13">
        <v>22.5</v>
      </c>
      <c r="C13">
        <v>18.399999999999999</v>
      </c>
      <c r="D13">
        <v>15</v>
      </c>
      <c r="E13">
        <v>12.1</v>
      </c>
      <c r="F13">
        <v>10</v>
      </c>
      <c r="G13">
        <v>8.6</v>
      </c>
    </row>
    <row r="14" spans="1:7" x14ac:dyDescent="0.3">
      <c r="A14" t="s">
        <v>64</v>
      </c>
      <c r="B14">
        <v>26.4</v>
      </c>
      <c r="C14">
        <v>21.5</v>
      </c>
      <c r="D14">
        <v>17.399999999999999</v>
      </c>
      <c r="E14">
        <v>13.9</v>
      </c>
      <c r="F14">
        <v>11.5</v>
      </c>
      <c r="G14">
        <v>9.9</v>
      </c>
    </row>
    <row r="15" spans="1:7" x14ac:dyDescent="0.3">
      <c r="A15" t="s">
        <v>108</v>
      </c>
    </row>
    <row r="16" spans="1:7" x14ac:dyDescent="0.3">
      <c r="A16" t="s">
        <v>74</v>
      </c>
      <c r="B16">
        <v>10654</v>
      </c>
      <c r="C16">
        <v>10418</v>
      </c>
      <c r="D16">
        <v>10323</v>
      </c>
      <c r="E16">
        <v>10285</v>
      </c>
      <c r="F16">
        <v>10269</v>
      </c>
      <c r="G16">
        <v>10262</v>
      </c>
    </row>
    <row r="17" spans="1:7" x14ac:dyDescent="0.3">
      <c r="A17" t="s">
        <v>75</v>
      </c>
      <c r="B17">
        <v>22244</v>
      </c>
      <c r="C17">
        <v>22449</v>
      </c>
      <c r="D17">
        <v>22551</v>
      </c>
      <c r="E17">
        <v>22602</v>
      </c>
      <c r="F17">
        <v>22627</v>
      </c>
      <c r="G17">
        <v>22639</v>
      </c>
    </row>
    <row r="18" spans="1:7" x14ac:dyDescent="0.3">
      <c r="A18" t="s">
        <v>73</v>
      </c>
      <c r="B18">
        <v>32898</v>
      </c>
      <c r="C18">
        <v>32867</v>
      </c>
      <c r="D18">
        <v>32874</v>
      </c>
      <c r="E18">
        <v>32887</v>
      </c>
      <c r="F18">
        <v>32896</v>
      </c>
      <c r="G18">
        <v>32901</v>
      </c>
    </row>
    <row r="19" spans="1:7" x14ac:dyDescent="0.3">
      <c r="A19" t="s">
        <v>65</v>
      </c>
    </row>
    <row r="20" spans="1:7" x14ac:dyDescent="0.3">
      <c r="A20" t="s">
        <v>66</v>
      </c>
      <c r="B20">
        <v>11.3</v>
      </c>
      <c r="C20">
        <v>10.3</v>
      </c>
      <c r="D20">
        <v>9.5</v>
      </c>
      <c r="E20">
        <v>8.8000000000000007</v>
      </c>
      <c r="F20">
        <v>8</v>
      </c>
      <c r="G20">
        <v>7.4</v>
      </c>
    </row>
    <row r="21" spans="1:7" x14ac:dyDescent="0.3">
      <c r="A21" t="s">
        <v>67</v>
      </c>
      <c r="B21">
        <v>8</v>
      </c>
      <c r="C21">
        <v>7.9</v>
      </c>
      <c r="D21">
        <v>8</v>
      </c>
      <c r="E21">
        <v>8.4</v>
      </c>
      <c r="F21">
        <v>9.1</v>
      </c>
      <c r="G21">
        <v>9.9</v>
      </c>
    </row>
    <row r="22" spans="1:7" x14ac:dyDescent="0.3">
      <c r="A22" t="s">
        <v>137</v>
      </c>
      <c r="B22">
        <v>0.3</v>
      </c>
      <c r="C22">
        <v>0.2</v>
      </c>
      <c r="D22">
        <v>0.2</v>
      </c>
      <c r="E22">
        <v>0</v>
      </c>
      <c r="F22">
        <v>-0.1</v>
      </c>
      <c r="G22">
        <v>-0.2</v>
      </c>
    </row>
    <row r="23" spans="1:7" x14ac:dyDescent="0.3">
      <c r="A23" t="s">
        <v>138</v>
      </c>
    </row>
    <row r="24" spans="1:7" x14ac:dyDescent="0.3">
      <c r="A24" t="s">
        <v>70</v>
      </c>
      <c r="B24">
        <v>1.4</v>
      </c>
      <c r="C24">
        <v>1.3</v>
      </c>
      <c r="D24">
        <v>1.22</v>
      </c>
      <c r="E24">
        <v>1.1299999999999999</v>
      </c>
      <c r="F24">
        <v>1.03</v>
      </c>
      <c r="G24">
        <v>0.94</v>
      </c>
    </row>
    <row r="25" spans="1:7" x14ac:dyDescent="0.3">
      <c r="A25" t="s">
        <v>71</v>
      </c>
      <c r="B25">
        <v>0.99</v>
      </c>
      <c r="C25">
        <v>0.99</v>
      </c>
      <c r="D25">
        <v>1.02</v>
      </c>
      <c r="E25">
        <v>1.08</v>
      </c>
      <c r="F25">
        <v>1.1599999999999999</v>
      </c>
      <c r="G25">
        <v>1.25</v>
      </c>
    </row>
    <row r="26" spans="1:7" x14ac:dyDescent="0.3">
      <c r="A26" t="s">
        <v>139</v>
      </c>
    </row>
    <row r="27" spans="1:7" x14ac:dyDescent="0.3">
      <c r="A27" t="s">
        <v>73</v>
      </c>
      <c r="B27">
        <v>124.1</v>
      </c>
      <c r="C27">
        <v>126</v>
      </c>
      <c r="D27">
        <v>127.4</v>
      </c>
      <c r="E27">
        <v>128.1</v>
      </c>
      <c r="F27">
        <v>127.9</v>
      </c>
      <c r="G27">
        <v>126.9</v>
      </c>
    </row>
    <row r="28" spans="1:7" x14ac:dyDescent="0.3">
      <c r="A28" t="s">
        <v>74</v>
      </c>
      <c r="B28">
        <v>64.099999999999994</v>
      </c>
      <c r="C28">
        <v>64.900000000000006</v>
      </c>
      <c r="D28">
        <v>65.400000000000006</v>
      </c>
      <c r="E28">
        <v>65.5</v>
      </c>
      <c r="F28">
        <v>65.099999999999994</v>
      </c>
      <c r="G28">
        <v>64.3</v>
      </c>
    </row>
    <row r="29" spans="1:7" x14ac:dyDescent="0.3">
      <c r="A29" t="s">
        <v>75</v>
      </c>
      <c r="B29">
        <v>60</v>
      </c>
      <c r="C29">
        <v>61.1</v>
      </c>
      <c r="D29">
        <v>62</v>
      </c>
      <c r="E29">
        <v>62.6</v>
      </c>
      <c r="F29">
        <v>62.8</v>
      </c>
      <c r="G29">
        <v>62.6</v>
      </c>
    </row>
    <row r="30" spans="1:7" x14ac:dyDescent="0.3">
      <c r="A30" t="s">
        <v>76</v>
      </c>
      <c r="B30">
        <v>5.6</v>
      </c>
      <c r="C30">
        <v>5.2</v>
      </c>
      <c r="D30">
        <v>4.8</v>
      </c>
      <c r="E30">
        <v>4.5</v>
      </c>
      <c r="F30">
        <v>4.0999999999999996</v>
      </c>
      <c r="G30">
        <v>3.8</v>
      </c>
    </row>
    <row r="31" spans="1:7" x14ac:dyDescent="0.3">
      <c r="A31" t="s">
        <v>77</v>
      </c>
      <c r="B31">
        <v>13.3</v>
      </c>
      <c r="C31">
        <v>11.7</v>
      </c>
      <c r="D31">
        <v>10.6</v>
      </c>
      <c r="E31">
        <v>9.9</v>
      </c>
      <c r="F31">
        <v>9.3000000000000007</v>
      </c>
      <c r="G31">
        <v>8.6999999999999993</v>
      </c>
    </row>
    <row r="32" spans="1:7" x14ac:dyDescent="0.3">
      <c r="A32" t="s">
        <v>78</v>
      </c>
      <c r="B32">
        <v>15.4</v>
      </c>
      <c r="C32">
        <v>14.3</v>
      </c>
      <c r="D32">
        <v>13</v>
      </c>
      <c r="E32">
        <v>11.5</v>
      </c>
      <c r="F32">
        <v>10.5</v>
      </c>
      <c r="G32">
        <v>10</v>
      </c>
    </row>
    <row r="33" spans="1:7" x14ac:dyDescent="0.3">
      <c r="A33" t="s">
        <v>79</v>
      </c>
      <c r="B33">
        <v>56.4</v>
      </c>
      <c r="C33">
        <v>55.4</v>
      </c>
      <c r="D33">
        <v>52.9</v>
      </c>
      <c r="E33">
        <v>49.5</v>
      </c>
      <c r="F33">
        <v>46.4</v>
      </c>
      <c r="G33">
        <v>43.3</v>
      </c>
    </row>
    <row r="34" spans="1:7" x14ac:dyDescent="0.3">
      <c r="A34" t="s">
        <v>80</v>
      </c>
      <c r="B34">
        <v>68.099999999999994</v>
      </c>
      <c r="C34">
        <v>68</v>
      </c>
      <c r="D34">
        <v>67</v>
      </c>
      <c r="E34">
        <v>65.2</v>
      </c>
      <c r="F34">
        <v>62.6</v>
      </c>
      <c r="G34">
        <v>59.4</v>
      </c>
    </row>
    <row r="35" spans="1:7" x14ac:dyDescent="0.3">
      <c r="A35" t="s">
        <v>81</v>
      </c>
      <c r="B35">
        <v>12.9</v>
      </c>
      <c r="C35">
        <v>15</v>
      </c>
      <c r="D35">
        <v>17.600000000000001</v>
      </c>
      <c r="E35">
        <v>20.5</v>
      </c>
      <c r="F35">
        <v>24</v>
      </c>
      <c r="G35">
        <v>28.1</v>
      </c>
    </row>
    <row r="36" spans="1:7" x14ac:dyDescent="0.3">
      <c r="A36" t="s">
        <v>82</v>
      </c>
      <c r="B36">
        <v>55.5</v>
      </c>
      <c r="C36">
        <v>54.2</v>
      </c>
      <c r="D36">
        <v>51.5</v>
      </c>
      <c r="E36">
        <v>47.9</v>
      </c>
      <c r="F36">
        <v>44.9</v>
      </c>
      <c r="G36">
        <v>41.7</v>
      </c>
    </row>
    <row r="37" spans="1:7" x14ac:dyDescent="0.3">
      <c r="A37" t="s">
        <v>83</v>
      </c>
      <c r="B37">
        <v>106.9</v>
      </c>
      <c r="C37">
        <v>106.2</v>
      </c>
      <c r="D37">
        <v>105.4</v>
      </c>
      <c r="E37">
        <v>104.5</v>
      </c>
      <c r="F37">
        <v>103.7</v>
      </c>
      <c r="G37">
        <v>102.8</v>
      </c>
    </row>
    <row r="38" spans="1:7" x14ac:dyDescent="0.3">
      <c r="A38" t="s">
        <v>84</v>
      </c>
      <c r="B38">
        <v>48.8</v>
      </c>
      <c r="C38">
        <v>46.8</v>
      </c>
      <c r="D38">
        <v>46.8</v>
      </c>
      <c r="E38">
        <v>49.3</v>
      </c>
      <c r="F38">
        <v>53.4</v>
      </c>
      <c r="G38">
        <v>59.8</v>
      </c>
    </row>
    <row r="39" spans="1:7" x14ac:dyDescent="0.3">
      <c r="A39" t="s">
        <v>85</v>
      </c>
      <c r="B39">
        <v>34</v>
      </c>
      <c r="C39">
        <v>37</v>
      </c>
      <c r="D39">
        <v>39</v>
      </c>
      <c r="E39">
        <v>42</v>
      </c>
      <c r="F39">
        <v>44</v>
      </c>
      <c r="G39">
        <v>46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S21"/>
  <sheetViews>
    <sheetView workbookViewId="0">
      <selection activeCell="U19" sqref="U18:U19"/>
    </sheetView>
  </sheetViews>
  <sheetFormatPr defaultRowHeight="14.4" x14ac:dyDescent="0.3"/>
  <sheetData>
    <row r="1" spans="1:19" x14ac:dyDescent="0.3">
      <c r="A1" s="2" t="s">
        <v>140</v>
      </c>
      <c r="B1" s="1"/>
      <c r="C1" s="1"/>
      <c r="D1" s="1"/>
      <c r="E1" s="1"/>
      <c r="F1" s="1"/>
      <c r="G1" s="1"/>
      <c r="H1" s="1"/>
      <c r="I1" s="1"/>
      <c r="J1" s="1"/>
    </row>
    <row r="2" spans="1:19" x14ac:dyDescent="0.3">
      <c r="A2" t="s">
        <v>93</v>
      </c>
      <c r="B2" s="34">
        <v>2026</v>
      </c>
      <c r="C2" s="34"/>
      <c r="D2" s="34"/>
      <c r="E2" s="34">
        <v>2031</v>
      </c>
      <c r="F2" s="34"/>
      <c r="G2" s="34"/>
      <c r="H2" s="34">
        <v>2036</v>
      </c>
      <c r="I2" s="34"/>
      <c r="J2" s="34"/>
      <c r="K2" s="37">
        <v>2041</v>
      </c>
      <c r="L2" s="37"/>
      <c r="M2" s="37"/>
      <c r="N2" s="37">
        <v>2046</v>
      </c>
      <c r="O2" s="37"/>
      <c r="P2" s="37"/>
      <c r="Q2" s="37">
        <v>2051</v>
      </c>
      <c r="R2" s="37"/>
      <c r="S2" s="37"/>
    </row>
    <row r="3" spans="1:19" x14ac:dyDescent="0.3">
      <c r="B3" t="s">
        <v>16</v>
      </c>
      <c r="C3" t="s">
        <v>46</v>
      </c>
      <c r="D3" t="s">
        <v>91</v>
      </c>
      <c r="E3" t="s">
        <v>16</v>
      </c>
      <c r="F3" t="s">
        <v>46</v>
      </c>
      <c r="G3" t="s">
        <v>91</v>
      </c>
      <c r="H3" t="s">
        <v>16</v>
      </c>
      <c r="I3" t="s">
        <v>46</v>
      </c>
      <c r="J3" t="s">
        <v>91</v>
      </c>
      <c r="K3" t="s">
        <v>16</v>
      </c>
      <c r="L3" t="s">
        <v>46</v>
      </c>
      <c r="M3" t="s">
        <v>91</v>
      </c>
      <c r="N3" t="s">
        <v>16</v>
      </c>
      <c r="O3" t="s">
        <v>46</v>
      </c>
      <c r="P3" t="s">
        <v>91</v>
      </c>
      <c r="Q3" t="s">
        <v>16</v>
      </c>
      <c r="R3" t="s">
        <v>46</v>
      </c>
      <c r="S3" t="s">
        <v>91</v>
      </c>
    </row>
    <row r="4" spans="1:19" x14ac:dyDescent="0.3">
      <c r="A4" t="s">
        <v>94</v>
      </c>
      <c r="B4">
        <v>5.78</v>
      </c>
      <c r="C4">
        <v>5.5</v>
      </c>
      <c r="D4">
        <v>5.64</v>
      </c>
      <c r="E4">
        <v>5.34</v>
      </c>
      <c r="F4">
        <v>5.03</v>
      </c>
      <c r="G4">
        <v>5.19</v>
      </c>
      <c r="H4">
        <v>4.97</v>
      </c>
      <c r="I4">
        <v>4.6399999999999997</v>
      </c>
      <c r="J4">
        <v>4.8099999999999996</v>
      </c>
      <c r="K4">
        <v>4.6500000000000004</v>
      </c>
      <c r="L4">
        <v>4.3</v>
      </c>
      <c r="M4">
        <v>4.4800000000000004</v>
      </c>
      <c r="N4">
        <v>4.32</v>
      </c>
      <c r="O4">
        <v>3.94</v>
      </c>
      <c r="P4">
        <v>4.13</v>
      </c>
      <c r="Q4">
        <v>3.99</v>
      </c>
      <c r="R4">
        <v>3.61</v>
      </c>
      <c r="S4">
        <v>3.81</v>
      </c>
    </row>
    <row r="5" spans="1:19" x14ac:dyDescent="0.3">
      <c r="A5" t="s">
        <v>95</v>
      </c>
      <c r="B5">
        <v>6.43</v>
      </c>
      <c r="C5">
        <v>6.1</v>
      </c>
      <c r="D5">
        <v>6.27</v>
      </c>
      <c r="E5">
        <v>5.69</v>
      </c>
      <c r="F5">
        <v>5.39</v>
      </c>
      <c r="G5">
        <v>5.54</v>
      </c>
      <c r="H5">
        <v>5.29</v>
      </c>
      <c r="I5">
        <v>4.95</v>
      </c>
      <c r="J5">
        <v>5.12</v>
      </c>
      <c r="K5">
        <v>4.95</v>
      </c>
      <c r="L5">
        <v>4.59</v>
      </c>
      <c r="M5">
        <v>4.78</v>
      </c>
      <c r="N5">
        <v>4.67</v>
      </c>
      <c r="O5">
        <v>4.28</v>
      </c>
      <c r="P5">
        <v>4.4800000000000004</v>
      </c>
      <c r="Q5">
        <v>4.37</v>
      </c>
      <c r="R5">
        <v>3.96</v>
      </c>
      <c r="S5">
        <v>4.16</v>
      </c>
    </row>
    <row r="6" spans="1:19" x14ac:dyDescent="0.3">
      <c r="A6" t="s">
        <v>96</v>
      </c>
      <c r="B6">
        <v>7.25</v>
      </c>
      <c r="C6">
        <v>6.84</v>
      </c>
      <c r="D6">
        <v>7.06</v>
      </c>
      <c r="E6">
        <v>6.35</v>
      </c>
      <c r="F6">
        <v>5.98</v>
      </c>
      <c r="G6">
        <v>6.17</v>
      </c>
      <c r="H6">
        <v>5.64</v>
      </c>
      <c r="I6">
        <v>5.31</v>
      </c>
      <c r="J6">
        <v>5.48</v>
      </c>
      <c r="K6">
        <v>5.27</v>
      </c>
      <c r="L6">
        <v>4.9000000000000004</v>
      </c>
      <c r="M6">
        <v>5.09</v>
      </c>
      <c r="N6">
        <v>4.9800000000000004</v>
      </c>
      <c r="O6">
        <v>4.57</v>
      </c>
      <c r="P6">
        <v>4.78</v>
      </c>
      <c r="Q6">
        <v>4.7300000000000004</v>
      </c>
      <c r="R6">
        <v>4.3</v>
      </c>
      <c r="S6">
        <v>4.5199999999999996</v>
      </c>
    </row>
    <row r="7" spans="1:19" x14ac:dyDescent="0.3">
      <c r="A7" t="s">
        <v>35</v>
      </c>
      <c r="B7">
        <v>7.66</v>
      </c>
      <c r="C7">
        <v>7.36</v>
      </c>
      <c r="D7">
        <v>7.51</v>
      </c>
      <c r="E7">
        <v>7.15</v>
      </c>
      <c r="F7">
        <v>6.71</v>
      </c>
      <c r="G7">
        <v>6.94</v>
      </c>
      <c r="H7">
        <v>6.29</v>
      </c>
      <c r="I7">
        <v>5.89</v>
      </c>
      <c r="J7">
        <v>6.1</v>
      </c>
      <c r="K7">
        <v>5.62</v>
      </c>
      <c r="L7">
        <v>5.25</v>
      </c>
      <c r="M7">
        <v>5.44</v>
      </c>
      <c r="N7">
        <v>5.29</v>
      </c>
      <c r="O7">
        <v>4.8899999999999997</v>
      </c>
      <c r="P7">
        <v>5.09</v>
      </c>
      <c r="Q7">
        <v>5.03</v>
      </c>
      <c r="R7">
        <v>4.59</v>
      </c>
      <c r="S7">
        <v>4.82</v>
      </c>
    </row>
    <row r="8" spans="1:19" x14ac:dyDescent="0.3">
      <c r="A8" t="s">
        <v>36</v>
      </c>
      <c r="B8">
        <v>8.02</v>
      </c>
      <c r="C8">
        <v>7.73</v>
      </c>
      <c r="D8">
        <v>7.88</v>
      </c>
      <c r="E8">
        <v>7.54</v>
      </c>
      <c r="F8">
        <v>7.22</v>
      </c>
      <c r="G8">
        <v>7.38</v>
      </c>
      <c r="H8">
        <v>7.07</v>
      </c>
      <c r="I8">
        <v>6.62</v>
      </c>
      <c r="J8">
        <v>6.85</v>
      </c>
      <c r="K8">
        <v>6.26</v>
      </c>
      <c r="L8">
        <v>5.84</v>
      </c>
      <c r="M8">
        <v>6.05</v>
      </c>
      <c r="N8">
        <v>5.64</v>
      </c>
      <c r="O8">
        <v>5.24</v>
      </c>
      <c r="P8">
        <v>5.44</v>
      </c>
      <c r="Q8">
        <v>5.35</v>
      </c>
      <c r="R8">
        <v>4.91</v>
      </c>
      <c r="S8">
        <v>5.13</v>
      </c>
    </row>
    <row r="9" spans="1:19" x14ac:dyDescent="0.3">
      <c r="A9" t="s">
        <v>37</v>
      </c>
      <c r="B9">
        <v>8.74</v>
      </c>
      <c r="C9">
        <v>8.4499999999999993</v>
      </c>
      <c r="D9">
        <v>8.6</v>
      </c>
      <c r="E9">
        <v>7.89</v>
      </c>
      <c r="F9">
        <v>7.59</v>
      </c>
      <c r="G9">
        <v>7.75</v>
      </c>
      <c r="H9">
        <v>7.46</v>
      </c>
      <c r="I9">
        <v>7.12</v>
      </c>
      <c r="J9">
        <v>7.29</v>
      </c>
      <c r="K9">
        <v>7.04</v>
      </c>
      <c r="L9">
        <v>6.56</v>
      </c>
      <c r="M9">
        <v>6.8</v>
      </c>
      <c r="N9">
        <v>6.28</v>
      </c>
      <c r="O9">
        <v>5.83</v>
      </c>
      <c r="P9">
        <v>6.06</v>
      </c>
      <c r="Q9">
        <v>5.71</v>
      </c>
      <c r="R9">
        <v>5.28</v>
      </c>
      <c r="S9">
        <v>5.49</v>
      </c>
    </row>
    <row r="10" spans="1:19" x14ac:dyDescent="0.3">
      <c r="A10" t="s">
        <v>38</v>
      </c>
      <c r="B10">
        <v>8.8000000000000007</v>
      </c>
      <c r="C10">
        <v>8.18</v>
      </c>
      <c r="D10">
        <v>8.5</v>
      </c>
      <c r="E10">
        <v>8.6</v>
      </c>
      <c r="F10">
        <v>8.2899999999999991</v>
      </c>
      <c r="G10">
        <v>8.4499999999999993</v>
      </c>
      <c r="H10">
        <v>7.8</v>
      </c>
      <c r="I10">
        <v>7.48</v>
      </c>
      <c r="J10">
        <v>7.65</v>
      </c>
      <c r="K10">
        <v>7.42</v>
      </c>
      <c r="L10">
        <v>7.05</v>
      </c>
      <c r="M10">
        <v>7.24</v>
      </c>
      <c r="N10">
        <v>7.07</v>
      </c>
      <c r="O10">
        <v>6.54</v>
      </c>
      <c r="P10">
        <v>6.81</v>
      </c>
      <c r="Q10">
        <v>6.36</v>
      </c>
      <c r="R10">
        <v>5.87</v>
      </c>
      <c r="S10">
        <v>6.11</v>
      </c>
    </row>
    <row r="11" spans="1:19" x14ac:dyDescent="0.3">
      <c r="A11" t="s">
        <v>39</v>
      </c>
      <c r="B11">
        <v>8.99</v>
      </c>
      <c r="C11">
        <v>8.7100000000000009</v>
      </c>
      <c r="D11">
        <v>8.86</v>
      </c>
      <c r="E11">
        <v>8.64</v>
      </c>
      <c r="F11">
        <v>8.02</v>
      </c>
      <c r="G11">
        <v>8.34</v>
      </c>
      <c r="H11">
        <v>8.49</v>
      </c>
      <c r="I11">
        <v>8.16</v>
      </c>
      <c r="J11">
        <v>8.33</v>
      </c>
      <c r="K11">
        <v>7.76</v>
      </c>
      <c r="L11">
        <v>7.41</v>
      </c>
      <c r="M11">
        <v>7.59</v>
      </c>
      <c r="N11">
        <v>7.45</v>
      </c>
      <c r="O11">
        <v>7.03</v>
      </c>
      <c r="P11">
        <v>7.24</v>
      </c>
      <c r="Q11">
        <v>7.14</v>
      </c>
      <c r="R11">
        <v>6.58</v>
      </c>
      <c r="S11">
        <v>6.87</v>
      </c>
    </row>
    <row r="12" spans="1:19" x14ac:dyDescent="0.3">
      <c r="A12" t="s">
        <v>40</v>
      </c>
      <c r="B12">
        <v>8.07</v>
      </c>
      <c r="C12">
        <v>8.06</v>
      </c>
      <c r="D12">
        <v>8.07</v>
      </c>
      <c r="E12">
        <v>8.8000000000000007</v>
      </c>
      <c r="F12">
        <v>8.52</v>
      </c>
      <c r="G12">
        <v>8.66</v>
      </c>
      <c r="H12">
        <v>8.51</v>
      </c>
      <c r="I12">
        <v>7.88</v>
      </c>
      <c r="J12">
        <v>8.2100000000000009</v>
      </c>
      <c r="K12">
        <v>8.43</v>
      </c>
      <c r="L12">
        <v>8.06</v>
      </c>
      <c r="M12">
        <v>8.25</v>
      </c>
      <c r="N12">
        <v>7.77</v>
      </c>
      <c r="O12">
        <v>7.38</v>
      </c>
      <c r="P12">
        <v>7.58</v>
      </c>
      <c r="Q12">
        <v>7.51</v>
      </c>
      <c r="R12">
        <v>7.06</v>
      </c>
      <c r="S12">
        <v>7.29</v>
      </c>
    </row>
    <row r="13" spans="1:19" x14ac:dyDescent="0.3">
      <c r="A13" t="s">
        <v>41</v>
      </c>
      <c r="B13">
        <v>6.87</v>
      </c>
      <c r="C13">
        <v>6.99</v>
      </c>
      <c r="D13">
        <v>6.93</v>
      </c>
      <c r="E13">
        <v>7.85</v>
      </c>
      <c r="F13">
        <v>7.85</v>
      </c>
      <c r="G13">
        <v>7.85</v>
      </c>
      <c r="H13">
        <v>8.6199999999999992</v>
      </c>
      <c r="I13">
        <v>8.34</v>
      </c>
      <c r="J13">
        <v>8.49</v>
      </c>
      <c r="K13">
        <v>8.41</v>
      </c>
      <c r="L13">
        <v>7.77</v>
      </c>
      <c r="M13">
        <v>8.09</v>
      </c>
      <c r="N13">
        <v>8.4</v>
      </c>
      <c r="O13">
        <v>8.01</v>
      </c>
      <c r="P13">
        <v>8.2100000000000009</v>
      </c>
      <c r="Q13">
        <v>7.8</v>
      </c>
      <c r="R13">
        <v>7.39</v>
      </c>
      <c r="S13">
        <v>7.6</v>
      </c>
    </row>
    <row r="14" spans="1:19" x14ac:dyDescent="0.3">
      <c r="A14" t="s">
        <v>97</v>
      </c>
      <c r="B14">
        <v>6.23</v>
      </c>
      <c r="C14">
        <v>6.53</v>
      </c>
      <c r="D14">
        <v>6.38</v>
      </c>
      <c r="E14">
        <v>6.6</v>
      </c>
      <c r="F14">
        <v>6.77</v>
      </c>
      <c r="G14">
        <v>6.69</v>
      </c>
      <c r="H14">
        <v>7.61</v>
      </c>
      <c r="I14">
        <v>7.66</v>
      </c>
      <c r="J14">
        <v>7.64</v>
      </c>
      <c r="K14">
        <v>8.44</v>
      </c>
      <c r="L14">
        <v>8.19</v>
      </c>
      <c r="M14">
        <v>8.31</v>
      </c>
      <c r="N14">
        <v>8.31</v>
      </c>
      <c r="O14">
        <v>7.69</v>
      </c>
      <c r="P14">
        <v>8.01</v>
      </c>
      <c r="Q14">
        <v>8.3800000000000008</v>
      </c>
      <c r="R14">
        <v>8</v>
      </c>
      <c r="S14">
        <v>8.19</v>
      </c>
    </row>
    <row r="15" spans="1:19" x14ac:dyDescent="0.3">
      <c r="A15" t="s">
        <v>98</v>
      </c>
      <c r="B15">
        <v>5.34</v>
      </c>
      <c r="C15">
        <v>5.46</v>
      </c>
      <c r="D15">
        <v>5.4</v>
      </c>
      <c r="E15">
        <v>5.88</v>
      </c>
      <c r="F15">
        <v>6.27</v>
      </c>
      <c r="G15">
        <v>6.07</v>
      </c>
      <c r="H15">
        <v>6.29</v>
      </c>
      <c r="I15">
        <v>6.56</v>
      </c>
      <c r="J15">
        <v>6.42</v>
      </c>
      <c r="K15">
        <v>7.33</v>
      </c>
      <c r="L15">
        <v>7.47</v>
      </c>
      <c r="M15">
        <v>7.4</v>
      </c>
      <c r="N15">
        <v>8.2200000000000006</v>
      </c>
      <c r="O15">
        <v>8.06</v>
      </c>
      <c r="P15">
        <v>8.14</v>
      </c>
      <c r="Q15">
        <v>8.19</v>
      </c>
      <c r="R15">
        <v>7.64</v>
      </c>
      <c r="S15">
        <v>7.92</v>
      </c>
    </row>
    <row r="16" spans="1:19" x14ac:dyDescent="0.3">
      <c r="A16" t="s">
        <v>99</v>
      </c>
      <c r="B16">
        <v>4.17</v>
      </c>
      <c r="C16">
        <v>4.46</v>
      </c>
      <c r="D16">
        <v>4.3099999999999996</v>
      </c>
      <c r="E16">
        <v>4.88</v>
      </c>
      <c r="F16">
        <v>5.17</v>
      </c>
      <c r="G16">
        <v>5.0199999999999996</v>
      </c>
      <c r="H16">
        <v>5.45</v>
      </c>
      <c r="I16">
        <v>6</v>
      </c>
      <c r="J16">
        <v>5.72</v>
      </c>
      <c r="K16">
        <v>5.91</v>
      </c>
      <c r="L16">
        <v>6.34</v>
      </c>
      <c r="M16">
        <v>6.12</v>
      </c>
      <c r="N16">
        <v>6.99</v>
      </c>
      <c r="O16">
        <v>7.3</v>
      </c>
      <c r="P16">
        <v>7.14</v>
      </c>
      <c r="Q16">
        <v>7.94</v>
      </c>
      <c r="R16">
        <v>7.95</v>
      </c>
      <c r="S16">
        <v>7.95</v>
      </c>
    </row>
    <row r="17" spans="1:19" x14ac:dyDescent="0.3">
      <c r="A17" t="s">
        <v>100</v>
      </c>
      <c r="B17">
        <v>3.13</v>
      </c>
      <c r="C17">
        <v>3.37</v>
      </c>
      <c r="D17">
        <v>3.25</v>
      </c>
      <c r="E17">
        <v>3.64</v>
      </c>
      <c r="F17">
        <v>4.12</v>
      </c>
      <c r="G17">
        <v>3.87</v>
      </c>
      <c r="H17">
        <v>4.34</v>
      </c>
      <c r="I17">
        <v>4.8499999999999996</v>
      </c>
      <c r="J17">
        <v>4.58</v>
      </c>
      <c r="K17">
        <v>4.92</v>
      </c>
      <c r="L17">
        <v>5.69</v>
      </c>
      <c r="M17">
        <v>5.3</v>
      </c>
      <c r="N17">
        <v>5.43</v>
      </c>
      <c r="O17">
        <v>6.09</v>
      </c>
      <c r="P17">
        <v>5.75</v>
      </c>
      <c r="Q17">
        <v>6.53</v>
      </c>
      <c r="R17">
        <v>7.1</v>
      </c>
      <c r="S17">
        <v>6.81</v>
      </c>
    </row>
    <row r="18" spans="1:19" x14ac:dyDescent="0.3">
      <c r="A18" t="s">
        <v>101</v>
      </c>
      <c r="B18">
        <v>2.04</v>
      </c>
      <c r="C18">
        <v>2.4700000000000002</v>
      </c>
      <c r="D18">
        <v>2.25</v>
      </c>
      <c r="E18">
        <v>2.5299999999999998</v>
      </c>
      <c r="F18">
        <v>2.96</v>
      </c>
      <c r="G18">
        <v>2.74</v>
      </c>
      <c r="H18">
        <v>3.01</v>
      </c>
      <c r="I18">
        <v>3.69</v>
      </c>
      <c r="J18">
        <v>3.34</v>
      </c>
      <c r="K18">
        <v>3.66</v>
      </c>
      <c r="L18">
        <v>4.43</v>
      </c>
      <c r="M18">
        <v>4.04</v>
      </c>
      <c r="N18">
        <v>4.24</v>
      </c>
      <c r="O18">
        <v>5.3</v>
      </c>
      <c r="P18">
        <v>4.76</v>
      </c>
      <c r="Q18">
        <v>4.79</v>
      </c>
      <c r="R18">
        <v>5.76</v>
      </c>
      <c r="S18">
        <v>5.27</v>
      </c>
    </row>
    <row r="19" spans="1:19" x14ac:dyDescent="0.3">
      <c r="A19" t="s">
        <v>102</v>
      </c>
      <c r="B19">
        <v>1.37</v>
      </c>
      <c r="C19">
        <v>2.04</v>
      </c>
      <c r="D19">
        <v>1.7</v>
      </c>
      <c r="E19">
        <v>1.46</v>
      </c>
      <c r="F19">
        <v>1.98</v>
      </c>
      <c r="G19">
        <v>1.71</v>
      </c>
      <c r="H19">
        <v>1.86</v>
      </c>
      <c r="I19">
        <v>2.46</v>
      </c>
      <c r="J19">
        <v>2.15</v>
      </c>
      <c r="K19">
        <v>2.2799999999999998</v>
      </c>
      <c r="L19">
        <v>3.16</v>
      </c>
      <c r="M19">
        <v>2.71</v>
      </c>
      <c r="N19">
        <v>2.85</v>
      </c>
      <c r="O19">
        <v>3.89</v>
      </c>
      <c r="P19">
        <v>3.36</v>
      </c>
      <c r="Q19">
        <v>3.41</v>
      </c>
      <c r="R19">
        <v>4.76</v>
      </c>
      <c r="S19">
        <v>4.07</v>
      </c>
    </row>
    <row r="20" spans="1:19" x14ac:dyDescent="0.3">
      <c r="A20" t="s">
        <v>103</v>
      </c>
      <c r="B20">
        <v>1.08</v>
      </c>
      <c r="C20">
        <v>1.75</v>
      </c>
      <c r="D20">
        <v>1.4</v>
      </c>
      <c r="E20">
        <v>1.17</v>
      </c>
      <c r="F20">
        <v>2.12</v>
      </c>
      <c r="G20">
        <v>1.63</v>
      </c>
      <c r="H20">
        <v>1.3</v>
      </c>
      <c r="I20">
        <v>2.39</v>
      </c>
      <c r="J20">
        <v>1.83</v>
      </c>
      <c r="K20">
        <v>1.64</v>
      </c>
      <c r="L20">
        <v>3</v>
      </c>
      <c r="M20">
        <v>2.2999999999999998</v>
      </c>
      <c r="N20">
        <v>2.1</v>
      </c>
      <c r="O20">
        <v>3.96</v>
      </c>
      <c r="P20">
        <v>3.02</v>
      </c>
      <c r="Q20">
        <v>2.78</v>
      </c>
      <c r="R20">
        <v>5.23</v>
      </c>
      <c r="S20">
        <v>3.99</v>
      </c>
    </row>
    <row r="21" spans="1:19" x14ac:dyDescent="0.3">
      <c r="A21" t="s">
        <v>73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</row>
  </sheetData>
  <mergeCells count="6">
    <mergeCell ref="Q2:S2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G39"/>
  <sheetViews>
    <sheetView workbookViewId="0">
      <selection activeCell="A25" sqref="A25"/>
    </sheetView>
  </sheetViews>
  <sheetFormatPr defaultRowHeight="14.4" x14ac:dyDescent="0.3"/>
  <cols>
    <col min="1" max="1" width="29.77734375" customWidth="1"/>
  </cols>
  <sheetData>
    <row r="1" spans="1:7" x14ac:dyDescent="0.3">
      <c r="A1" s="2" t="s">
        <v>141</v>
      </c>
      <c r="B1" s="1"/>
      <c r="C1" s="1"/>
      <c r="D1" s="1"/>
      <c r="E1" s="1"/>
      <c r="F1" s="1"/>
      <c r="G1" s="1"/>
    </row>
    <row r="2" spans="1:7" x14ac:dyDescent="0.3">
      <c r="A2" t="s">
        <v>52</v>
      </c>
      <c r="B2">
        <v>2026</v>
      </c>
      <c r="C2">
        <v>2031</v>
      </c>
      <c r="D2">
        <v>2036</v>
      </c>
      <c r="E2">
        <v>2041</v>
      </c>
      <c r="F2">
        <v>2046</v>
      </c>
      <c r="G2">
        <v>2051</v>
      </c>
    </row>
    <row r="3" spans="1:7" x14ac:dyDescent="0.3">
      <c r="A3" t="s">
        <v>53</v>
      </c>
    </row>
    <row r="4" spans="1:7" x14ac:dyDescent="0.3">
      <c r="A4" t="s">
        <v>54</v>
      </c>
      <c r="B4">
        <v>1.64</v>
      </c>
      <c r="C4">
        <v>1.57</v>
      </c>
      <c r="D4">
        <v>1.53</v>
      </c>
      <c r="E4">
        <v>1.51</v>
      </c>
      <c r="F4">
        <v>1.5</v>
      </c>
      <c r="G4">
        <v>1.5</v>
      </c>
    </row>
    <row r="5" spans="1:7" x14ac:dyDescent="0.3">
      <c r="A5" t="s">
        <v>55</v>
      </c>
      <c r="B5">
        <v>0.8</v>
      </c>
      <c r="C5">
        <v>0.76</v>
      </c>
      <c r="D5">
        <v>0.74</v>
      </c>
      <c r="E5">
        <v>0.73</v>
      </c>
      <c r="F5">
        <v>0.73</v>
      </c>
      <c r="G5">
        <v>0.73</v>
      </c>
    </row>
    <row r="6" spans="1:7" x14ac:dyDescent="0.3">
      <c r="A6" t="s">
        <v>56</v>
      </c>
      <c r="B6">
        <v>0.74</v>
      </c>
      <c r="C6">
        <v>0.71</v>
      </c>
      <c r="D6">
        <v>0.7</v>
      </c>
      <c r="E6">
        <v>0.7</v>
      </c>
      <c r="F6">
        <v>0.7</v>
      </c>
      <c r="G6">
        <v>0.7</v>
      </c>
    </row>
    <row r="7" spans="1:7" x14ac:dyDescent="0.3">
      <c r="A7" t="s">
        <v>57</v>
      </c>
      <c r="B7">
        <v>26.8</v>
      </c>
      <c r="C7">
        <v>26.8</v>
      </c>
      <c r="D7">
        <v>26.9</v>
      </c>
      <c r="E7">
        <v>27</v>
      </c>
      <c r="F7">
        <v>27</v>
      </c>
      <c r="G7">
        <v>27.1</v>
      </c>
    </row>
    <row r="8" spans="1:7" x14ac:dyDescent="0.3">
      <c r="A8" t="s">
        <v>58</v>
      </c>
      <c r="B8">
        <v>0.24</v>
      </c>
      <c r="C8">
        <v>0.23</v>
      </c>
      <c r="D8">
        <v>0.21</v>
      </c>
      <c r="E8">
        <v>0.2</v>
      </c>
      <c r="F8">
        <v>0.2</v>
      </c>
      <c r="G8">
        <v>0.2</v>
      </c>
    </row>
    <row r="9" spans="1:7" x14ac:dyDescent="0.3">
      <c r="A9" t="s">
        <v>59</v>
      </c>
    </row>
    <row r="10" spans="1:7" x14ac:dyDescent="0.3">
      <c r="A10" t="s">
        <v>60</v>
      </c>
      <c r="B10">
        <v>68.8</v>
      </c>
      <c r="C10">
        <v>70.5</v>
      </c>
      <c r="D10">
        <v>71.900000000000006</v>
      </c>
      <c r="E10">
        <v>73.400000000000006</v>
      </c>
      <c r="F10">
        <v>74.8</v>
      </c>
      <c r="G10">
        <v>76.099999999999994</v>
      </c>
    </row>
    <row r="11" spans="1:7" x14ac:dyDescent="0.3">
      <c r="A11" t="s">
        <v>61</v>
      </c>
      <c r="B11">
        <v>72</v>
      </c>
      <c r="C11">
        <v>73.8</v>
      </c>
      <c r="D11">
        <v>75.599999999999994</v>
      </c>
      <c r="E11">
        <v>77.2</v>
      </c>
      <c r="F11">
        <v>78.7</v>
      </c>
      <c r="G11">
        <v>80.2</v>
      </c>
    </row>
    <row r="12" spans="1:7" x14ac:dyDescent="0.3">
      <c r="A12" t="s">
        <v>62</v>
      </c>
      <c r="B12">
        <v>70.400000000000006</v>
      </c>
      <c r="C12">
        <v>72.099999999999994</v>
      </c>
      <c r="D12">
        <v>73.8</v>
      </c>
      <c r="E12">
        <v>75.3</v>
      </c>
      <c r="F12">
        <v>76.7</v>
      </c>
      <c r="G12">
        <v>78.099999999999994</v>
      </c>
    </row>
    <row r="13" spans="1:7" x14ac:dyDescent="0.3">
      <c r="A13" t="s">
        <v>63</v>
      </c>
      <c r="B13">
        <v>53.3</v>
      </c>
      <c r="C13">
        <v>46.7</v>
      </c>
      <c r="D13">
        <v>40.700000000000003</v>
      </c>
      <c r="E13">
        <v>35.299999999999997</v>
      </c>
      <c r="F13">
        <v>30.8</v>
      </c>
      <c r="G13">
        <v>26.7</v>
      </c>
    </row>
    <row r="14" spans="1:7" x14ac:dyDescent="0.3">
      <c r="A14" t="s">
        <v>64</v>
      </c>
      <c r="B14">
        <v>64.7</v>
      </c>
      <c r="C14">
        <v>55.6</v>
      </c>
      <c r="D14">
        <v>47.9</v>
      </c>
      <c r="E14">
        <v>41.2</v>
      </c>
      <c r="F14">
        <v>35.5</v>
      </c>
      <c r="G14">
        <v>30.8</v>
      </c>
    </row>
    <row r="15" spans="1:7" x14ac:dyDescent="0.3">
      <c r="A15" t="s">
        <v>108</v>
      </c>
    </row>
    <row r="16" spans="1:7" x14ac:dyDescent="0.3">
      <c r="A16" t="s">
        <v>74</v>
      </c>
      <c r="B16">
        <v>-4203</v>
      </c>
      <c r="C16">
        <v>-4347</v>
      </c>
      <c r="D16">
        <v>-4429</v>
      </c>
      <c r="E16">
        <v>-4475</v>
      </c>
      <c r="F16">
        <v>-4500</v>
      </c>
      <c r="G16">
        <v>-4513</v>
      </c>
    </row>
    <row r="17" spans="1:7" x14ac:dyDescent="0.3">
      <c r="A17" t="s">
        <v>75</v>
      </c>
      <c r="B17">
        <v>-881</v>
      </c>
      <c r="C17">
        <v>-862</v>
      </c>
      <c r="D17">
        <v>-854</v>
      </c>
      <c r="E17">
        <v>-851</v>
      </c>
      <c r="F17">
        <v>-850</v>
      </c>
      <c r="G17">
        <v>-849</v>
      </c>
    </row>
    <row r="18" spans="1:7" x14ac:dyDescent="0.3">
      <c r="A18" t="s">
        <v>73</v>
      </c>
      <c r="B18">
        <v>-5084</v>
      </c>
      <c r="C18">
        <v>-5209</v>
      </c>
      <c r="D18">
        <v>-5283</v>
      </c>
      <c r="E18">
        <v>-5326</v>
      </c>
      <c r="F18">
        <v>-5350</v>
      </c>
      <c r="G18">
        <v>-5362</v>
      </c>
    </row>
    <row r="19" spans="1:7" x14ac:dyDescent="0.3">
      <c r="A19" t="s">
        <v>65</v>
      </c>
    </row>
    <row r="20" spans="1:7" x14ac:dyDescent="0.3">
      <c r="A20" t="s">
        <v>66</v>
      </c>
      <c r="B20">
        <v>13.8</v>
      </c>
      <c r="C20">
        <v>12.3</v>
      </c>
      <c r="D20">
        <v>11</v>
      </c>
      <c r="E20">
        <v>10.1</v>
      </c>
      <c r="F20">
        <v>9.5</v>
      </c>
      <c r="G20">
        <v>9</v>
      </c>
    </row>
    <row r="21" spans="1:7" x14ac:dyDescent="0.3">
      <c r="A21" t="s">
        <v>67</v>
      </c>
      <c r="B21">
        <v>7.8</v>
      </c>
      <c r="C21">
        <v>7.9</v>
      </c>
      <c r="D21">
        <v>7.9</v>
      </c>
      <c r="E21">
        <v>8.3000000000000007</v>
      </c>
      <c r="F21">
        <v>8.9</v>
      </c>
      <c r="G21">
        <v>9.5</v>
      </c>
    </row>
    <row r="22" spans="1:7" x14ac:dyDescent="0.3">
      <c r="A22" t="s">
        <v>86</v>
      </c>
      <c r="B22">
        <v>0.6</v>
      </c>
      <c r="C22">
        <v>0.5</v>
      </c>
      <c r="D22">
        <v>0.3</v>
      </c>
      <c r="E22">
        <v>0.2</v>
      </c>
      <c r="F22">
        <v>0.1</v>
      </c>
      <c r="G22">
        <v>-0.1</v>
      </c>
    </row>
    <row r="23" spans="1:7" x14ac:dyDescent="0.3">
      <c r="A23" t="s">
        <v>69</v>
      </c>
    </row>
    <row r="24" spans="1:7" x14ac:dyDescent="0.3">
      <c r="A24" t="s">
        <v>70</v>
      </c>
      <c r="B24">
        <v>0.66</v>
      </c>
      <c r="C24">
        <v>0.6</v>
      </c>
      <c r="D24">
        <v>0.55000000000000004</v>
      </c>
      <c r="E24">
        <v>0.51</v>
      </c>
      <c r="F24">
        <v>0.48</v>
      </c>
      <c r="G24">
        <v>0.45</v>
      </c>
    </row>
    <row r="25" spans="1:7" x14ac:dyDescent="0.3">
      <c r="A25" t="s">
        <v>71</v>
      </c>
      <c r="B25">
        <v>0.37</v>
      </c>
      <c r="C25">
        <v>0.38</v>
      </c>
      <c r="D25">
        <v>0.39</v>
      </c>
      <c r="E25">
        <v>0.42</v>
      </c>
      <c r="F25">
        <v>0.45</v>
      </c>
      <c r="G25">
        <v>0.48</v>
      </c>
    </row>
    <row r="26" spans="1:7" x14ac:dyDescent="0.3">
      <c r="A26" t="s">
        <v>72</v>
      </c>
    </row>
    <row r="27" spans="1:7" x14ac:dyDescent="0.3">
      <c r="A27" t="s">
        <v>73</v>
      </c>
      <c r="B27">
        <v>47.6</v>
      </c>
      <c r="C27">
        <v>48.8</v>
      </c>
      <c r="D27">
        <v>49.7</v>
      </c>
      <c r="E27">
        <v>50.2</v>
      </c>
      <c r="F27">
        <v>50.4</v>
      </c>
      <c r="G27">
        <v>50.4</v>
      </c>
    </row>
    <row r="28" spans="1:7" x14ac:dyDescent="0.3">
      <c r="A28" t="s">
        <v>74</v>
      </c>
      <c r="B28">
        <v>23.9</v>
      </c>
      <c r="C28">
        <v>24.5</v>
      </c>
      <c r="D28">
        <v>24.9</v>
      </c>
      <c r="E28">
        <v>25.1</v>
      </c>
      <c r="F28">
        <v>25.1</v>
      </c>
      <c r="G28">
        <v>25</v>
      </c>
    </row>
    <row r="29" spans="1:7" x14ac:dyDescent="0.3">
      <c r="A29" t="s">
        <v>75</v>
      </c>
      <c r="B29">
        <v>23.7</v>
      </c>
      <c r="C29">
        <v>24.3</v>
      </c>
      <c r="D29">
        <v>24.8</v>
      </c>
      <c r="E29">
        <v>25.1</v>
      </c>
      <c r="F29">
        <v>25.3</v>
      </c>
      <c r="G29">
        <v>25.4</v>
      </c>
    </row>
    <row r="30" spans="1:7" x14ac:dyDescent="0.3">
      <c r="A30" t="s">
        <v>76</v>
      </c>
      <c r="B30">
        <v>6.7</v>
      </c>
      <c r="C30">
        <v>6.1</v>
      </c>
      <c r="D30">
        <v>5.4</v>
      </c>
      <c r="E30">
        <v>5</v>
      </c>
      <c r="F30">
        <v>4.7</v>
      </c>
      <c r="G30">
        <v>4.5</v>
      </c>
    </row>
    <row r="31" spans="1:7" x14ac:dyDescent="0.3">
      <c r="A31" t="s">
        <v>77</v>
      </c>
      <c r="B31">
        <v>14.3</v>
      </c>
      <c r="C31">
        <v>13.2</v>
      </c>
      <c r="D31">
        <v>12.2</v>
      </c>
      <c r="E31">
        <v>11.2</v>
      </c>
      <c r="F31">
        <v>10.3</v>
      </c>
      <c r="G31">
        <v>9.6</v>
      </c>
    </row>
    <row r="32" spans="1:7" x14ac:dyDescent="0.3">
      <c r="A32" t="s">
        <v>78</v>
      </c>
      <c r="B32">
        <v>16.100000000000001</v>
      </c>
      <c r="C32">
        <v>14.5</v>
      </c>
      <c r="D32">
        <v>13.7</v>
      </c>
      <c r="E32">
        <v>12.8</v>
      </c>
      <c r="F32">
        <v>12</v>
      </c>
      <c r="G32">
        <v>11.1</v>
      </c>
    </row>
    <row r="33" spans="1:7" x14ac:dyDescent="0.3">
      <c r="A33" t="s">
        <v>79</v>
      </c>
      <c r="B33">
        <v>54.7</v>
      </c>
      <c r="C33">
        <v>53.9</v>
      </c>
      <c r="D33">
        <v>52.5</v>
      </c>
      <c r="E33">
        <v>50.6</v>
      </c>
      <c r="F33">
        <v>48.5</v>
      </c>
      <c r="G33">
        <v>45.4</v>
      </c>
    </row>
    <row r="34" spans="1:7" x14ac:dyDescent="0.3">
      <c r="A34" t="s">
        <v>80</v>
      </c>
      <c r="B34">
        <v>66</v>
      </c>
      <c r="C34">
        <v>65.8</v>
      </c>
      <c r="D34">
        <v>65</v>
      </c>
      <c r="E34">
        <v>64.400000000000006</v>
      </c>
      <c r="F34">
        <v>62.8</v>
      </c>
      <c r="G34">
        <v>62.9</v>
      </c>
    </row>
    <row r="35" spans="1:7" x14ac:dyDescent="0.3">
      <c r="A35" t="s">
        <v>81</v>
      </c>
      <c r="B35">
        <v>13</v>
      </c>
      <c r="C35">
        <v>14.9</v>
      </c>
      <c r="D35">
        <v>17.3</v>
      </c>
      <c r="E35">
        <v>19.5</v>
      </c>
      <c r="F35">
        <v>22.2</v>
      </c>
      <c r="G35" t="s">
        <v>142</v>
      </c>
    </row>
    <row r="36" spans="1:7" x14ac:dyDescent="0.3">
      <c r="A36" t="s">
        <v>82</v>
      </c>
      <c r="B36">
        <v>54.7</v>
      </c>
      <c r="C36">
        <v>53.7</v>
      </c>
      <c r="D36">
        <v>51.9</v>
      </c>
      <c r="E36">
        <v>49.7</v>
      </c>
      <c r="F36">
        <v>47.3</v>
      </c>
      <c r="G36">
        <v>44</v>
      </c>
    </row>
    <row r="37" spans="1:7" x14ac:dyDescent="0.3">
      <c r="A37" t="s">
        <v>83</v>
      </c>
      <c r="B37">
        <v>101.1</v>
      </c>
      <c r="C37">
        <v>100.7</v>
      </c>
      <c r="D37">
        <v>100.3</v>
      </c>
      <c r="E37">
        <v>99.8</v>
      </c>
      <c r="F37">
        <v>99.2</v>
      </c>
      <c r="G37">
        <v>98.7</v>
      </c>
    </row>
    <row r="38" spans="1:7" x14ac:dyDescent="0.3">
      <c r="A38" t="s">
        <v>84</v>
      </c>
      <c r="B38">
        <v>51.7</v>
      </c>
      <c r="C38">
        <v>51.4</v>
      </c>
      <c r="D38">
        <v>52.1</v>
      </c>
      <c r="E38">
        <v>53.7</v>
      </c>
      <c r="F38">
        <v>55.4</v>
      </c>
      <c r="G38">
        <v>59.1</v>
      </c>
    </row>
    <row r="39" spans="1:7" x14ac:dyDescent="0.3">
      <c r="A39" t="s">
        <v>85</v>
      </c>
      <c r="B39">
        <v>32</v>
      </c>
      <c r="C39">
        <v>35</v>
      </c>
      <c r="D39">
        <v>37</v>
      </c>
      <c r="E39">
        <v>39</v>
      </c>
      <c r="F39">
        <v>42</v>
      </c>
      <c r="G39">
        <v>44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S21"/>
  <sheetViews>
    <sheetView workbookViewId="0">
      <selection activeCell="B2" sqref="B2:S2"/>
    </sheetView>
  </sheetViews>
  <sheetFormatPr defaultRowHeight="14.4" x14ac:dyDescent="0.3"/>
  <sheetData>
    <row r="1" spans="1:19" x14ac:dyDescent="0.3">
      <c r="A1" s="2" t="s">
        <v>143</v>
      </c>
      <c r="B1" s="1"/>
      <c r="C1" s="1"/>
      <c r="D1" s="1"/>
      <c r="E1" s="1"/>
      <c r="F1" s="1"/>
      <c r="G1" s="1"/>
      <c r="H1" s="1"/>
      <c r="I1" s="1"/>
      <c r="J1" s="1"/>
    </row>
    <row r="2" spans="1:19" x14ac:dyDescent="0.3">
      <c r="A2" t="s">
        <v>34</v>
      </c>
      <c r="B2" s="34">
        <v>2026</v>
      </c>
      <c r="C2" s="34"/>
      <c r="D2" s="34"/>
      <c r="E2" s="34">
        <v>2031</v>
      </c>
      <c r="F2" s="34"/>
      <c r="G2" s="34"/>
      <c r="H2" s="34">
        <v>2036</v>
      </c>
      <c r="I2" s="34"/>
      <c r="J2" s="34"/>
      <c r="K2" s="37">
        <v>2041</v>
      </c>
      <c r="L2" s="37"/>
      <c r="M2" s="37"/>
      <c r="N2" s="37">
        <v>2046</v>
      </c>
      <c r="O2" s="37"/>
      <c r="P2" s="37"/>
      <c r="Q2" s="37">
        <v>2051</v>
      </c>
      <c r="R2" s="37"/>
      <c r="S2" s="37"/>
    </row>
    <row r="3" spans="1:19" x14ac:dyDescent="0.3">
      <c r="B3" t="s">
        <v>16</v>
      </c>
      <c r="C3" t="s">
        <v>46</v>
      </c>
      <c r="D3" t="s">
        <v>91</v>
      </c>
      <c r="E3" t="s">
        <v>16</v>
      </c>
      <c r="F3" t="s">
        <v>46</v>
      </c>
      <c r="G3" t="s">
        <v>91</v>
      </c>
      <c r="H3" t="s">
        <v>16</v>
      </c>
      <c r="I3" t="s">
        <v>46</v>
      </c>
      <c r="J3" t="s">
        <v>91</v>
      </c>
      <c r="K3" t="s">
        <v>16</v>
      </c>
      <c r="L3" t="s">
        <v>46</v>
      </c>
      <c r="M3" t="s">
        <v>91</v>
      </c>
      <c r="N3" t="s">
        <v>16</v>
      </c>
      <c r="O3" t="s">
        <v>46</v>
      </c>
      <c r="P3" t="s">
        <v>91</v>
      </c>
      <c r="Q3" t="s">
        <v>16</v>
      </c>
      <c r="R3" t="s">
        <v>46</v>
      </c>
      <c r="S3" t="s">
        <v>91</v>
      </c>
    </row>
    <row r="4" spans="1:19" x14ac:dyDescent="0.3">
      <c r="A4" t="s">
        <v>94</v>
      </c>
      <c r="B4">
        <v>6.81</v>
      </c>
      <c r="C4">
        <v>6.51</v>
      </c>
      <c r="D4">
        <v>6.66</v>
      </c>
      <c r="E4">
        <v>6.2</v>
      </c>
      <c r="F4">
        <v>5.91</v>
      </c>
      <c r="G4">
        <v>6.06</v>
      </c>
      <c r="H4">
        <v>5.58</v>
      </c>
      <c r="I4">
        <v>5.3</v>
      </c>
      <c r="J4">
        <v>5.44</v>
      </c>
      <c r="K4">
        <v>5.12</v>
      </c>
      <c r="L4">
        <v>4.84</v>
      </c>
      <c r="M4">
        <v>4.9800000000000004</v>
      </c>
      <c r="N4">
        <v>4.8499999999999996</v>
      </c>
      <c r="O4">
        <v>4.55</v>
      </c>
      <c r="P4">
        <v>4.7</v>
      </c>
      <c r="Q4">
        <v>4.62</v>
      </c>
      <c r="R4">
        <v>4.32</v>
      </c>
      <c r="S4">
        <v>4.47</v>
      </c>
    </row>
    <row r="5" spans="1:19" x14ac:dyDescent="0.3">
      <c r="A5" t="s">
        <v>95</v>
      </c>
      <c r="B5">
        <v>7.15</v>
      </c>
      <c r="C5">
        <v>6.81</v>
      </c>
      <c r="D5">
        <v>6.98</v>
      </c>
      <c r="E5">
        <v>6.6</v>
      </c>
      <c r="F5">
        <v>6.28</v>
      </c>
      <c r="G5">
        <v>6.44</v>
      </c>
      <c r="H5">
        <v>6.07</v>
      </c>
      <c r="I5">
        <v>5.76</v>
      </c>
      <c r="J5">
        <v>5.91</v>
      </c>
      <c r="K5">
        <v>5.51</v>
      </c>
      <c r="L5">
        <v>5.2</v>
      </c>
      <c r="M5">
        <v>5.35</v>
      </c>
      <c r="N5">
        <v>5.09</v>
      </c>
      <c r="O5">
        <v>4.78</v>
      </c>
      <c r="P5">
        <v>4.93</v>
      </c>
      <c r="Q5">
        <v>4.8499999999999996</v>
      </c>
      <c r="R5">
        <v>4.53</v>
      </c>
      <c r="S5">
        <v>4.6900000000000004</v>
      </c>
    </row>
    <row r="6" spans="1:19" x14ac:dyDescent="0.3">
      <c r="A6" t="s">
        <v>96</v>
      </c>
      <c r="B6">
        <v>7.5</v>
      </c>
      <c r="C6">
        <v>7.16</v>
      </c>
      <c r="D6">
        <v>7.33</v>
      </c>
      <c r="E6">
        <v>6.97</v>
      </c>
      <c r="F6">
        <v>6.62</v>
      </c>
      <c r="G6">
        <v>6.8</v>
      </c>
      <c r="H6">
        <v>6.49</v>
      </c>
      <c r="I6">
        <v>6.15</v>
      </c>
      <c r="J6">
        <v>6.32</v>
      </c>
      <c r="K6">
        <v>6.01</v>
      </c>
      <c r="L6">
        <v>5.67</v>
      </c>
      <c r="M6">
        <v>5.84</v>
      </c>
      <c r="N6">
        <v>5.49</v>
      </c>
      <c r="O6">
        <v>5.16</v>
      </c>
      <c r="P6">
        <v>5.32</v>
      </c>
      <c r="Q6">
        <v>5.0999999999999996</v>
      </c>
      <c r="R6">
        <v>4.7699999999999996</v>
      </c>
      <c r="S6">
        <v>4.9400000000000004</v>
      </c>
    </row>
    <row r="7" spans="1:19" x14ac:dyDescent="0.3">
      <c r="A7" t="s">
        <v>35</v>
      </c>
      <c r="B7">
        <v>7.72</v>
      </c>
      <c r="C7">
        <v>7.38</v>
      </c>
      <c r="D7">
        <v>7.55</v>
      </c>
      <c r="E7">
        <v>7.31</v>
      </c>
      <c r="F7">
        <v>6.96</v>
      </c>
      <c r="G7">
        <v>7.13</v>
      </c>
      <c r="H7">
        <v>6.85</v>
      </c>
      <c r="I7">
        <v>6.48</v>
      </c>
      <c r="J7">
        <v>6.67</v>
      </c>
      <c r="K7">
        <v>6.42</v>
      </c>
      <c r="L7">
        <v>6.06</v>
      </c>
      <c r="M7">
        <v>6.24</v>
      </c>
      <c r="N7">
        <v>5.99</v>
      </c>
      <c r="O7">
        <v>5.63</v>
      </c>
      <c r="P7">
        <v>5.81</v>
      </c>
      <c r="Q7">
        <v>5.5</v>
      </c>
      <c r="R7">
        <v>5.14</v>
      </c>
      <c r="S7">
        <v>5.32</v>
      </c>
    </row>
    <row r="8" spans="1:19" x14ac:dyDescent="0.3">
      <c r="A8" t="s">
        <v>36</v>
      </c>
      <c r="B8">
        <v>8.64</v>
      </c>
      <c r="C8">
        <v>8.36</v>
      </c>
      <c r="D8">
        <v>8.5</v>
      </c>
      <c r="E8">
        <v>7.51</v>
      </c>
      <c r="F8">
        <v>7.16</v>
      </c>
      <c r="G8">
        <v>7.34</v>
      </c>
      <c r="H8">
        <v>7.17</v>
      </c>
      <c r="I8">
        <v>6.8</v>
      </c>
      <c r="J8">
        <v>6.99</v>
      </c>
      <c r="K8">
        <v>6.77</v>
      </c>
      <c r="L8">
        <v>6.38</v>
      </c>
      <c r="M8">
        <v>6.58</v>
      </c>
      <c r="N8">
        <v>6.39</v>
      </c>
      <c r="O8">
        <v>6.01</v>
      </c>
      <c r="P8">
        <v>6.2</v>
      </c>
      <c r="Q8">
        <v>5.99</v>
      </c>
      <c r="R8">
        <v>5.61</v>
      </c>
      <c r="S8">
        <v>5.8</v>
      </c>
    </row>
    <row r="9" spans="1:19" x14ac:dyDescent="0.3">
      <c r="A9" t="s">
        <v>37</v>
      </c>
      <c r="B9">
        <v>9.1</v>
      </c>
      <c r="C9">
        <v>8.99</v>
      </c>
      <c r="D9">
        <v>9.0399999999999991</v>
      </c>
      <c r="E9">
        <v>8.4</v>
      </c>
      <c r="F9">
        <v>8.1</v>
      </c>
      <c r="G9">
        <v>8.25</v>
      </c>
      <c r="H9">
        <v>7.36</v>
      </c>
      <c r="I9">
        <v>7</v>
      </c>
      <c r="J9">
        <v>7.18</v>
      </c>
      <c r="K9">
        <v>7.08</v>
      </c>
      <c r="L9">
        <v>6.7</v>
      </c>
      <c r="M9">
        <v>6.89</v>
      </c>
      <c r="N9">
        <v>6.73</v>
      </c>
      <c r="O9">
        <v>6.32</v>
      </c>
      <c r="P9">
        <v>6.52</v>
      </c>
      <c r="Q9">
        <v>6.39</v>
      </c>
      <c r="R9">
        <v>5.99</v>
      </c>
      <c r="S9">
        <v>6.19</v>
      </c>
    </row>
    <row r="10" spans="1:19" x14ac:dyDescent="0.3">
      <c r="A10" t="s">
        <v>38</v>
      </c>
      <c r="B10">
        <v>8.1</v>
      </c>
      <c r="C10">
        <v>8.15</v>
      </c>
      <c r="D10">
        <v>8.1199999999999992</v>
      </c>
      <c r="E10">
        <v>8.83</v>
      </c>
      <c r="F10">
        <v>8.7100000000000009</v>
      </c>
      <c r="G10">
        <v>8.77</v>
      </c>
      <c r="H10">
        <v>8.2200000000000006</v>
      </c>
      <c r="I10">
        <v>7.92</v>
      </c>
      <c r="J10">
        <v>8.07</v>
      </c>
      <c r="K10">
        <v>7.25</v>
      </c>
      <c r="L10">
        <v>6.88</v>
      </c>
      <c r="M10">
        <v>7.07</v>
      </c>
      <c r="N10">
        <v>7.02</v>
      </c>
      <c r="O10">
        <v>6.63</v>
      </c>
      <c r="P10">
        <v>6.82</v>
      </c>
      <c r="Q10">
        <v>6.72</v>
      </c>
      <c r="R10">
        <v>6.3</v>
      </c>
      <c r="S10">
        <v>6.51</v>
      </c>
    </row>
    <row r="11" spans="1:19" x14ac:dyDescent="0.3">
      <c r="A11" t="s">
        <v>39</v>
      </c>
      <c r="B11">
        <v>7.64</v>
      </c>
      <c r="C11">
        <v>7.96</v>
      </c>
      <c r="D11">
        <v>7.8</v>
      </c>
      <c r="E11">
        <v>7.84</v>
      </c>
      <c r="F11">
        <v>7.89</v>
      </c>
      <c r="G11">
        <v>7.87</v>
      </c>
      <c r="H11">
        <v>8.6199999999999992</v>
      </c>
      <c r="I11">
        <v>8.5</v>
      </c>
      <c r="J11">
        <v>8.56</v>
      </c>
      <c r="K11">
        <v>8.09</v>
      </c>
      <c r="L11">
        <v>7.78</v>
      </c>
      <c r="M11">
        <v>7.94</v>
      </c>
      <c r="N11">
        <v>7.19</v>
      </c>
      <c r="O11">
        <v>6.81</v>
      </c>
      <c r="P11">
        <v>7</v>
      </c>
      <c r="Q11">
        <v>7.01</v>
      </c>
      <c r="R11">
        <v>6.6</v>
      </c>
      <c r="S11">
        <v>6.8</v>
      </c>
    </row>
    <row r="12" spans="1:19" x14ac:dyDescent="0.3">
      <c r="A12" t="s">
        <v>40</v>
      </c>
      <c r="B12">
        <v>7.2</v>
      </c>
      <c r="C12">
        <v>7.46</v>
      </c>
      <c r="D12">
        <v>7.33</v>
      </c>
      <c r="E12">
        <v>7.38</v>
      </c>
      <c r="F12">
        <v>7.69</v>
      </c>
      <c r="G12">
        <v>7.54</v>
      </c>
      <c r="H12">
        <v>7.65</v>
      </c>
      <c r="I12">
        <v>7.69</v>
      </c>
      <c r="J12">
        <v>7.67</v>
      </c>
      <c r="K12">
        <v>8.48</v>
      </c>
      <c r="L12">
        <v>8.35</v>
      </c>
      <c r="M12">
        <v>8.41</v>
      </c>
      <c r="N12">
        <v>8.02</v>
      </c>
      <c r="O12">
        <v>7.69</v>
      </c>
      <c r="P12">
        <v>7.85</v>
      </c>
      <c r="Q12">
        <v>7.17</v>
      </c>
      <c r="R12">
        <v>6.77</v>
      </c>
      <c r="S12">
        <v>6.97</v>
      </c>
    </row>
    <row r="13" spans="1:19" x14ac:dyDescent="0.3">
      <c r="A13" t="s">
        <v>41</v>
      </c>
      <c r="B13">
        <v>6.2</v>
      </c>
      <c r="C13">
        <v>6.42</v>
      </c>
      <c r="D13">
        <v>6.31</v>
      </c>
      <c r="E13">
        <v>6.92</v>
      </c>
      <c r="F13">
        <v>7.19</v>
      </c>
      <c r="G13">
        <v>7.06</v>
      </c>
      <c r="H13">
        <v>7.17</v>
      </c>
      <c r="I13">
        <v>7.48</v>
      </c>
      <c r="J13">
        <v>7.32</v>
      </c>
      <c r="K13">
        <v>7.5</v>
      </c>
      <c r="L13">
        <v>7.53</v>
      </c>
      <c r="M13">
        <v>7.52</v>
      </c>
      <c r="N13">
        <v>8.3800000000000008</v>
      </c>
      <c r="O13">
        <v>8.23</v>
      </c>
      <c r="P13">
        <v>8.3000000000000007</v>
      </c>
      <c r="Q13">
        <v>7.97</v>
      </c>
      <c r="R13">
        <v>7.64</v>
      </c>
      <c r="S13">
        <v>7.8</v>
      </c>
    </row>
    <row r="14" spans="1:19" x14ac:dyDescent="0.3">
      <c r="A14" t="s">
        <v>97</v>
      </c>
      <c r="B14">
        <v>6.04</v>
      </c>
      <c r="C14">
        <v>6.2</v>
      </c>
      <c r="D14">
        <v>6.12</v>
      </c>
      <c r="E14">
        <v>5.91</v>
      </c>
      <c r="F14">
        <v>6.16</v>
      </c>
      <c r="G14">
        <v>6.04</v>
      </c>
      <c r="H14">
        <v>6.67</v>
      </c>
      <c r="I14">
        <v>6.96</v>
      </c>
      <c r="J14">
        <v>6.82</v>
      </c>
      <c r="K14">
        <v>6.98</v>
      </c>
      <c r="L14">
        <v>7.3</v>
      </c>
      <c r="M14">
        <v>7.14</v>
      </c>
      <c r="N14">
        <v>7.36</v>
      </c>
      <c r="O14">
        <v>7.41</v>
      </c>
      <c r="P14">
        <v>7.38</v>
      </c>
      <c r="Q14">
        <v>8.2799999999999994</v>
      </c>
      <c r="R14">
        <v>8.15</v>
      </c>
      <c r="S14">
        <v>8.2200000000000006</v>
      </c>
    </row>
    <row r="15" spans="1:19" x14ac:dyDescent="0.3">
      <c r="A15" t="s">
        <v>98</v>
      </c>
      <c r="B15">
        <v>5.32</v>
      </c>
      <c r="C15">
        <v>5.22</v>
      </c>
      <c r="D15">
        <v>5.27</v>
      </c>
      <c r="E15">
        <v>5.68</v>
      </c>
      <c r="F15">
        <v>5.9</v>
      </c>
      <c r="G15">
        <v>5.79</v>
      </c>
      <c r="H15">
        <v>5.62</v>
      </c>
      <c r="I15">
        <v>5.93</v>
      </c>
      <c r="J15">
        <v>5.77</v>
      </c>
      <c r="K15">
        <v>6.41</v>
      </c>
      <c r="L15">
        <v>6.76</v>
      </c>
      <c r="M15">
        <v>6.58</v>
      </c>
      <c r="N15">
        <v>6.77</v>
      </c>
      <c r="O15">
        <v>7.14</v>
      </c>
      <c r="P15">
        <v>6.95</v>
      </c>
      <c r="Q15">
        <v>7.2</v>
      </c>
      <c r="R15">
        <v>7.31</v>
      </c>
      <c r="S15">
        <v>7.25</v>
      </c>
    </row>
    <row r="16" spans="1:19" x14ac:dyDescent="0.3">
      <c r="A16" t="s">
        <v>99</v>
      </c>
      <c r="B16">
        <v>4.42</v>
      </c>
      <c r="C16">
        <v>4.3600000000000003</v>
      </c>
      <c r="D16">
        <v>4.3899999999999997</v>
      </c>
      <c r="E16">
        <v>4.8899999999999997</v>
      </c>
      <c r="F16">
        <v>4.91</v>
      </c>
      <c r="G16">
        <v>4.9000000000000004</v>
      </c>
      <c r="H16">
        <v>5.29</v>
      </c>
      <c r="I16">
        <v>5.62</v>
      </c>
      <c r="J16">
        <v>5.45</v>
      </c>
      <c r="K16">
        <v>5.3</v>
      </c>
      <c r="L16">
        <v>5.7</v>
      </c>
      <c r="M16">
        <v>5.5</v>
      </c>
      <c r="N16">
        <v>6.12</v>
      </c>
      <c r="O16">
        <v>6.56</v>
      </c>
      <c r="P16">
        <v>6.34</v>
      </c>
      <c r="Q16">
        <v>6.53</v>
      </c>
      <c r="R16">
        <v>7</v>
      </c>
      <c r="S16">
        <v>6.76</v>
      </c>
    </row>
    <row r="17" spans="1:19" x14ac:dyDescent="0.3">
      <c r="A17" t="s">
        <v>100</v>
      </c>
      <c r="B17">
        <v>3.24</v>
      </c>
      <c r="C17">
        <v>3.29</v>
      </c>
      <c r="D17">
        <v>3.26</v>
      </c>
      <c r="E17">
        <v>3.93</v>
      </c>
      <c r="F17">
        <v>4</v>
      </c>
      <c r="G17">
        <v>3.97</v>
      </c>
      <c r="H17">
        <v>4.42</v>
      </c>
      <c r="I17">
        <v>4.57</v>
      </c>
      <c r="J17">
        <v>4.5</v>
      </c>
      <c r="K17">
        <v>4.8499999999999996</v>
      </c>
      <c r="L17">
        <v>5.3</v>
      </c>
      <c r="M17">
        <v>5.08</v>
      </c>
      <c r="N17">
        <v>4.93</v>
      </c>
      <c r="O17">
        <v>5.45</v>
      </c>
      <c r="P17">
        <v>5.19</v>
      </c>
      <c r="Q17">
        <v>5.77</v>
      </c>
      <c r="R17">
        <v>6.34</v>
      </c>
      <c r="S17">
        <v>6.06</v>
      </c>
    </row>
    <row r="18" spans="1:19" x14ac:dyDescent="0.3">
      <c r="A18" t="s">
        <v>101</v>
      </c>
      <c r="B18">
        <v>2.21</v>
      </c>
      <c r="C18">
        <v>2.46</v>
      </c>
      <c r="D18">
        <v>2.33</v>
      </c>
      <c r="E18">
        <v>2.7</v>
      </c>
      <c r="F18">
        <v>2.87</v>
      </c>
      <c r="G18">
        <v>2.79</v>
      </c>
      <c r="H18">
        <v>3.35</v>
      </c>
      <c r="I18">
        <v>3.56</v>
      </c>
      <c r="J18">
        <v>3.46</v>
      </c>
      <c r="K18">
        <v>3.84</v>
      </c>
      <c r="L18">
        <v>4.1500000000000004</v>
      </c>
      <c r="M18">
        <v>3.99</v>
      </c>
      <c r="N18">
        <v>4.3</v>
      </c>
      <c r="O18">
        <v>4.8899999999999997</v>
      </c>
      <c r="P18">
        <v>4.59</v>
      </c>
      <c r="Q18">
        <v>4.45</v>
      </c>
      <c r="R18">
        <v>5.0999999999999996</v>
      </c>
      <c r="S18">
        <v>4.7699999999999996</v>
      </c>
    </row>
    <row r="19" spans="1:19" x14ac:dyDescent="0.3">
      <c r="A19" t="s">
        <v>102</v>
      </c>
      <c r="B19">
        <v>1.72</v>
      </c>
      <c r="C19">
        <v>2</v>
      </c>
      <c r="D19">
        <v>1.86</v>
      </c>
      <c r="E19">
        <v>1.62</v>
      </c>
      <c r="F19">
        <v>1.93</v>
      </c>
      <c r="G19">
        <v>1.78</v>
      </c>
      <c r="H19">
        <v>2.0499999999999998</v>
      </c>
      <c r="I19">
        <v>2.33</v>
      </c>
      <c r="J19">
        <v>2.19</v>
      </c>
      <c r="K19">
        <v>2.61</v>
      </c>
      <c r="L19">
        <v>2.98</v>
      </c>
      <c r="M19">
        <v>2.79</v>
      </c>
      <c r="N19">
        <v>3.06</v>
      </c>
      <c r="O19">
        <v>3.55</v>
      </c>
      <c r="P19">
        <v>3.31</v>
      </c>
      <c r="Q19">
        <v>3.51</v>
      </c>
      <c r="R19">
        <v>4.29</v>
      </c>
      <c r="S19">
        <v>3.9</v>
      </c>
    </row>
    <row r="20" spans="1:19" x14ac:dyDescent="0.3">
      <c r="A20" t="s">
        <v>103</v>
      </c>
      <c r="B20">
        <v>1.01</v>
      </c>
      <c r="C20">
        <v>1.27</v>
      </c>
      <c r="D20">
        <v>1.1399999999999999</v>
      </c>
      <c r="E20">
        <v>1.3</v>
      </c>
      <c r="F20">
        <v>1.71</v>
      </c>
      <c r="G20">
        <v>1.51</v>
      </c>
      <c r="H20">
        <v>1.41</v>
      </c>
      <c r="I20">
        <v>1.95</v>
      </c>
      <c r="J20">
        <v>1.68</v>
      </c>
      <c r="K20">
        <v>1.77</v>
      </c>
      <c r="L20">
        <v>2.4300000000000002</v>
      </c>
      <c r="M20">
        <v>2.1</v>
      </c>
      <c r="N20">
        <v>2.3199999999999998</v>
      </c>
      <c r="O20">
        <v>3.21</v>
      </c>
      <c r="P20">
        <v>2.77</v>
      </c>
      <c r="Q20">
        <v>2.94</v>
      </c>
      <c r="R20">
        <v>4.16</v>
      </c>
      <c r="S20">
        <v>3.55</v>
      </c>
    </row>
    <row r="21" spans="1:19" x14ac:dyDescent="0.3">
      <c r="A21" t="s">
        <v>73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</row>
  </sheetData>
  <mergeCells count="6">
    <mergeCell ref="Q2:S2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G38"/>
  <sheetViews>
    <sheetView workbookViewId="0">
      <selection activeCell="L6" sqref="L6"/>
    </sheetView>
  </sheetViews>
  <sheetFormatPr defaultRowHeight="14.4" x14ac:dyDescent="0.3"/>
  <cols>
    <col min="1" max="1" width="34.77734375" customWidth="1"/>
  </cols>
  <sheetData>
    <row r="1" spans="1:7" x14ac:dyDescent="0.3">
      <c r="A1" s="2" t="s">
        <v>144</v>
      </c>
      <c r="B1" s="1"/>
      <c r="C1" s="1"/>
      <c r="D1" s="1"/>
      <c r="E1" s="1"/>
      <c r="F1" s="1"/>
      <c r="G1" s="1"/>
    </row>
    <row r="2" spans="1:7" x14ac:dyDescent="0.3">
      <c r="A2" t="s">
        <v>52</v>
      </c>
      <c r="B2">
        <v>2026</v>
      </c>
      <c r="C2">
        <v>2031</v>
      </c>
      <c r="D2">
        <v>2036</v>
      </c>
      <c r="E2">
        <v>2041</v>
      </c>
      <c r="F2">
        <v>2046</v>
      </c>
      <c r="G2">
        <v>2051</v>
      </c>
    </row>
    <row r="3" spans="1:7" x14ac:dyDescent="0.3">
      <c r="A3" t="s">
        <v>54</v>
      </c>
      <c r="B3">
        <v>1.43</v>
      </c>
      <c r="C3">
        <v>1.41</v>
      </c>
      <c r="D3">
        <v>1.4</v>
      </c>
      <c r="E3">
        <v>1.4</v>
      </c>
      <c r="F3">
        <v>1.4</v>
      </c>
      <c r="G3">
        <v>1.4</v>
      </c>
    </row>
    <row r="4" spans="1:7" x14ac:dyDescent="0.3">
      <c r="A4" t="s">
        <v>55</v>
      </c>
      <c r="B4">
        <v>0.68</v>
      </c>
      <c r="C4">
        <v>0.67</v>
      </c>
      <c r="D4">
        <v>0.67</v>
      </c>
      <c r="E4">
        <v>0.67</v>
      </c>
      <c r="F4">
        <v>0.67</v>
      </c>
      <c r="G4">
        <v>0.67</v>
      </c>
    </row>
    <row r="5" spans="1:7" x14ac:dyDescent="0.3">
      <c r="A5" t="s">
        <v>56</v>
      </c>
      <c r="B5">
        <v>0.65</v>
      </c>
      <c r="C5">
        <v>0.65</v>
      </c>
      <c r="D5">
        <v>0.65</v>
      </c>
      <c r="E5">
        <v>0.66</v>
      </c>
      <c r="F5">
        <v>0.66</v>
      </c>
      <c r="G5">
        <v>0.66</v>
      </c>
    </row>
    <row r="6" spans="1:7" x14ac:dyDescent="0.3">
      <c r="A6" t="s">
        <v>57</v>
      </c>
      <c r="B6">
        <v>26.6</v>
      </c>
      <c r="C6">
        <v>26.7</v>
      </c>
      <c r="D6">
        <v>26.8</v>
      </c>
      <c r="E6">
        <v>26.9</v>
      </c>
      <c r="F6">
        <v>27</v>
      </c>
      <c r="G6">
        <v>27.1</v>
      </c>
    </row>
    <row r="7" spans="1:7" x14ac:dyDescent="0.3">
      <c r="A7" t="s">
        <v>58</v>
      </c>
      <c r="B7">
        <v>0.21</v>
      </c>
      <c r="C7">
        <v>0.19</v>
      </c>
      <c r="D7">
        <v>0.19</v>
      </c>
      <c r="E7">
        <v>0.19</v>
      </c>
      <c r="F7">
        <v>0.19</v>
      </c>
      <c r="G7">
        <v>0.19</v>
      </c>
    </row>
    <row r="8" spans="1:7" x14ac:dyDescent="0.3">
      <c r="A8" t="s">
        <v>59</v>
      </c>
    </row>
    <row r="9" spans="1:7" x14ac:dyDescent="0.3">
      <c r="A9" t="s">
        <v>60</v>
      </c>
      <c r="B9">
        <v>68</v>
      </c>
      <c r="C9">
        <v>69.599999999999994</v>
      </c>
      <c r="D9">
        <v>71</v>
      </c>
      <c r="E9">
        <v>72.400000000000006</v>
      </c>
      <c r="F9">
        <v>73.8</v>
      </c>
      <c r="G9">
        <v>75.3</v>
      </c>
    </row>
    <row r="10" spans="1:7" x14ac:dyDescent="0.3">
      <c r="A10" t="s">
        <v>61</v>
      </c>
      <c r="B10">
        <v>73.099999999999994</v>
      </c>
      <c r="C10">
        <v>75.2</v>
      </c>
      <c r="D10">
        <v>76.7</v>
      </c>
      <c r="E10">
        <v>78.400000000000006</v>
      </c>
      <c r="F10">
        <v>80</v>
      </c>
      <c r="G10">
        <v>81.2</v>
      </c>
    </row>
    <row r="11" spans="1:7" x14ac:dyDescent="0.3">
      <c r="A11" t="s">
        <v>62</v>
      </c>
      <c r="B11">
        <v>70.400000000000006</v>
      </c>
      <c r="C11">
        <v>72.2</v>
      </c>
      <c r="D11">
        <v>73.8</v>
      </c>
      <c r="E11">
        <v>75.3</v>
      </c>
      <c r="F11">
        <v>76.8</v>
      </c>
      <c r="G11">
        <v>78.2</v>
      </c>
    </row>
    <row r="12" spans="1:7" x14ac:dyDescent="0.3">
      <c r="A12" t="s">
        <v>63</v>
      </c>
      <c r="B12">
        <v>28.5</v>
      </c>
      <c r="C12">
        <v>22.6</v>
      </c>
      <c r="D12">
        <v>18.899999999999999</v>
      </c>
      <c r="E12">
        <v>15.8</v>
      </c>
      <c r="F12">
        <v>12.9</v>
      </c>
      <c r="G12">
        <v>10.6</v>
      </c>
    </row>
    <row r="13" spans="1:7" x14ac:dyDescent="0.3">
      <c r="A13" t="s">
        <v>64</v>
      </c>
      <c r="B13">
        <v>34.200000000000003</v>
      </c>
      <c r="C13">
        <v>26.5</v>
      </c>
      <c r="D13">
        <v>22.1</v>
      </c>
      <c r="E13">
        <v>18.399999999999999</v>
      </c>
      <c r="F13">
        <v>14.9</v>
      </c>
      <c r="G13">
        <v>12.2</v>
      </c>
    </row>
    <row r="14" spans="1:7" x14ac:dyDescent="0.3">
      <c r="A14" t="s">
        <v>105</v>
      </c>
    </row>
    <row r="15" spans="1:7" x14ac:dyDescent="0.3">
      <c r="A15" t="s">
        <v>74</v>
      </c>
      <c r="B15">
        <v>524</v>
      </c>
      <c r="C15">
        <v>516</v>
      </c>
      <c r="D15">
        <v>513</v>
      </c>
      <c r="E15">
        <v>513</v>
      </c>
      <c r="F15">
        <v>512</v>
      </c>
      <c r="G15">
        <v>512</v>
      </c>
    </row>
    <row r="16" spans="1:7" x14ac:dyDescent="0.3">
      <c r="A16" t="s">
        <v>75</v>
      </c>
      <c r="B16">
        <v>346</v>
      </c>
      <c r="C16">
        <v>339</v>
      </c>
      <c r="D16">
        <v>336</v>
      </c>
      <c r="E16">
        <v>336</v>
      </c>
      <c r="F16">
        <v>335</v>
      </c>
      <c r="G16">
        <v>335</v>
      </c>
    </row>
    <row r="17" spans="1:7" x14ac:dyDescent="0.3">
      <c r="A17" t="s">
        <v>73</v>
      </c>
      <c r="B17">
        <v>870</v>
      </c>
      <c r="C17">
        <v>855</v>
      </c>
      <c r="D17">
        <v>849</v>
      </c>
      <c r="E17">
        <v>849</v>
      </c>
      <c r="F17">
        <v>847</v>
      </c>
      <c r="G17">
        <v>847</v>
      </c>
    </row>
    <row r="18" spans="1:7" x14ac:dyDescent="0.3">
      <c r="A18" t="s">
        <v>65</v>
      </c>
    </row>
    <row r="19" spans="1:7" x14ac:dyDescent="0.3">
      <c r="A19" t="s">
        <v>66</v>
      </c>
      <c r="B19">
        <v>10.8</v>
      </c>
      <c r="C19">
        <v>9.8000000000000007</v>
      </c>
      <c r="D19">
        <v>9.1</v>
      </c>
      <c r="E19">
        <v>8.6</v>
      </c>
      <c r="F19">
        <v>7.9</v>
      </c>
      <c r="G19">
        <v>7.4</v>
      </c>
    </row>
    <row r="20" spans="1:7" x14ac:dyDescent="0.3">
      <c r="A20" t="s">
        <v>67</v>
      </c>
      <c r="B20">
        <v>8.9</v>
      </c>
      <c r="C20">
        <v>9</v>
      </c>
      <c r="D20">
        <v>9.1</v>
      </c>
      <c r="E20">
        <v>9.5</v>
      </c>
      <c r="F20">
        <v>10.199999999999999</v>
      </c>
      <c r="G20">
        <v>11</v>
      </c>
    </row>
    <row r="21" spans="1:7" x14ac:dyDescent="0.3">
      <c r="A21" t="s">
        <v>145</v>
      </c>
      <c r="B21">
        <v>0.18</v>
      </c>
      <c r="C21">
        <v>0.08</v>
      </c>
      <c r="D21">
        <v>0</v>
      </c>
      <c r="E21">
        <v>-0.1</v>
      </c>
      <c r="F21">
        <v>-0.23</v>
      </c>
      <c r="G21">
        <v>-0.36</v>
      </c>
    </row>
    <row r="22" spans="1:7" x14ac:dyDescent="0.3">
      <c r="A22" t="s">
        <v>146</v>
      </c>
    </row>
    <row r="23" spans="1:7" x14ac:dyDescent="0.3">
      <c r="A23" t="s">
        <v>70</v>
      </c>
      <c r="B23">
        <v>0.32</v>
      </c>
      <c r="C23">
        <v>0.3</v>
      </c>
      <c r="D23">
        <v>0.28000000000000003</v>
      </c>
      <c r="E23">
        <v>0.26</v>
      </c>
      <c r="F23">
        <v>0.24</v>
      </c>
      <c r="G23">
        <v>0.22</v>
      </c>
    </row>
    <row r="24" spans="1:7" x14ac:dyDescent="0.3">
      <c r="A24" t="s">
        <v>71</v>
      </c>
      <c r="B24">
        <v>0.27</v>
      </c>
      <c r="C24">
        <v>0.27</v>
      </c>
      <c r="D24">
        <v>0.27</v>
      </c>
      <c r="E24">
        <v>0.28999999999999998</v>
      </c>
      <c r="F24">
        <v>0.31</v>
      </c>
      <c r="G24">
        <v>0.32</v>
      </c>
    </row>
    <row r="25" spans="1:7" x14ac:dyDescent="0.3">
      <c r="A25" t="s">
        <v>72</v>
      </c>
    </row>
    <row r="26" spans="1:7" x14ac:dyDescent="0.3">
      <c r="A26" t="s">
        <v>73</v>
      </c>
      <c r="B26">
        <v>29.9</v>
      </c>
      <c r="C26">
        <v>30.1</v>
      </c>
      <c r="D26">
        <v>30.2</v>
      </c>
      <c r="E26">
        <v>30.1</v>
      </c>
      <c r="F26">
        <v>29.9</v>
      </c>
      <c r="G26">
        <v>29.4</v>
      </c>
    </row>
    <row r="27" spans="1:7" x14ac:dyDescent="0.3">
      <c r="A27" t="s">
        <v>74</v>
      </c>
      <c r="B27">
        <v>15.7</v>
      </c>
      <c r="C27">
        <v>15.7</v>
      </c>
      <c r="D27">
        <v>15.7</v>
      </c>
      <c r="E27">
        <v>15.6</v>
      </c>
      <c r="F27">
        <v>15.4</v>
      </c>
      <c r="G27">
        <v>15.1</v>
      </c>
    </row>
    <row r="28" spans="1:7" x14ac:dyDescent="0.3">
      <c r="A28" t="s">
        <v>75</v>
      </c>
      <c r="B28">
        <v>14.2</v>
      </c>
      <c r="C28">
        <v>14.4</v>
      </c>
      <c r="D28">
        <v>14.5</v>
      </c>
      <c r="E28">
        <v>14.5</v>
      </c>
      <c r="F28">
        <v>14.5</v>
      </c>
      <c r="G28">
        <v>14.3</v>
      </c>
    </row>
    <row r="29" spans="1:7" x14ac:dyDescent="0.3">
      <c r="A29" t="s">
        <v>76</v>
      </c>
      <c r="B29">
        <v>5.4</v>
      </c>
      <c r="C29">
        <v>4.9000000000000004</v>
      </c>
      <c r="D29">
        <v>4.5999999999999996</v>
      </c>
      <c r="E29">
        <v>4.3</v>
      </c>
      <c r="F29">
        <v>4.0999999999999996</v>
      </c>
      <c r="G29">
        <v>3.8</v>
      </c>
    </row>
    <row r="30" spans="1:7" x14ac:dyDescent="0.3">
      <c r="A30" t="s">
        <v>77</v>
      </c>
      <c r="B30">
        <v>12.9</v>
      </c>
      <c r="C30">
        <v>11.4</v>
      </c>
      <c r="D30">
        <v>10.199999999999999</v>
      </c>
      <c r="E30">
        <v>9.5</v>
      </c>
      <c r="F30">
        <v>9</v>
      </c>
      <c r="G30">
        <v>8.5</v>
      </c>
    </row>
    <row r="31" spans="1:7" x14ac:dyDescent="0.3">
      <c r="A31" t="s">
        <v>78</v>
      </c>
      <c r="B31">
        <v>14.9</v>
      </c>
      <c r="C31">
        <v>13.7</v>
      </c>
      <c r="D31">
        <v>12.7</v>
      </c>
      <c r="E31">
        <v>11.3</v>
      </c>
      <c r="F31">
        <v>10.3</v>
      </c>
      <c r="G31">
        <v>9.6999999999999993</v>
      </c>
    </row>
    <row r="32" spans="1:7" x14ac:dyDescent="0.3">
      <c r="A32" t="s">
        <v>79</v>
      </c>
      <c r="B32">
        <v>56.6</v>
      </c>
      <c r="C32">
        <v>55.8</v>
      </c>
      <c r="D32">
        <v>53.6</v>
      </c>
      <c r="E32">
        <v>49.9</v>
      </c>
      <c r="F32">
        <v>46</v>
      </c>
      <c r="G32">
        <v>42.9</v>
      </c>
    </row>
    <row r="33" spans="1:7" x14ac:dyDescent="0.3">
      <c r="A33" t="s">
        <v>80</v>
      </c>
      <c r="B33">
        <v>68.400000000000006</v>
      </c>
      <c r="C33">
        <v>68.400000000000006</v>
      </c>
      <c r="D33">
        <v>67.599999999999994</v>
      </c>
      <c r="E33">
        <v>66</v>
      </c>
      <c r="F33">
        <v>63.4</v>
      </c>
      <c r="G33">
        <v>59.5</v>
      </c>
    </row>
    <row r="34" spans="1:7" x14ac:dyDescent="0.3">
      <c r="A34" t="s">
        <v>81</v>
      </c>
      <c r="B34">
        <v>13.3</v>
      </c>
      <c r="C34">
        <v>15.3</v>
      </c>
      <c r="D34">
        <v>17.600000000000001</v>
      </c>
      <c r="E34">
        <v>20.2</v>
      </c>
      <c r="F34">
        <v>23.6</v>
      </c>
      <c r="G34">
        <v>27.7</v>
      </c>
    </row>
    <row r="35" spans="1:7" x14ac:dyDescent="0.3">
      <c r="A35" t="s">
        <v>82</v>
      </c>
      <c r="B35">
        <v>55.2</v>
      </c>
      <c r="C35">
        <v>53.9</v>
      </c>
      <c r="D35">
        <v>51.3</v>
      </c>
      <c r="E35">
        <v>47.5</v>
      </c>
      <c r="F35">
        <v>44.1</v>
      </c>
      <c r="G35">
        <v>41.3</v>
      </c>
    </row>
    <row r="36" spans="1:7" x14ac:dyDescent="0.3">
      <c r="A36" t="s">
        <v>83</v>
      </c>
      <c r="B36">
        <v>110.2</v>
      </c>
      <c r="C36">
        <v>109.5</v>
      </c>
      <c r="D36">
        <v>108.6</v>
      </c>
      <c r="E36">
        <v>107.5</v>
      </c>
      <c r="F36">
        <v>106.5</v>
      </c>
      <c r="G36">
        <v>105.5</v>
      </c>
    </row>
    <row r="37" spans="1:7" x14ac:dyDescent="0.3">
      <c r="A37" t="s">
        <v>84</v>
      </c>
      <c r="B37">
        <v>47.1</v>
      </c>
      <c r="C37">
        <v>46.2</v>
      </c>
      <c r="D37">
        <v>46.1</v>
      </c>
      <c r="E37">
        <v>47.9</v>
      </c>
      <c r="F37">
        <v>51.5</v>
      </c>
      <c r="G37">
        <v>57.7</v>
      </c>
    </row>
    <row r="38" spans="1:7" x14ac:dyDescent="0.3">
      <c r="A38" t="s">
        <v>85</v>
      </c>
      <c r="B38">
        <v>34</v>
      </c>
      <c r="C38">
        <v>37</v>
      </c>
      <c r="D38">
        <v>40</v>
      </c>
      <c r="E38">
        <v>42</v>
      </c>
      <c r="F38">
        <v>45</v>
      </c>
      <c r="G38">
        <v>47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S21"/>
  <sheetViews>
    <sheetView workbookViewId="0">
      <selection activeCell="T8" sqref="T8"/>
    </sheetView>
  </sheetViews>
  <sheetFormatPr defaultRowHeight="14.4" x14ac:dyDescent="0.3"/>
  <sheetData>
    <row r="1" spans="1:19" x14ac:dyDescent="0.3">
      <c r="A1" s="2" t="s">
        <v>147</v>
      </c>
      <c r="B1" s="1"/>
      <c r="C1" s="1"/>
      <c r="D1" s="1"/>
      <c r="E1" s="1"/>
      <c r="F1" s="1"/>
      <c r="G1" s="1"/>
      <c r="H1" s="1"/>
      <c r="I1" s="1"/>
      <c r="J1" s="1"/>
    </row>
    <row r="2" spans="1:19" x14ac:dyDescent="0.3">
      <c r="A2" t="s">
        <v>93</v>
      </c>
      <c r="B2" s="34">
        <v>2026</v>
      </c>
      <c r="C2" s="34"/>
      <c r="D2" s="34"/>
      <c r="E2" s="34">
        <v>2031</v>
      </c>
      <c r="F2" s="34"/>
      <c r="G2" s="34"/>
      <c r="H2" s="34">
        <v>2036</v>
      </c>
      <c r="I2" s="34"/>
      <c r="J2" s="34"/>
      <c r="K2" s="37">
        <v>2041</v>
      </c>
      <c r="L2" s="37"/>
      <c r="M2" s="37"/>
      <c r="N2" s="37">
        <v>2046</v>
      </c>
      <c r="O2" s="37"/>
      <c r="P2" s="37"/>
      <c r="Q2" s="37">
        <v>2051</v>
      </c>
      <c r="R2" s="37"/>
      <c r="S2" s="37"/>
    </row>
    <row r="3" spans="1:19" x14ac:dyDescent="0.3">
      <c r="B3" t="s">
        <v>16</v>
      </c>
      <c r="C3" t="s">
        <v>46</v>
      </c>
      <c r="D3" t="s">
        <v>91</v>
      </c>
      <c r="E3" t="s">
        <v>16</v>
      </c>
      <c r="F3" t="s">
        <v>46</v>
      </c>
      <c r="G3" t="s">
        <v>91</v>
      </c>
      <c r="H3" t="s">
        <v>16</v>
      </c>
      <c r="I3" t="s">
        <v>46</v>
      </c>
      <c r="J3" t="s">
        <v>91</v>
      </c>
      <c r="K3" t="s">
        <v>16</v>
      </c>
      <c r="L3" t="s">
        <v>46</v>
      </c>
      <c r="M3" t="s">
        <v>91</v>
      </c>
      <c r="N3" t="s">
        <v>16</v>
      </c>
      <c r="O3" t="s">
        <v>46</v>
      </c>
      <c r="P3" t="s">
        <v>91</v>
      </c>
      <c r="Q3" t="s">
        <v>16</v>
      </c>
      <c r="R3" t="s">
        <v>46</v>
      </c>
      <c r="S3" t="s">
        <v>91</v>
      </c>
    </row>
    <row r="4" spans="1:19" x14ac:dyDescent="0.3">
      <c r="A4" t="s">
        <v>94</v>
      </c>
      <c r="B4">
        <v>5.4</v>
      </c>
      <c r="C4">
        <v>5.39</v>
      </c>
      <c r="D4">
        <v>5.39</v>
      </c>
      <c r="E4">
        <v>4.92</v>
      </c>
      <c r="F4">
        <v>4.93</v>
      </c>
      <c r="G4">
        <v>4.93</v>
      </c>
      <c r="H4">
        <v>4.57</v>
      </c>
      <c r="I4">
        <v>4.58</v>
      </c>
      <c r="J4">
        <v>4.58</v>
      </c>
      <c r="K4">
        <v>4.32</v>
      </c>
      <c r="L4">
        <v>4.32</v>
      </c>
      <c r="M4">
        <v>4.32</v>
      </c>
      <c r="N4">
        <v>4.08</v>
      </c>
      <c r="O4">
        <v>4.05</v>
      </c>
      <c r="P4">
        <v>4.0599999999999996</v>
      </c>
      <c r="Q4">
        <v>3.82</v>
      </c>
      <c r="R4">
        <v>3.74</v>
      </c>
      <c r="S4">
        <v>3.78</v>
      </c>
    </row>
    <row r="5" spans="1:19" x14ac:dyDescent="0.3">
      <c r="A5" t="s">
        <v>95</v>
      </c>
      <c r="B5">
        <v>6.14</v>
      </c>
      <c r="C5">
        <v>6.01</v>
      </c>
      <c r="D5">
        <v>6.08</v>
      </c>
      <c r="E5">
        <v>5.35</v>
      </c>
      <c r="F5">
        <v>5.32</v>
      </c>
      <c r="G5">
        <v>5.33</v>
      </c>
      <c r="H5">
        <v>4.91</v>
      </c>
      <c r="I5">
        <v>4.8899999999999997</v>
      </c>
      <c r="J5">
        <v>4.9000000000000004</v>
      </c>
      <c r="K5">
        <v>4.59</v>
      </c>
      <c r="L5">
        <v>4.5599999999999996</v>
      </c>
      <c r="M5">
        <v>4.58</v>
      </c>
      <c r="N5">
        <v>4.37</v>
      </c>
      <c r="O5">
        <v>4.33</v>
      </c>
      <c r="P5">
        <v>4.3499999999999996</v>
      </c>
      <c r="Q5">
        <v>4.16</v>
      </c>
      <c r="R5">
        <v>4.08</v>
      </c>
      <c r="S5">
        <v>4.12</v>
      </c>
    </row>
    <row r="6" spans="1:19" x14ac:dyDescent="0.3">
      <c r="A6" t="s">
        <v>96</v>
      </c>
      <c r="B6">
        <v>6.96</v>
      </c>
      <c r="C6">
        <v>6.64</v>
      </c>
      <c r="D6">
        <v>6.81</v>
      </c>
      <c r="E6">
        <v>6.11</v>
      </c>
      <c r="F6">
        <v>5.95</v>
      </c>
      <c r="G6">
        <v>6.03</v>
      </c>
      <c r="H6">
        <v>5.35</v>
      </c>
      <c r="I6">
        <v>5.28</v>
      </c>
      <c r="J6">
        <v>5.32</v>
      </c>
      <c r="K6">
        <v>4.9400000000000004</v>
      </c>
      <c r="L6">
        <v>4.88</v>
      </c>
      <c r="M6">
        <v>4.91</v>
      </c>
      <c r="N6">
        <v>4.6500000000000004</v>
      </c>
      <c r="O6">
        <v>4.57</v>
      </c>
      <c r="P6">
        <v>4.6100000000000003</v>
      </c>
      <c r="Q6">
        <v>4.45</v>
      </c>
      <c r="R6">
        <v>4.37</v>
      </c>
      <c r="S6">
        <v>4.41</v>
      </c>
    </row>
    <row r="7" spans="1:19" x14ac:dyDescent="0.3">
      <c r="A7" t="s">
        <v>35</v>
      </c>
      <c r="B7">
        <v>7.25</v>
      </c>
      <c r="C7">
        <v>6.86</v>
      </c>
      <c r="D7">
        <v>7.06</v>
      </c>
      <c r="E7">
        <v>6.91</v>
      </c>
      <c r="F7">
        <v>6.57</v>
      </c>
      <c r="G7">
        <v>6.75</v>
      </c>
      <c r="H7">
        <v>6.11</v>
      </c>
      <c r="I7">
        <v>5.9</v>
      </c>
      <c r="J7">
        <v>6.01</v>
      </c>
      <c r="K7">
        <v>5.38</v>
      </c>
      <c r="L7">
        <v>5.26</v>
      </c>
      <c r="M7">
        <v>5.32</v>
      </c>
      <c r="N7">
        <v>4.99</v>
      </c>
      <c r="O7">
        <v>4.8899999999999997</v>
      </c>
      <c r="P7">
        <v>4.9400000000000004</v>
      </c>
      <c r="Q7">
        <v>4.7300000000000004</v>
      </c>
      <c r="R7">
        <v>4.62</v>
      </c>
      <c r="S7">
        <v>4.68</v>
      </c>
    </row>
    <row r="8" spans="1:19" x14ac:dyDescent="0.3">
      <c r="A8" t="s">
        <v>36</v>
      </c>
      <c r="B8">
        <v>8.19</v>
      </c>
      <c r="C8">
        <v>7.44</v>
      </c>
      <c r="D8">
        <v>7.83</v>
      </c>
      <c r="E8">
        <v>7.19</v>
      </c>
      <c r="F8">
        <v>6.77</v>
      </c>
      <c r="G8">
        <v>6.99</v>
      </c>
      <c r="H8">
        <v>6.9</v>
      </c>
      <c r="I8">
        <v>6.51</v>
      </c>
      <c r="J8">
        <v>6.71</v>
      </c>
      <c r="K8">
        <v>6.13</v>
      </c>
      <c r="L8">
        <v>5.88</v>
      </c>
      <c r="M8">
        <v>6.01</v>
      </c>
      <c r="N8">
        <v>5.43</v>
      </c>
      <c r="O8">
        <v>5.27</v>
      </c>
      <c r="P8">
        <v>5.35</v>
      </c>
      <c r="Q8">
        <v>5.08</v>
      </c>
      <c r="R8">
        <v>4.9400000000000004</v>
      </c>
      <c r="S8">
        <v>5.01</v>
      </c>
    </row>
    <row r="9" spans="1:19" x14ac:dyDescent="0.3">
      <c r="A9" t="s">
        <v>37</v>
      </c>
      <c r="B9">
        <v>9.06</v>
      </c>
      <c r="C9">
        <v>7.91</v>
      </c>
      <c r="D9">
        <v>8.51</v>
      </c>
      <c r="E9">
        <v>8.1199999999999992</v>
      </c>
      <c r="F9">
        <v>7.34</v>
      </c>
      <c r="G9">
        <v>7.74</v>
      </c>
      <c r="H9">
        <v>7.17</v>
      </c>
      <c r="I9">
        <v>6.71</v>
      </c>
      <c r="J9">
        <v>6.95</v>
      </c>
      <c r="K9">
        <v>6.91</v>
      </c>
      <c r="L9">
        <v>6.48</v>
      </c>
      <c r="M9">
        <v>6.71</v>
      </c>
      <c r="N9">
        <v>6.19</v>
      </c>
      <c r="O9">
        <v>5.89</v>
      </c>
      <c r="P9">
        <v>6.04</v>
      </c>
      <c r="Q9">
        <v>5.53</v>
      </c>
      <c r="R9">
        <v>5.32</v>
      </c>
      <c r="S9">
        <v>5.42</v>
      </c>
    </row>
    <row r="10" spans="1:19" x14ac:dyDescent="0.3">
      <c r="A10" t="s">
        <v>38</v>
      </c>
      <c r="B10">
        <v>9.81</v>
      </c>
      <c r="C10">
        <v>8.65</v>
      </c>
      <c r="D10">
        <v>9.26</v>
      </c>
      <c r="E10">
        <v>8.9700000000000006</v>
      </c>
      <c r="F10">
        <v>7.8</v>
      </c>
      <c r="G10">
        <v>8.41</v>
      </c>
      <c r="H10">
        <v>8.09</v>
      </c>
      <c r="I10">
        <v>7.27</v>
      </c>
      <c r="J10">
        <v>7.69</v>
      </c>
      <c r="K10">
        <v>7.18</v>
      </c>
      <c r="L10">
        <v>6.68</v>
      </c>
      <c r="M10">
        <v>6.94</v>
      </c>
      <c r="N10">
        <v>6.98</v>
      </c>
      <c r="O10">
        <v>6.49</v>
      </c>
      <c r="P10">
        <v>6.74</v>
      </c>
      <c r="Q10">
        <v>6.29</v>
      </c>
      <c r="R10">
        <v>5.94</v>
      </c>
      <c r="S10">
        <v>6.12</v>
      </c>
    </row>
    <row r="11" spans="1:19" x14ac:dyDescent="0.3">
      <c r="A11" t="s">
        <v>39</v>
      </c>
      <c r="B11">
        <v>9.1300000000000008</v>
      </c>
      <c r="C11">
        <v>9.06</v>
      </c>
      <c r="D11">
        <v>9.1</v>
      </c>
      <c r="E11">
        <v>9.6999999999999993</v>
      </c>
      <c r="F11">
        <v>8.51</v>
      </c>
      <c r="G11">
        <v>9.1300000000000008</v>
      </c>
      <c r="H11">
        <v>8.93</v>
      </c>
      <c r="I11">
        <v>7.72</v>
      </c>
      <c r="J11">
        <v>8.35</v>
      </c>
      <c r="K11">
        <v>8.1</v>
      </c>
      <c r="L11">
        <v>7.22</v>
      </c>
      <c r="M11">
        <v>7.68</v>
      </c>
      <c r="N11">
        <v>7.25</v>
      </c>
      <c r="O11">
        <v>6.68</v>
      </c>
      <c r="P11">
        <v>6.97</v>
      </c>
      <c r="Q11">
        <v>7.09</v>
      </c>
      <c r="R11">
        <v>6.54</v>
      </c>
      <c r="S11">
        <v>6.82</v>
      </c>
    </row>
    <row r="12" spans="1:19" x14ac:dyDescent="0.3">
      <c r="A12" t="s">
        <v>40</v>
      </c>
      <c r="B12">
        <v>7.87</v>
      </c>
      <c r="C12">
        <v>8.1999999999999993</v>
      </c>
      <c r="D12">
        <v>8.0299999999999994</v>
      </c>
      <c r="E12">
        <v>9</v>
      </c>
      <c r="F12">
        <v>8.89</v>
      </c>
      <c r="G12">
        <v>8.9499999999999993</v>
      </c>
      <c r="H12">
        <v>9.6199999999999992</v>
      </c>
      <c r="I12">
        <v>8.4</v>
      </c>
      <c r="J12">
        <v>9.0399999999999991</v>
      </c>
      <c r="K12">
        <v>8.91</v>
      </c>
      <c r="L12">
        <v>7.66</v>
      </c>
      <c r="M12">
        <v>8.31</v>
      </c>
      <c r="N12">
        <v>8.15</v>
      </c>
      <c r="O12">
        <v>7.21</v>
      </c>
      <c r="P12">
        <v>7.69</v>
      </c>
      <c r="Q12">
        <v>7.35</v>
      </c>
      <c r="R12">
        <v>6.72</v>
      </c>
      <c r="S12">
        <v>7.04</v>
      </c>
    </row>
    <row r="13" spans="1:19" x14ac:dyDescent="0.3">
      <c r="A13" t="s">
        <v>41</v>
      </c>
      <c r="B13">
        <v>6.62</v>
      </c>
      <c r="C13">
        <v>7.04</v>
      </c>
      <c r="D13">
        <v>6.82</v>
      </c>
      <c r="E13">
        <v>7.7</v>
      </c>
      <c r="F13">
        <v>8.02</v>
      </c>
      <c r="G13">
        <v>7.85</v>
      </c>
      <c r="H13">
        <v>8.8699999999999992</v>
      </c>
      <c r="I13">
        <v>8.75</v>
      </c>
      <c r="J13">
        <v>8.81</v>
      </c>
      <c r="K13">
        <v>9.5500000000000007</v>
      </c>
      <c r="L13">
        <v>8.31</v>
      </c>
      <c r="M13">
        <v>8.9499999999999993</v>
      </c>
      <c r="N13">
        <v>8.92</v>
      </c>
      <c r="O13">
        <v>7.63</v>
      </c>
      <c r="P13">
        <v>8.3000000000000007</v>
      </c>
      <c r="Q13">
        <v>8.23</v>
      </c>
      <c r="R13">
        <v>7.24</v>
      </c>
      <c r="S13">
        <v>7.75</v>
      </c>
    </row>
    <row r="14" spans="1:19" x14ac:dyDescent="0.3">
      <c r="A14" t="s">
        <v>97</v>
      </c>
      <c r="B14">
        <v>6.04</v>
      </c>
      <c r="C14">
        <v>6.56</v>
      </c>
      <c r="D14">
        <v>6.29</v>
      </c>
      <c r="E14">
        <v>6.4</v>
      </c>
      <c r="F14">
        <v>6.84</v>
      </c>
      <c r="G14">
        <v>6.61</v>
      </c>
      <c r="H14">
        <v>7.51</v>
      </c>
      <c r="I14">
        <v>7.84</v>
      </c>
      <c r="J14">
        <v>7.67</v>
      </c>
      <c r="K14">
        <v>8.7200000000000006</v>
      </c>
      <c r="L14">
        <v>8.61</v>
      </c>
      <c r="M14">
        <v>8.67</v>
      </c>
      <c r="N14">
        <v>9.48</v>
      </c>
      <c r="O14">
        <v>8.24</v>
      </c>
      <c r="P14">
        <v>8.8800000000000008</v>
      </c>
      <c r="Q14">
        <v>8.94</v>
      </c>
      <c r="R14">
        <v>7.63</v>
      </c>
      <c r="S14">
        <v>8.3000000000000007</v>
      </c>
    </row>
    <row r="15" spans="1:19" x14ac:dyDescent="0.3">
      <c r="A15" t="s">
        <v>98</v>
      </c>
      <c r="B15">
        <v>5.22</v>
      </c>
      <c r="C15">
        <v>5.76</v>
      </c>
      <c r="D15">
        <v>5.48</v>
      </c>
      <c r="E15">
        <v>5.72</v>
      </c>
      <c r="F15">
        <v>6.3</v>
      </c>
      <c r="G15">
        <v>6</v>
      </c>
      <c r="H15">
        <v>6.12</v>
      </c>
      <c r="I15">
        <v>6.63</v>
      </c>
      <c r="J15">
        <v>6.36</v>
      </c>
      <c r="K15">
        <v>7.25</v>
      </c>
      <c r="L15">
        <v>7.66</v>
      </c>
      <c r="M15">
        <v>7.45</v>
      </c>
      <c r="N15">
        <v>8.51</v>
      </c>
      <c r="O15">
        <v>8.48</v>
      </c>
      <c r="P15">
        <v>8.5</v>
      </c>
      <c r="Q15">
        <v>9.36</v>
      </c>
      <c r="R15">
        <v>8.1999999999999993</v>
      </c>
      <c r="S15">
        <v>8.8000000000000007</v>
      </c>
    </row>
    <row r="16" spans="1:19" x14ac:dyDescent="0.3">
      <c r="A16" t="s">
        <v>99</v>
      </c>
      <c r="B16">
        <v>4.4000000000000004</v>
      </c>
      <c r="C16">
        <v>4.8499999999999996</v>
      </c>
      <c r="D16">
        <v>4.6100000000000003</v>
      </c>
      <c r="E16">
        <v>4.79</v>
      </c>
      <c r="F16">
        <v>5.44</v>
      </c>
      <c r="G16">
        <v>5.0999999999999996</v>
      </c>
      <c r="H16">
        <v>5.31</v>
      </c>
      <c r="I16">
        <v>6.02</v>
      </c>
      <c r="J16">
        <v>5.65</v>
      </c>
      <c r="K16">
        <v>5.75</v>
      </c>
      <c r="L16">
        <v>6.39</v>
      </c>
      <c r="M16">
        <v>6.06</v>
      </c>
      <c r="N16">
        <v>6.9</v>
      </c>
      <c r="O16">
        <v>7.47</v>
      </c>
      <c r="P16">
        <v>7.18</v>
      </c>
      <c r="Q16">
        <v>8.2100000000000009</v>
      </c>
      <c r="R16">
        <v>8.3699999999999992</v>
      </c>
      <c r="S16">
        <v>8.2899999999999991</v>
      </c>
    </row>
    <row r="17" spans="1:19" x14ac:dyDescent="0.3">
      <c r="A17" t="s">
        <v>100</v>
      </c>
      <c r="B17">
        <v>3.23</v>
      </c>
      <c r="C17">
        <v>3.49</v>
      </c>
      <c r="D17">
        <v>3.35</v>
      </c>
      <c r="E17">
        <v>3.84</v>
      </c>
      <c r="F17">
        <v>4.4400000000000004</v>
      </c>
      <c r="G17">
        <v>4.13</v>
      </c>
      <c r="H17">
        <v>4.24</v>
      </c>
      <c r="I17">
        <v>5.05</v>
      </c>
      <c r="J17">
        <v>4.63</v>
      </c>
      <c r="K17">
        <v>4.7699999999999996</v>
      </c>
      <c r="L17">
        <v>5.67</v>
      </c>
      <c r="M17">
        <v>5.2</v>
      </c>
      <c r="N17">
        <v>5.26</v>
      </c>
      <c r="O17">
        <v>6.11</v>
      </c>
      <c r="P17">
        <v>5.67</v>
      </c>
      <c r="Q17">
        <v>6.42</v>
      </c>
      <c r="R17">
        <v>7.24</v>
      </c>
      <c r="S17">
        <v>6.82</v>
      </c>
    </row>
    <row r="18" spans="1:19" x14ac:dyDescent="0.3">
      <c r="A18" t="s">
        <v>101</v>
      </c>
      <c r="B18">
        <v>2.0099999999999998</v>
      </c>
      <c r="C18">
        <v>2.46</v>
      </c>
      <c r="D18">
        <v>2.2200000000000002</v>
      </c>
      <c r="E18">
        <v>2.6</v>
      </c>
      <c r="F18">
        <v>3.01</v>
      </c>
      <c r="G18">
        <v>2.8</v>
      </c>
      <c r="H18">
        <v>3.15</v>
      </c>
      <c r="I18">
        <v>3.91</v>
      </c>
      <c r="J18">
        <v>3.51</v>
      </c>
      <c r="K18">
        <v>3.55</v>
      </c>
      <c r="L18">
        <v>4.54</v>
      </c>
      <c r="M18">
        <v>4.0199999999999996</v>
      </c>
      <c r="N18">
        <v>4.07</v>
      </c>
      <c r="O18">
        <v>5.2</v>
      </c>
      <c r="P18">
        <v>4.62</v>
      </c>
      <c r="Q18">
        <v>4.58</v>
      </c>
      <c r="R18">
        <v>5.71</v>
      </c>
      <c r="S18">
        <v>5.13</v>
      </c>
    </row>
    <row r="19" spans="1:19" x14ac:dyDescent="0.3">
      <c r="A19" t="s">
        <v>102</v>
      </c>
      <c r="B19">
        <v>1.53</v>
      </c>
      <c r="C19">
        <v>2.1800000000000002</v>
      </c>
      <c r="D19">
        <v>1.84</v>
      </c>
      <c r="E19">
        <v>1.42</v>
      </c>
      <c r="F19">
        <v>1.91</v>
      </c>
      <c r="G19">
        <v>1.65</v>
      </c>
      <c r="H19">
        <v>1.89</v>
      </c>
      <c r="I19">
        <v>2.42</v>
      </c>
      <c r="J19">
        <v>2.14</v>
      </c>
      <c r="K19">
        <v>2.34</v>
      </c>
      <c r="L19">
        <v>3.24</v>
      </c>
      <c r="M19">
        <v>2.77</v>
      </c>
      <c r="N19">
        <v>2.71</v>
      </c>
      <c r="O19">
        <v>3.88</v>
      </c>
      <c r="P19">
        <v>3.27</v>
      </c>
      <c r="Q19">
        <v>3.2</v>
      </c>
      <c r="R19">
        <v>4.5599999999999996</v>
      </c>
      <c r="S19">
        <v>3.86</v>
      </c>
    </row>
    <row r="20" spans="1:19" x14ac:dyDescent="0.3">
      <c r="A20" t="s">
        <v>103</v>
      </c>
      <c r="B20">
        <v>1.1200000000000001</v>
      </c>
      <c r="C20">
        <v>1.51</v>
      </c>
      <c r="D20">
        <v>1.31</v>
      </c>
      <c r="E20">
        <v>1.25</v>
      </c>
      <c r="F20">
        <v>1.97</v>
      </c>
      <c r="G20">
        <v>1.59</v>
      </c>
      <c r="H20">
        <v>1.28</v>
      </c>
      <c r="I20">
        <v>2.12</v>
      </c>
      <c r="J20">
        <v>1.68</v>
      </c>
      <c r="K20">
        <v>1.6</v>
      </c>
      <c r="L20">
        <v>2.65</v>
      </c>
      <c r="M20">
        <v>2.11</v>
      </c>
      <c r="N20">
        <v>2.06</v>
      </c>
      <c r="O20">
        <v>3.62</v>
      </c>
      <c r="P20">
        <v>2.82</v>
      </c>
      <c r="Q20">
        <v>2.56</v>
      </c>
      <c r="R20">
        <v>4.7699999999999996</v>
      </c>
      <c r="S20">
        <v>3.63</v>
      </c>
    </row>
    <row r="21" spans="1:19" x14ac:dyDescent="0.3">
      <c r="A21" t="s">
        <v>73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</row>
  </sheetData>
  <mergeCells count="6">
    <mergeCell ref="Q2:S2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G39"/>
  <sheetViews>
    <sheetView workbookViewId="0">
      <selection activeCell="L13" sqref="L13"/>
    </sheetView>
  </sheetViews>
  <sheetFormatPr defaultRowHeight="14.4" x14ac:dyDescent="0.3"/>
  <cols>
    <col min="1" max="1" width="35.44140625" customWidth="1"/>
  </cols>
  <sheetData>
    <row r="1" spans="1:7" x14ac:dyDescent="0.3">
      <c r="A1" s="2" t="s">
        <v>148</v>
      </c>
      <c r="B1" s="1"/>
      <c r="C1" s="1"/>
      <c r="D1" s="1"/>
      <c r="E1" s="1"/>
      <c r="F1" s="1"/>
      <c r="G1" s="1"/>
    </row>
    <row r="2" spans="1:7" x14ac:dyDescent="0.3">
      <c r="A2" t="s">
        <v>52</v>
      </c>
      <c r="B2">
        <v>2026</v>
      </c>
      <c r="C2">
        <v>2031</v>
      </c>
      <c r="D2">
        <v>2036</v>
      </c>
      <c r="E2">
        <v>2041</v>
      </c>
      <c r="F2">
        <v>2046</v>
      </c>
      <c r="G2">
        <v>2051</v>
      </c>
    </row>
    <row r="3" spans="1:7" x14ac:dyDescent="0.3">
      <c r="A3" t="s">
        <v>53</v>
      </c>
    </row>
    <row r="4" spans="1:7" x14ac:dyDescent="0.3">
      <c r="A4" t="s">
        <v>54</v>
      </c>
      <c r="B4">
        <v>2.11</v>
      </c>
      <c r="C4">
        <v>1.91</v>
      </c>
      <c r="D4">
        <v>1.78</v>
      </c>
      <c r="E4">
        <v>1.71</v>
      </c>
      <c r="F4">
        <v>1.67</v>
      </c>
      <c r="G4">
        <v>1.66</v>
      </c>
    </row>
    <row r="5" spans="1:7" x14ac:dyDescent="0.3">
      <c r="A5" t="s">
        <v>55</v>
      </c>
      <c r="B5">
        <v>1</v>
      </c>
      <c r="C5">
        <v>0.9</v>
      </c>
      <c r="D5">
        <v>0.84</v>
      </c>
      <c r="E5">
        <v>0.81</v>
      </c>
      <c r="F5">
        <v>0.79</v>
      </c>
      <c r="G5">
        <v>0.79</v>
      </c>
    </row>
    <row r="6" spans="1:7" x14ac:dyDescent="0.3">
      <c r="A6" t="s">
        <v>56</v>
      </c>
      <c r="B6">
        <v>0.93</v>
      </c>
      <c r="C6">
        <v>0.85</v>
      </c>
      <c r="D6">
        <v>0.8</v>
      </c>
      <c r="E6">
        <v>0.78</v>
      </c>
      <c r="F6">
        <v>0.76</v>
      </c>
      <c r="G6">
        <v>0.76</v>
      </c>
    </row>
    <row r="7" spans="1:7" x14ac:dyDescent="0.3">
      <c r="A7" t="s">
        <v>57</v>
      </c>
      <c r="B7">
        <v>26.8</v>
      </c>
      <c r="C7">
        <v>26.9</v>
      </c>
      <c r="D7">
        <v>26.9</v>
      </c>
      <c r="E7">
        <v>27</v>
      </c>
      <c r="F7">
        <v>27</v>
      </c>
      <c r="G7">
        <v>27.1</v>
      </c>
    </row>
    <row r="8" spans="1:7" x14ac:dyDescent="0.3">
      <c r="A8" t="s">
        <v>58</v>
      </c>
      <c r="B8">
        <v>0.34</v>
      </c>
      <c r="C8">
        <v>0.28999999999999998</v>
      </c>
      <c r="D8">
        <v>0.25</v>
      </c>
      <c r="E8">
        <v>0.23</v>
      </c>
      <c r="F8">
        <v>0.23</v>
      </c>
      <c r="G8">
        <v>0.23</v>
      </c>
    </row>
    <row r="9" spans="1:7" x14ac:dyDescent="0.3">
      <c r="A9" t="s">
        <v>149</v>
      </c>
    </row>
    <row r="10" spans="1:7" x14ac:dyDescent="0.3">
      <c r="A10" t="s">
        <v>60</v>
      </c>
      <c r="B10">
        <v>68.099999999999994</v>
      </c>
      <c r="C10">
        <v>69.8</v>
      </c>
      <c r="D10">
        <v>71.2</v>
      </c>
      <c r="E10">
        <v>72.599999999999994</v>
      </c>
      <c r="F10">
        <v>74</v>
      </c>
      <c r="G10">
        <v>75.400000000000006</v>
      </c>
    </row>
    <row r="11" spans="1:7" x14ac:dyDescent="0.3">
      <c r="A11" t="s">
        <v>61</v>
      </c>
      <c r="B11">
        <v>73.5</v>
      </c>
      <c r="C11">
        <v>75.5</v>
      </c>
      <c r="D11">
        <v>77.099999999999994</v>
      </c>
      <c r="E11">
        <v>79.2</v>
      </c>
      <c r="F11">
        <v>80.400000000000006</v>
      </c>
      <c r="G11">
        <v>81.599999999999994</v>
      </c>
    </row>
    <row r="12" spans="1:7" x14ac:dyDescent="0.3">
      <c r="A12" t="s">
        <v>62</v>
      </c>
      <c r="B12">
        <v>70.7</v>
      </c>
      <c r="C12">
        <v>72.599999999999994</v>
      </c>
      <c r="D12">
        <v>74.099999999999994</v>
      </c>
      <c r="E12">
        <v>75.8</v>
      </c>
      <c r="F12">
        <v>77.099999999999994</v>
      </c>
      <c r="G12">
        <v>78.400000000000006</v>
      </c>
    </row>
    <row r="13" spans="1:7" x14ac:dyDescent="0.3">
      <c r="A13" t="s">
        <v>63</v>
      </c>
      <c r="B13">
        <v>52.3</v>
      </c>
      <c r="C13">
        <v>45.5</v>
      </c>
      <c r="D13">
        <v>39.9</v>
      </c>
      <c r="E13">
        <v>34.200000000000003</v>
      </c>
      <c r="F13">
        <v>29.8</v>
      </c>
      <c r="G13">
        <v>26.1</v>
      </c>
    </row>
    <row r="14" spans="1:7" x14ac:dyDescent="0.3">
      <c r="A14" t="s">
        <v>64</v>
      </c>
      <c r="B14">
        <v>63.3</v>
      </c>
      <c r="C14">
        <v>53.8</v>
      </c>
      <c r="D14">
        <v>46.9</v>
      </c>
      <c r="E14">
        <v>39.799999999999997</v>
      </c>
      <c r="F14">
        <v>34.5</v>
      </c>
      <c r="G14">
        <v>30</v>
      </c>
    </row>
    <row r="15" spans="1:7" x14ac:dyDescent="0.3">
      <c r="A15" t="s">
        <v>108</v>
      </c>
    </row>
    <row r="16" spans="1:7" x14ac:dyDescent="0.3">
      <c r="A16" t="s">
        <v>74</v>
      </c>
      <c r="B16">
        <v>-2526</v>
      </c>
      <c r="C16">
        <v>-2491</v>
      </c>
      <c r="D16">
        <v>-2474</v>
      </c>
      <c r="E16">
        <v>-2466</v>
      </c>
      <c r="F16">
        <v>-2462</v>
      </c>
      <c r="G16">
        <v>-2460</v>
      </c>
    </row>
    <row r="17" spans="1:7" x14ac:dyDescent="0.3">
      <c r="A17" t="s">
        <v>75</v>
      </c>
      <c r="B17">
        <v>-3037</v>
      </c>
      <c r="C17">
        <v>-3411</v>
      </c>
      <c r="D17">
        <v>-3691</v>
      </c>
      <c r="E17">
        <v>-3888</v>
      </c>
      <c r="F17">
        <v>-4019</v>
      </c>
      <c r="G17">
        <v>-4105</v>
      </c>
    </row>
    <row r="18" spans="1:7" x14ac:dyDescent="0.3">
      <c r="A18" t="s">
        <v>73</v>
      </c>
      <c r="B18">
        <v>-5563</v>
      </c>
      <c r="C18">
        <v>-5902</v>
      </c>
      <c r="D18">
        <v>-6165</v>
      </c>
      <c r="E18">
        <v>-6354</v>
      </c>
      <c r="F18">
        <v>-6481</v>
      </c>
      <c r="G18">
        <v>-6565</v>
      </c>
    </row>
    <row r="19" spans="1:7" x14ac:dyDescent="0.3">
      <c r="A19" t="s">
        <v>65</v>
      </c>
    </row>
    <row r="20" spans="1:7" x14ac:dyDescent="0.3">
      <c r="A20" t="s">
        <v>66</v>
      </c>
      <c r="B20">
        <v>18.2</v>
      </c>
      <c r="C20">
        <v>15.5</v>
      </c>
      <c r="D20">
        <v>13.5</v>
      </c>
      <c r="E20">
        <v>12.5</v>
      </c>
      <c r="F20">
        <v>11.8</v>
      </c>
      <c r="G20">
        <v>11.2</v>
      </c>
    </row>
    <row r="21" spans="1:7" x14ac:dyDescent="0.3">
      <c r="A21" t="s">
        <v>67</v>
      </c>
      <c r="B21">
        <v>6.3</v>
      </c>
      <c r="C21">
        <v>6.1</v>
      </c>
      <c r="D21">
        <v>6</v>
      </c>
      <c r="E21">
        <v>6.2</v>
      </c>
      <c r="F21">
        <v>6.7</v>
      </c>
      <c r="G21">
        <v>7.2</v>
      </c>
    </row>
    <row r="22" spans="1:7" x14ac:dyDescent="0.3">
      <c r="A22" t="s">
        <v>68</v>
      </c>
      <c r="B22">
        <v>1.2</v>
      </c>
      <c r="C22">
        <v>0.9</v>
      </c>
      <c r="D22">
        <v>0.8</v>
      </c>
      <c r="E22">
        <v>0.6</v>
      </c>
      <c r="F22">
        <v>0.5</v>
      </c>
      <c r="G22">
        <v>0.4</v>
      </c>
    </row>
    <row r="23" spans="1:7" x14ac:dyDescent="0.3">
      <c r="A23" t="s">
        <v>69</v>
      </c>
    </row>
    <row r="24" spans="1:7" x14ac:dyDescent="0.3">
      <c r="A24" t="s">
        <v>70</v>
      </c>
      <c r="B24">
        <v>1.54</v>
      </c>
      <c r="C24">
        <v>1.38</v>
      </c>
      <c r="D24">
        <v>1.26</v>
      </c>
      <c r="E24">
        <v>1.2</v>
      </c>
      <c r="F24">
        <v>1.17</v>
      </c>
      <c r="G24">
        <v>1.1299999999999999</v>
      </c>
    </row>
    <row r="25" spans="1:7" x14ac:dyDescent="0.3">
      <c r="A25" t="s">
        <v>71</v>
      </c>
      <c r="B25">
        <v>0.53</v>
      </c>
      <c r="C25">
        <v>0.54</v>
      </c>
      <c r="D25">
        <v>0.56000000000000005</v>
      </c>
      <c r="E25">
        <v>0.6</v>
      </c>
      <c r="F25">
        <v>0.66</v>
      </c>
      <c r="G25">
        <v>0.73</v>
      </c>
    </row>
    <row r="26" spans="1:7" x14ac:dyDescent="0.3">
      <c r="A26" t="s">
        <v>72</v>
      </c>
    </row>
    <row r="27" spans="1:7" x14ac:dyDescent="0.3">
      <c r="A27" t="s">
        <v>73</v>
      </c>
      <c r="B27">
        <v>85.1</v>
      </c>
      <c r="C27">
        <v>89.7</v>
      </c>
      <c r="D27">
        <v>93.5</v>
      </c>
      <c r="E27">
        <v>96.5</v>
      </c>
      <c r="F27">
        <v>99.3</v>
      </c>
      <c r="G27">
        <v>101.4</v>
      </c>
    </row>
    <row r="28" spans="1:7" x14ac:dyDescent="0.3">
      <c r="A28" t="s">
        <v>74</v>
      </c>
      <c r="B28">
        <v>44.1</v>
      </c>
      <c r="C28">
        <v>46.4</v>
      </c>
      <c r="D28">
        <v>48.3</v>
      </c>
      <c r="E28">
        <v>49.7</v>
      </c>
      <c r="F28">
        <v>51</v>
      </c>
      <c r="G28">
        <v>52</v>
      </c>
    </row>
    <row r="29" spans="1:7" x14ac:dyDescent="0.3">
      <c r="A29" t="s">
        <v>75</v>
      </c>
      <c r="B29">
        <v>41</v>
      </c>
      <c r="C29">
        <v>43.3</v>
      </c>
      <c r="D29">
        <v>45.2</v>
      </c>
      <c r="E29">
        <v>46.8</v>
      </c>
      <c r="F29">
        <v>48.3</v>
      </c>
      <c r="G29">
        <v>49.4</v>
      </c>
    </row>
    <row r="30" spans="1:7" x14ac:dyDescent="0.3">
      <c r="A30" t="s">
        <v>76</v>
      </c>
      <c r="B30">
        <v>8.8000000000000007</v>
      </c>
      <c r="C30">
        <v>7.7</v>
      </c>
      <c r="D30">
        <v>6.7</v>
      </c>
      <c r="E30">
        <v>6.1</v>
      </c>
      <c r="F30">
        <v>5.8</v>
      </c>
      <c r="G30">
        <v>5.5</v>
      </c>
    </row>
    <row r="31" spans="1:7" x14ac:dyDescent="0.3">
      <c r="A31" t="s">
        <v>77</v>
      </c>
      <c r="B31">
        <v>17.7</v>
      </c>
      <c r="C31">
        <v>16.7</v>
      </c>
      <c r="D31">
        <v>15.3</v>
      </c>
      <c r="E31">
        <v>13.5</v>
      </c>
      <c r="F31">
        <v>12.1</v>
      </c>
      <c r="G31">
        <v>11.3</v>
      </c>
    </row>
    <row r="32" spans="1:7" x14ac:dyDescent="0.3">
      <c r="A32" t="s">
        <v>78</v>
      </c>
      <c r="B32">
        <v>17.8</v>
      </c>
      <c r="C32">
        <v>16.3</v>
      </c>
      <c r="D32">
        <v>16</v>
      </c>
      <c r="E32">
        <v>15.5</v>
      </c>
      <c r="F32">
        <v>14.3</v>
      </c>
      <c r="G32">
        <v>12.8</v>
      </c>
    </row>
    <row r="33" spans="1:7" x14ac:dyDescent="0.3">
      <c r="A33" t="s">
        <v>79</v>
      </c>
      <c r="B33">
        <v>55</v>
      </c>
      <c r="C33">
        <v>55.1</v>
      </c>
      <c r="D33">
        <v>55.2</v>
      </c>
      <c r="E33">
        <v>54.4</v>
      </c>
      <c r="F33">
        <v>52.5</v>
      </c>
      <c r="G33">
        <v>49.3</v>
      </c>
    </row>
    <row r="34" spans="1:7" x14ac:dyDescent="0.3">
      <c r="A34" t="s">
        <v>80</v>
      </c>
      <c r="B34">
        <v>63.9</v>
      </c>
      <c r="C34" t="s">
        <v>150</v>
      </c>
      <c r="D34">
        <v>65.3</v>
      </c>
      <c r="E34">
        <v>65.900000000000006</v>
      </c>
      <c r="F34">
        <v>65.599999999999994</v>
      </c>
      <c r="G34">
        <v>64</v>
      </c>
    </row>
    <row r="35" spans="1:7" x14ac:dyDescent="0.3">
      <c r="A35" t="s">
        <v>81</v>
      </c>
      <c r="B35">
        <v>9.6</v>
      </c>
      <c r="C35">
        <v>11</v>
      </c>
      <c r="D35">
        <v>12.7</v>
      </c>
      <c r="E35">
        <v>14.5</v>
      </c>
      <c r="F35">
        <v>16.600000000000001</v>
      </c>
      <c r="G35">
        <v>19.2</v>
      </c>
    </row>
    <row r="36" spans="1:7" x14ac:dyDescent="0.3">
      <c r="A36" t="s">
        <v>82</v>
      </c>
      <c r="B36">
        <v>54.4</v>
      </c>
      <c r="C36">
        <v>54.2</v>
      </c>
      <c r="D36">
        <v>54.1</v>
      </c>
      <c r="E36">
        <v>53.2</v>
      </c>
      <c r="F36">
        <v>51.3</v>
      </c>
      <c r="G36">
        <v>48.1</v>
      </c>
    </row>
    <row r="37" spans="1:7" x14ac:dyDescent="0.3">
      <c r="A37" t="s">
        <v>83</v>
      </c>
      <c r="B37">
        <v>107.5</v>
      </c>
      <c r="C37">
        <v>107.2</v>
      </c>
      <c r="D37">
        <v>106.8</v>
      </c>
      <c r="E37">
        <v>106.3</v>
      </c>
      <c r="F37">
        <v>105.7</v>
      </c>
      <c r="G37">
        <v>105.3</v>
      </c>
    </row>
    <row r="38" spans="1:7" x14ac:dyDescent="0.3">
      <c r="A38" t="s">
        <v>84</v>
      </c>
      <c r="B38">
        <v>57.5</v>
      </c>
      <c r="C38">
        <v>56.4</v>
      </c>
      <c r="D38">
        <v>54.8</v>
      </c>
      <c r="E38">
        <v>53.1</v>
      </c>
      <c r="F38">
        <v>51.7</v>
      </c>
      <c r="G38">
        <v>52.5</v>
      </c>
    </row>
    <row r="39" spans="1:7" x14ac:dyDescent="0.3">
      <c r="A39" t="s">
        <v>85</v>
      </c>
      <c r="B39">
        <v>28</v>
      </c>
      <c r="C39">
        <v>30</v>
      </c>
      <c r="D39">
        <v>33</v>
      </c>
      <c r="E39">
        <v>35</v>
      </c>
      <c r="F39">
        <v>37</v>
      </c>
      <c r="G39">
        <v>39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S21"/>
  <sheetViews>
    <sheetView workbookViewId="0">
      <selection activeCell="B2" sqref="B2:S2"/>
    </sheetView>
  </sheetViews>
  <sheetFormatPr defaultRowHeight="14.4" x14ac:dyDescent="0.3"/>
  <sheetData>
    <row r="1" spans="1:19" x14ac:dyDescent="0.3">
      <c r="A1" s="2" t="s">
        <v>151</v>
      </c>
      <c r="B1" s="1"/>
      <c r="C1" s="1"/>
      <c r="D1" s="1"/>
      <c r="E1" s="1"/>
      <c r="F1" s="1"/>
      <c r="G1" s="1"/>
      <c r="H1" s="1"/>
      <c r="I1" s="1"/>
      <c r="J1" s="1"/>
    </row>
    <row r="2" spans="1:19" x14ac:dyDescent="0.3">
      <c r="A2" t="s">
        <v>93</v>
      </c>
      <c r="B2" s="34">
        <v>2026</v>
      </c>
      <c r="C2" s="34"/>
      <c r="D2" s="34"/>
      <c r="E2" s="34">
        <v>2031</v>
      </c>
      <c r="F2" s="34"/>
      <c r="G2" s="34"/>
      <c r="H2" s="34">
        <v>2036</v>
      </c>
      <c r="I2" s="34"/>
      <c r="J2" s="34"/>
      <c r="K2" s="37">
        <v>2041</v>
      </c>
      <c r="L2" s="37"/>
      <c r="M2" s="37"/>
      <c r="N2" s="37">
        <v>2046</v>
      </c>
      <c r="O2" s="37"/>
      <c r="P2" s="37"/>
      <c r="Q2" s="37">
        <v>2051</v>
      </c>
      <c r="R2" s="37"/>
      <c r="S2" s="37"/>
    </row>
    <row r="3" spans="1:19" x14ac:dyDescent="0.3">
      <c r="B3" t="s">
        <v>16</v>
      </c>
      <c r="C3" t="s">
        <v>46</v>
      </c>
      <c r="D3" t="s">
        <v>91</v>
      </c>
      <c r="E3" t="s">
        <v>16</v>
      </c>
      <c r="F3" t="s">
        <v>46</v>
      </c>
      <c r="G3" t="s">
        <v>91</v>
      </c>
      <c r="H3" t="s">
        <v>16</v>
      </c>
      <c r="I3" t="s">
        <v>46</v>
      </c>
      <c r="J3" t="s">
        <v>91</v>
      </c>
      <c r="K3" t="s">
        <v>16</v>
      </c>
      <c r="L3" t="s">
        <v>46</v>
      </c>
      <c r="M3" t="s">
        <v>91</v>
      </c>
      <c r="N3" t="s">
        <v>16</v>
      </c>
      <c r="O3" t="s">
        <v>46</v>
      </c>
      <c r="P3" t="s">
        <v>91</v>
      </c>
      <c r="Q3" t="s">
        <v>16</v>
      </c>
      <c r="R3" t="s">
        <v>46</v>
      </c>
      <c r="S3" t="s">
        <v>91</v>
      </c>
    </row>
    <row r="4" spans="1:19" x14ac:dyDescent="0.3">
      <c r="A4" t="s">
        <v>94</v>
      </c>
      <c r="B4">
        <v>8.91</v>
      </c>
      <c r="C4">
        <v>8.66</v>
      </c>
      <c r="D4">
        <v>8.7899999999999991</v>
      </c>
      <c r="E4">
        <v>7.79</v>
      </c>
      <c r="F4">
        <v>7.55</v>
      </c>
      <c r="G4">
        <v>7.68</v>
      </c>
      <c r="H4">
        <v>6.76</v>
      </c>
      <c r="I4">
        <v>6.56</v>
      </c>
      <c r="J4">
        <v>6.66</v>
      </c>
      <c r="K4">
        <v>6.15</v>
      </c>
      <c r="L4">
        <v>5.96</v>
      </c>
      <c r="M4">
        <v>6.06</v>
      </c>
      <c r="N4">
        <v>5.86</v>
      </c>
      <c r="O4">
        <v>5.64</v>
      </c>
      <c r="P4">
        <v>5.75</v>
      </c>
      <c r="Q4">
        <v>5.62</v>
      </c>
      <c r="R4">
        <v>5.38</v>
      </c>
      <c r="S4">
        <v>5.5</v>
      </c>
    </row>
    <row r="5" spans="1:19" x14ac:dyDescent="0.3">
      <c r="A5" t="s">
        <v>95</v>
      </c>
      <c r="B5">
        <v>9.06</v>
      </c>
      <c r="C5">
        <v>8.76</v>
      </c>
      <c r="D5">
        <v>8.91</v>
      </c>
      <c r="E5">
        <v>8.39</v>
      </c>
      <c r="F5">
        <v>8.16</v>
      </c>
      <c r="G5">
        <v>8.2799999999999994</v>
      </c>
      <c r="H5">
        <v>7.44</v>
      </c>
      <c r="I5">
        <v>7.2</v>
      </c>
      <c r="J5">
        <v>7.32</v>
      </c>
      <c r="K5">
        <v>6.52</v>
      </c>
      <c r="L5">
        <v>6.3</v>
      </c>
      <c r="M5">
        <v>6.41</v>
      </c>
      <c r="N5">
        <v>5.97</v>
      </c>
      <c r="O5">
        <v>5.76</v>
      </c>
      <c r="P5">
        <v>5.87</v>
      </c>
      <c r="Q5">
        <v>5.72</v>
      </c>
      <c r="R5">
        <v>5.49</v>
      </c>
      <c r="S5">
        <v>5.61</v>
      </c>
    </row>
    <row r="6" spans="1:19" x14ac:dyDescent="0.3">
      <c r="A6" t="s">
        <v>96</v>
      </c>
      <c r="B6">
        <v>8.94</v>
      </c>
      <c r="C6">
        <v>8.56</v>
      </c>
      <c r="D6">
        <v>8.76</v>
      </c>
      <c r="E6">
        <v>8.59</v>
      </c>
      <c r="F6">
        <v>8.2899999999999991</v>
      </c>
      <c r="G6">
        <v>8.4499999999999993</v>
      </c>
      <c r="H6">
        <v>8.06</v>
      </c>
      <c r="I6">
        <v>7.81</v>
      </c>
      <c r="J6">
        <v>7.94</v>
      </c>
      <c r="K6">
        <v>7.21</v>
      </c>
      <c r="L6">
        <v>6.94</v>
      </c>
      <c r="M6">
        <v>7.08</v>
      </c>
      <c r="N6">
        <v>6.35</v>
      </c>
      <c r="O6">
        <v>6.11</v>
      </c>
      <c r="P6">
        <v>6.23</v>
      </c>
      <c r="Q6">
        <v>5.85</v>
      </c>
      <c r="R6">
        <v>5.62</v>
      </c>
      <c r="S6">
        <v>5.74</v>
      </c>
    </row>
    <row r="7" spans="1:19" x14ac:dyDescent="0.3">
      <c r="A7" t="s">
        <v>35</v>
      </c>
      <c r="B7">
        <v>8.6</v>
      </c>
      <c r="C7">
        <v>8.3000000000000007</v>
      </c>
      <c r="D7">
        <v>8.4600000000000009</v>
      </c>
      <c r="E7">
        <v>8.48</v>
      </c>
      <c r="F7">
        <v>8.1</v>
      </c>
      <c r="G7">
        <v>8.3000000000000007</v>
      </c>
      <c r="H7">
        <v>8.25</v>
      </c>
      <c r="I7">
        <v>7.93</v>
      </c>
      <c r="J7">
        <v>8.1</v>
      </c>
      <c r="K7">
        <v>7.8</v>
      </c>
      <c r="L7">
        <v>7.53</v>
      </c>
      <c r="M7">
        <v>7.67</v>
      </c>
      <c r="N7">
        <v>7.02</v>
      </c>
      <c r="O7">
        <v>6.73</v>
      </c>
      <c r="P7">
        <v>6.88</v>
      </c>
      <c r="Q7">
        <v>6.21</v>
      </c>
      <c r="R7">
        <v>5.96</v>
      </c>
      <c r="S7">
        <v>6.09</v>
      </c>
    </row>
    <row r="8" spans="1:19" x14ac:dyDescent="0.3">
      <c r="A8" t="s">
        <v>36</v>
      </c>
      <c r="B8">
        <v>9.57</v>
      </c>
      <c r="C8">
        <v>9.18</v>
      </c>
      <c r="D8">
        <v>9.3800000000000008</v>
      </c>
      <c r="E8">
        <v>8.14</v>
      </c>
      <c r="F8">
        <v>7.85</v>
      </c>
      <c r="G8">
        <v>8</v>
      </c>
      <c r="H8">
        <v>8.1300000000000008</v>
      </c>
      <c r="I8">
        <v>7.75</v>
      </c>
      <c r="J8">
        <v>7.94</v>
      </c>
      <c r="K8">
        <v>7.97</v>
      </c>
      <c r="L8">
        <v>7.64</v>
      </c>
      <c r="M8">
        <v>7.81</v>
      </c>
      <c r="N8">
        <v>7.59</v>
      </c>
      <c r="O8">
        <v>7.29</v>
      </c>
      <c r="P8">
        <v>7.44</v>
      </c>
      <c r="Q8">
        <v>6.86</v>
      </c>
      <c r="R8">
        <v>6.56</v>
      </c>
      <c r="S8">
        <v>6.71</v>
      </c>
    </row>
    <row r="9" spans="1:19" x14ac:dyDescent="0.3">
      <c r="A9" t="s">
        <v>37</v>
      </c>
      <c r="B9">
        <v>9.92</v>
      </c>
      <c r="C9">
        <v>9.56</v>
      </c>
      <c r="D9">
        <v>9.75</v>
      </c>
      <c r="E9">
        <v>9.0500000000000007</v>
      </c>
      <c r="F9">
        <v>8.68</v>
      </c>
      <c r="G9">
        <v>8.8699999999999992</v>
      </c>
      <c r="H9">
        <v>7.8</v>
      </c>
      <c r="I9">
        <v>7.5</v>
      </c>
      <c r="J9">
        <v>7.65</v>
      </c>
      <c r="K9">
        <v>7.86</v>
      </c>
      <c r="L9">
        <v>7.45</v>
      </c>
      <c r="M9">
        <v>7.66</v>
      </c>
      <c r="N9">
        <v>7.75</v>
      </c>
      <c r="O9">
        <v>7.4</v>
      </c>
      <c r="P9">
        <v>7.58</v>
      </c>
      <c r="Q9">
        <v>7.42</v>
      </c>
      <c r="R9">
        <v>7.1</v>
      </c>
      <c r="S9">
        <v>7.26</v>
      </c>
    </row>
    <row r="10" spans="1:19" x14ac:dyDescent="0.3">
      <c r="A10" t="s">
        <v>38</v>
      </c>
      <c r="B10">
        <v>8.67</v>
      </c>
      <c r="C10">
        <v>8.26</v>
      </c>
      <c r="D10">
        <v>8.4700000000000006</v>
      </c>
      <c r="E10">
        <v>9.3699999999999992</v>
      </c>
      <c r="F10">
        <v>9.0299999999999994</v>
      </c>
      <c r="G10">
        <v>9.2100000000000009</v>
      </c>
      <c r="H10">
        <v>8.66</v>
      </c>
      <c r="I10">
        <v>8.2899999999999991</v>
      </c>
      <c r="J10">
        <v>8.48</v>
      </c>
      <c r="K10">
        <v>7.53</v>
      </c>
      <c r="L10">
        <v>7.21</v>
      </c>
      <c r="M10">
        <v>7.38</v>
      </c>
      <c r="N10">
        <v>7.63</v>
      </c>
      <c r="O10">
        <v>7.21</v>
      </c>
      <c r="P10">
        <v>7.43</v>
      </c>
      <c r="Q10">
        <v>7.58</v>
      </c>
      <c r="R10">
        <v>7.2</v>
      </c>
      <c r="S10">
        <v>7.39</v>
      </c>
    </row>
    <row r="11" spans="1:19" x14ac:dyDescent="0.3">
      <c r="A11" t="s">
        <v>39</v>
      </c>
      <c r="B11">
        <v>7.5</v>
      </c>
      <c r="C11">
        <v>7.33</v>
      </c>
      <c r="D11">
        <v>7.42</v>
      </c>
      <c r="E11">
        <v>8.18</v>
      </c>
      <c r="F11">
        <v>7.79</v>
      </c>
      <c r="G11">
        <v>7.99</v>
      </c>
      <c r="H11">
        <v>8.9600000000000009</v>
      </c>
      <c r="I11">
        <v>8.6199999999999992</v>
      </c>
      <c r="J11">
        <v>8.7899999999999991</v>
      </c>
      <c r="K11">
        <v>8.36</v>
      </c>
      <c r="L11">
        <v>7.97</v>
      </c>
      <c r="M11">
        <v>8.17</v>
      </c>
      <c r="N11">
        <v>7.31</v>
      </c>
      <c r="O11">
        <v>6.97</v>
      </c>
      <c r="P11">
        <v>7.15</v>
      </c>
      <c r="Q11">
        <v>7.45</v>
      </c>
      <c r="R11">
        <v>7.02</v>
      </c>
      <c r="S11">
        <v>7.24</v>
      </c>
    </row>
    <row r="12" spans="1:19" x14ac:dyDescent="0.3">
      <c r="A12" t="s">
        <v>40</v>
      </c>
      <c r="B12">
        <v>6.09</v>
      </c>
      <c r="C12">
        <v>6.19</v>
      </c>
      <c r="D12">
        <v>6.14</v>
      </c>
      <c r="E12">
        <v>7.05</v>
      </c>
      <c r="F12">
        <v>6.91</v>
      </c>
      <c r="G12">
        <v>6.98</v>
      </c>
      <c r="H12">
        <v>7.8</v>
      </c>
      <c r="I12">
        <v>7.43</v>
      </c>
      <c r="J12">
        <v>7.62</v>
      </c>
      <c r="K12">
        <v>8.6199999999999992</v>
      </c>
      <c r="L12">
        <v>8.2799999999999994</v>
      </c>
      <c r="M12">
        <v>8.4499999999999993</v>
      </c>
      <c r="N12">
        <v>8.09</v>
      </c>
      <c r="O12">
        <v>7.7</v>
      </c>
      <c r="P12">
        <v>7.9</v>
      </c>
      <c r="Q12">
        <v>7.13</v>
      </c>
      <c r="R12">
        <v>6.78</v>
      </c>
      <c r="S12">
        <v>6.96</v>
      </c>
    </row>
    <row r="13" spans="1:19" x14ac:dyDescent="0.3">
      <c r="A13" t="s">
        <v>41</v>
      </c>
      <c r="B13">
        <v>5.2</v>
      </c>
      <c r="C13">
        <v>5.57</v>
      </c>
      <c r="D13">
        <v>5.38</v>
      </c>
      <c r="E13">
        <v>5.7</v>
      </c>
      <c r="F13">
        <v>5.82</v>
      </c>
      <c r="G13">
        <v>5.76</v>
      </c>
      <c r="H13">
        <v>6.69</v>
      </c>
      <c r="I13">
        <v>6.57</v>
      </c>
      <c r="J13">
        <v>6.63</v>
      </c>
      <c r="K13">
        <v>7.47</v>
      </c>
      <c r="L13">
        <v>7.12</v>
      </c>
      <c r="M13">
        <v>7.3</v>
      </c>
      <c r="N13">
        <v>8.32</v>
      </c>
      <c r="O13">
        <v>7.99</v>
      </c>
      <c r="P13">
        <v>8.16</v>
      </c>
      <c r="Q13">
        <v>7.86</v>
      </c>
      <c r="R13">
        <v>7.48</v>
      </c>
      <c r="S13">
        <v>7.67</v>
      </c>
    </row>
    <row r="14" spans="1:19" x14ac:dyDescent="0.3">
      <c r="A14" t="s">
        <v>97</v>
      </c>
      <c r="B14">
        <v>4.71</v>
      </c>
      <c r="C14">
        <v>5.03</v>
      </c>
      <c r="D14">
        <v>4.8600000000000003</v>
      </c>
      <c r="E14">
        <v>4.82</v>
      </c>
      <c r="F14">
        <v>5.21</v>
      </c>
      <c r="G14">
        <v>5.01</v>
      </c>
      <c r="H14">
        <v>5.36</v>
      </c>
      <c r="I14">
        <v>5.51</v>
      </c>
      <c r="J14">
        <v>5.44</v>
      </c>
      <c r="K14">
        <v>6.36</v>
      </c>
      <c r="L14">
        <v>6.28</v>
      </c>
      <c r="M14">
        <v>6.32</v>
      </c>
      <c r="N14">
        <v>7.16</v>
      </c>
      <c r="O14">
        <v>6.85</v>
      </c>
      <c r="P14">
        <v>7.01</v>
      </c>
      <c r="Q14">
        <v>8.0299999999999994</v>
      </c>
      <c r="R14">
        <v>7.74</v>
      </c>
      <c r="S14">
        <v>7.89</v>
      </c>
    </row>
    <row r="15" spans="1:19" x14ac:dyDescent="0.3">
      <c r="A15" t="s">
        <v>98</v>
      </c>
      <c r="B15">
        <v>3.99</v>
      </c>
      <c r="C15">
        <v>4.2</v>
      </c>
      <c r="D15">
        <v>4.09</v>
      </c>
      <c r="E15">
        <v>4.3</v>
      </c>
      <c r="F15">
        <v>4.68</v>
      </c>
      <c r="G15">
        <v>4.4800000000000004</v>
      </c>
      <c r="H15">
        <v>4.47</v>
      </c>
      <c r="I15">
        <v>4.91</v>
      </c>
      <c r="J15">
        <v>4.68</v>
      </c>
      <c r="K15">
        <v>5.03</v>
      </c>
      <c r="L15">
        <v>5.25</v>
      </c>
      <c r="M15">
        <v>5.14</v>
      </c>
      <c r="N15">
        <v>6.03</v>
      </c>
      <c r="O15">
        <v>6.02</v>
      </c>
      <c r="P15">
        <v>6.02</v>
      </c>
      <c r="Q15">
        <v>6.84</v>
      </c>
      <c r="R15">
        <v>6.62</v>
      </c>
      <c r="S15">
        <v>6.73</v>
      </c>
    </row>
    <row r="16" spans="1:19" x14ac:dyDescent="0.3">
      <c r="A16" t="s">
        <v>99</v>
      </c>
      <c r="B16">
        <v>3.16</v>
      </c>
      <c r="C16">
        <v>3.48</v>
      </c>
      <c r="D16">
        <v>3.31</v>
      </c>
      <c r="E16">
        <v>3.56</v>
      </c>
      <c r="F16">
        <v>3.86</v>
      </c>
      <c r="G16">
        <v>3.71</v>
      </c>
      <c r="H16">
        <v>3.91</v>
      </c>
      <c r="I16">
        <v>4.37</v>
      </c>
      <c r="J16">
        <v>4.13</v>
      </c>
      <c r="K16">
        <v>4.12</v>
      </c>
      <c r="L16">
        <v>4.6399999999999997</v>
      </c>
      <c r="M16">
        <v>4.37</v>
      </c>
      <c r="N16">
        <v>4.6900000000000004</v>
      </c>
      <c r="O16">
        <v>5</v>
      </c>
      <c r="P16">
        <v>4.84</v>
      </c>
      <c r="Q16">
        <v>5.67</v>
      </c>
      <c r="R16">
        <v>5.78</v>
      </c>
      <c r="S16">
        <v>5.72</v>
      </c>
    </row>
    <row r="17" spans="1:19" x14ac:dyDescent="0.3">
      <c r="A17" t="s">
        <v>100</v>
      </c>
      <c r="B17">
        <v>2.4500000000000002</v>
      </c>
      <c r="C17">
        <v>2.5299999999999998</v>
      </c>
      <c r="D17">
        <v>2.48</v>
      </c>
      <c r="E17">
        <v>2.73</v>
      </c>
      <c r="F17">
        <v>3.13</v>
      </c>
      <c r="G17">
        <v>2.92</v>
      </c>
      <c r="H17">
        <v>3.13</v>
      </c>
      <c r="I17">
        <v>3.54</v>
      </c>
      <c r="J17">
        <v>3.33</v>
      </c>
      <c r="K17">
        <v>3.49</v>
      </c>
      <c r="L17">
        <v>4.0599999999999996</v>
      </c>
      <c r="M17">
        <v>3.77</v>
      </c>
      <c r="N17">
        <v>3.73</v>
      </c>
      <c r="O17">
        <v>4.3600000000000003</v>
      </c>
      <c r="P17">
        <v>4.04</v>
      </c>
      <c r="Q17">
        <v>4.3</v>
      </c>
      <c r="R17">
        <v>4.74</v>
      </c>
      <c r="S17">
        <v>4.5199999999999996</v>
      </c>
    </row>
    <row r="18" spans="1:19" x14ac:dyDescent="0.3">
      <c r="A18" t="s">
        <v>101</v>
      </c>
      <c r="B18">
        <v>1.49</v>
      </c>
      <c r="C18">
        <v>1.88</v>
      </c>
      <c r="D18">
        <v>1.68</v>
      </c>
      <c r="E18">
        <v>1.98</v>
      </c>
      <c r="F18">
        <v>2.17</v>
      </c>
      <c r="G18">
        <v>2.0699999999999998</v>
      </c>
      <c r="H18">
        <v>2.2599999999999998</v>
      </c>
      <c r="I18">
        <v>2.75</v>
      </c>
      <c r="J18">
        <v>2.5</v>
      </c>
      <c r="K18">
        <v>2.65</v>
      </c>
      <c r="L18">
        <v>3.18</v>
      </c>
      <c r="M18">
        <v>2.9</v>
      </c>
      <c r="N18">
        <v>3</v>
      </c>
      <c r="O18">
        <v>3.7</v>
      </c>
      <c r="P18">
        <v>3.34</v>
      </c>
      <c r="Q18">
        <v>3.26</v>
      </c>
      <c r="R18">
        <v>4.0199999999999996</v>
      </c>
      <c r="S18">
        <v>3.63</v>
      </c>
    </row>
    <row r="19" spans="1:19" x14ac:dyDescent="0.3">
      <c r="A19" t="s">
        <v>102</v>
      </c>
      <c r="B19">
        <v>1.1000000000000001</v>
      </c>
      <c r="C19">
        <v>1.44</v>
      </c>
      <c r="D19">
        <v>1.26</v>
      </c>
      <c r="E19">
        <v>1.06</v>
      </c>
      <c r="F19">
        <v>1.47</v>
      </c>
      <c r="G19">
        <v>1.26</v>
      </c>
      <c r="H19">
        <v>1.45</v>
      </c>
      <c r="I19">
        <v>1.76</v>
      </c>
      <c r="J19">
        <v>1.6</v>
      </c>
      <c r="K19">
        <v>1.7</v>
      </c>
      <c r="L19">
        <v>2.2999999999999998</v>
      </c>
      <c r="M19">
        <v>1.99</v>
      </c>
      <c r="N19">
        <v>2.04</v>
      </c>
      <c r="O19">
        <v>2.72</v>
      </c>
      <c r="P19">
        <v>2.37</v>
      </c>
      <c r="Q19">
        <v>2.37</v>
      </c>
      <c r="R19">
        <v>3.23</v>
      </c>
      <c r="S19">
        <v>2.79</v>
      </c>
    </row>
    <row r="20" spans="1:19" x14ac:dyDescent="0.3">
      <c r="A20" t="s">
        <v>103</v>
      </c>
      <c r="B20">
        <v>0.65</v>
      </c>
      <c r="C20">
        <v>1.07</v>
      </c>
      <c r="D20">
        <v>0.85</v>
      </c>
      <c r="E20">
        <v>0.8</v>
      </c>
      <c r="F20">
        <v>1.31</v>
      </c>
      <c r="G20">
        <v>1.04</v>
      </c>
      <c r="H20">
        <v>0.87</v>
      </c>
      <c r="I20">
        <v>1.52</v>
      </c>
      <c r="J20">
        <v>1.18</v>
      </c>
      <c r="K20">
        <v>1.1499999999999999</v>
      </c>
      <c r="L20">
        <v>1.9</v>
      </c>
      <c r="M20">
        <v>1.52</v>
      </c>
      <c r="N20">
        <v>1.45</v>
      </c>
      <c r="O20">
        <v>2.5499999999999998</v>
      </c>
      <c r="P20">
        <v>1.99</v>
      </c>
      <c r="Q20">
        <v>1.84</v>
      </c>
      <c r="R20">
        <v>3.28</v>
      </c>
      <c r="S20">
        <v>2.54</v>
      </c>
    </row>
    <row r="21" spans="1:19" x14ac:dyDescent="0.3">
      <c r="A21" t="s">
        <v>73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</row>
  </sheetData>
  <mergeCells count="6">
    <mergeCell ref="Q2:S2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G40"/>
  <sheetViews>
    <sheetView workbookViewId="0">
      <selection activeCell="J8" sqref="J8"/>
    </sheetView>
  </sheetViews>
  <sheetFormatPr defaultRowHeight="14.4" x14ac:dyDescent="0.3"/>
  <cols>
    <col min="1" max="1" width="31.109375" customWidth="1"/>
  </cols>
  <sheetData>
    <row r="1" spans="1:7" x14ac:dyDescent="0.3">
      <c r="A1" s="2" t="s">
        <v>152</v>
      </c>
      <c r="B1" s="1"/>
      <c r="C1" s="1"/>
      <c r="D1" s="1"/>
      <c r="E1" s="1"/>
      <c r="F1" s="1"/>
      <c r="G1" s="1"/>
    </row>
    <row r="2" spans="1:7" x14ac:dyDescent="0.3">
      <c r="A2" t="s">
        <v>52</v>
      </c>
      <c r="B2">
        <v>2026</v>
      </c>
      <c r="C2">
        <v>2031</v>
      </c>
      <c r="D2">
        <v>2036</v>
      </c>
      <c r="E2">
        <v>2041</v>
      </c>
      <c r="F2">
        <v>2046</v>
      </c>
      <c r="G2">
        <v>2051</v>
      </c>
    </row>
    <row r="3" spans="1:7" x14ac:dyDescent="0.3">
      <c r="A3" t="s">
        <v>53</v>
      </c>
    </row>
    <row r="4" spans="1:7" x14ac:dyDescent="0.3">
      <c r="A4" t="s">
        <v>54</v>
      </c>
      <c r="B4">
        <v>1.43</v>
      </c>
      <c r="C4">
        <v>1.41</v>
      </c>
      <c r="D4">
        <v>1.4</v>
      </c>
      <c r="E4">
        <v>1.4</v>
      </c>
      <c r="F4">
        <v>1.4</v>
      </c>
      <c r="G4">
        <v>1.4</v>
      </c>
    </row>
    <row r="5" spans="1:7" x14ac:dyDescent="0.3">
      <c r="A5" t="s">
        <v>55</v>
      </c>
      <c r="B5">
        <v>0.69</v>
      </c>
      <c r="C5">
        <v>0.68</v>
      </c>
      <c r="D5">
        <v>0.68</v>
      </c>
      <c r="E5">
        <v>0.68</v>
      </c>
      <c r="F5">
        <v>0.68</v>
      </c>
      <c r="G5">
        <v>0.68</v>
      </c>
    </row>
    <row r="6" spans="1:7" x14ac:dyDescent="0.3">
      <c r="A6" t="s">
        <v>56</v>
      </c>
      <c r="B6">
        <v>0.68</v>
      </c>
      <c r="C6">
        <v>0.67</v>
      </c>
      <c r="D6">
        <v>0.67</v>
      </c>
      <c r="E6">
        <v>0.67</v>
      </c>
      <c r="F6">
        <v>0.67</v>
      </c>
      <c r="G6">
        <v>0.67</v>
      </c>
    </row>
    <row r="7" spans="1:7" x14ac:dyDescent="0.3">
      <c r="A7" t="s">
        <v>57</v>
      </c>
      <c r="B7">
        <v>26.2</v>
      </c>
      <c r="C7">
        <v>26.4</v>
      </c>
      <c r="D7">
        <v>26.6</v>
      </c>
      <c r="E7">
        <v>26.7</v>
      </c>
      <c r="F7">
        <v>26.9</v>
      </c>
      <c r="G7">
        <v>27.1</v>
      </c>
    </row>
    <row r="8" spans="1:7" x14ac:dyDescent="0.3">
      <c r="A8" t="s">
        <v>58</v>
      </c>
      <c r="B8">
        <v>0.2</v>
      </c>
      <c r="C8">
        <v>0.19</v>
      </c>
      <c r="D8">
        <v>0.19</v>
      </c>
      <c r="E8">
        <v>0.19</v>
      </c>
      <c r="F8">
        <v>0.19</v>
      </c>
      <c r="G8">
        <v>0.19</v>
      </c>
    </row>
    <row r="9" spans="1:7" x14ac:dyDescent="0.3">
      <c r="A9" t="s">
        <v>59</v>
      </c>
    </row>
    <row r="10" spans="1:7" x14ac:dyDescent="0.3">
      <c r="A10" t="s">
        <v>60</v>
      </c>
      <c r="B10">
        <v>71.099999999999994</v>
      </c>
      <c r="C10">
        <v>72.900000000000006</v>
      </c>
      <c r="D10">
        <v>74.599999999999994</v>
      </c>
      <c r="E10">
        <v>76</v>
      </c>
      <c r="F10">
        <v>77.400000000000006</v>
      </c>
      <c r="G10">
        <v>78.7</v>
      </c>
    </row>
    <row r="11" spans="1:7" x14ac:dyDescent="0.3">
      <c r="A11" t="s">
        <v>61</v>
      </c>
      <c r="B11">
        <v>76.2</v>
      </c>
      <c r="C11">
        <v>78.099999999999994</v>
      </c>
      <c r="D11">
        <v>80</v>
      </c>
      <c r="E11">
        <v>81.400000000000006</v>
      </c>
      <c r="F11">
        <v>82.8</v>
      </c>
      <c r="G11">
        <v>84.2</v>
      </c>
    </row>
    <row r="12" spans="1:7" x14ac:dyDescent="0.3">
      <c r="A12" t="s">
        <v>62</v>
      </c>
      <c r="B12">
        <v>73.7</v>
      </c>
      <c r="C12">
        <v>75.5</v>
      </c>
      <c r="D12">
        <v>77.3</v>
      </c>
      <c r="E12">
        <v>78.7</v>
      </c>
      <c r="F12">
        <v>80.099999999999994</v>
      </c>
      <c r="G12">
        <v>81.5</v>
      </c>
    </row>
    <row r="13" spans="1:7" x14ac:dyDescent="0.3">
      <c r="A13" t="s">
        <v>63</v>
      </c>
      <c r="B13">
        <v>19.2</v>
      </c>
      <c r="C13">
        <v>15.3</v>
      </c>
      <c r="D13">
        <v>11.9</v>
      </c>
      <c r="E13">
        <v>10</v>
      </c>
      <c r="F13">
        <v>8.6</v>
      </c>
      <c r="G13">
        <v>7.3</v>
      </c>
    </row>
    <row r="14" spans="1:7" x14ac:dyDescent="0.3">
      <c r="A14" t="s">
        <v>64</v>
      </c>
      <c r="B14">
        <v>22.4</v>
      </c>
      <c r="C14">
        <v>17.8</v>
      </c>
      <c r="D14">
        <v>13.7</v>
      </c>
      <c r="E14">
        <v>11.5</v>
      </c>
      <c r="F14">
        <v>9.9</v>
      </c>
      <c r="G14">
        <v>8.4</v>
      </c>
    </row>
    <row r="15" spans="1:7" x14ac:dyDescent="0.3">
      <c r="A15" t="s">
        <v>108</v>
      </c>
    </row>
    <row r="16" spans="1:7" x14ac:dyDescent="0.3">
      <c r="A16" t="s">
        <v>74</v>
      </c>
      <c r="B16">
        <v>567</v>
      </c>
      <c r="C16">
        <v>1079</v>
      </c>
      <c r="D16">
        <v>1591</v>
      </c>
      <c r="E16">
        <v>2104</v>
      </c>
      <c r="F16">
        <v>2616</v>
      </c>
      <c r="G16">
        <v>3129</v>
      </c>
    </row>
    <row r="17" spans="1:7" x14ac:dyDescent="0.3">
      <c r="A17" t="s">
        <v>75</v>
      </c>
      <c r="B17">
        <v>-968</v>
      </c>
      <c r="C17">
        <v>-529</v>
      </c>
      <c r="D17">
        <v>-91</v>
      </c>
      <c r="E17">
        <v>347</v>
      </c>
      <c r="F17">
        <v>785</v>
      </c>
      <c r="G17">
        <v>1224</v>
      </c>
    </row>
    <row r="18" spans="1:7" x14ac:dyDescent="0.3">
      <c r="A18" t="s">
        <v>73</v>
      </c>
      <c r="B18">
        <v>-401</v>
      </c>
      <c r="C18">
        <v>550</v>
      </c>
      <c r="D18">
        <v>1500</v>
      </c>
      <c r="E18">
        <v>2451</v>
      </c>
      <c r="F18">
        <v>3401</v>
      </c>
      <c r="G18">
        <v>4353</v>
      </c>
    </row>
    <row r="19" spans="1:7" x14ac:dyDescent="0.3">
      <c r="A19" t="s">
        <v>65</v>
      </c>
    </row>
    <row r="20" spans="1:7" x14ac:dyDescent="0.3">
      <c r="A20" t="s">
        <v>66</v>
      </c>
      <c r="B20">
        <v>10.6</v>
      </c>
      <c r="C20">
        <v>9.6999999999999993</v>
      </c>
      <c r="D20">
        <v>9.1</v>
      </c>
      <c r="E20">
        <v>8.6</v>
      </c>
      <c r="F20">
        <v>7.9</v>
      </c>
      <c r="G20">
        <v>7.4</v>
      </c>
    </row>
    <row r="21" spans="1:7" x14ac:dyDescent="0.3">
      <c r="A21" t="s">
        <v>67</v>
      </c>
      <c r="B21">
        <v>8.1999999999999993</v>
      </c>
      <c r="C21">
        <v>8.4</v>
      </c>
      <c r="D21">
        <v>8.6999999999999993</v>
      </c>
      <c r="E21">
        <v>9.1999999999999993</v>
      </c>
      <c r="F21">
        <v>9.9</v>
      </c>
      <c r="G21">
        <v>10.6</v>
      </c>
    </row>
    <row r="22" spans="1:7" x14ac:dyDescent="0.3">
      <c r="A22" t="s">
        <v>109</v>
      </c>
      <c r="B22">
        <v>0.2</v>
      </c>
      <c r="C22">
        <v>0.1</v>
      </c>
      <c r="D22">
        <v>0</v>
      </c>
      <c r="E22">
        <v>-0.1</v>
      </c>
      <c r="F22">
        <v>-0.2</v>
      </c>
      <c r="G22">
        <v>-0.3</v>
      </c>
    </row>
    <row r="23" spans="1:7" x14ac:dyDescent="0.3">
      <c r="A23" t="s">
        <v>90</v>
      </c>
      <c r="B23">
        <v>0.2</v>
      </c>
      <c r="C23">
        <v>0.1</v>
      </c>
      <c r="D23">
        <v>0</v>
      </c>
      <c r="E23">
        <v>-0.1</v>
      </c>
      <c r="F23">
        <v>-0.2</v>
      </c>
      <c r="G23">
        <v>-0.3</v>
      </c>
    </row>
    <row r="24" spans="1:7" x14ac:dyDescent="0.3">
      <c r="A24" t="s">
        <v>69</v>
      </c>
    </row>
    <row r="25" spans="1:7" x14ac:dyDescent="0.3">
      <c r="A25" t="s">
        <v>70</v>
      </c>
      <c r="B25">
        <v>0.82</v>
      </c>
      <c r="C25">
        <v>0.76</v>
      </c>
      <c r="D25">
        <v>0.72</v>
      </c>
      <c r="E25">
        <v>0.68</v>
      </c>
      <c r="F25">
        <v>0.62</v>
      </c>
      <c r="G25">
        <v>0.56999999999999995</v>
      </c>
    </row>
    <row r="26" spans="1:7" x14ac:dyDescent="0.3">
      <c r="A26" t="s">
        <v>71</v>
      </c>
      <c r="B26">
        <v>0.64</v>
      </c>
      <c r="C26">
        <v>0.66</v>
      </c>
      <c r="D26">
        <v>0.68</v>
      </c>
      <c r="E26">
        <v>0.73</v>
      </c>
      <c r="F26">
        <v>0.78</v>
      </c>
      <c r="G26">
        <v>0.82</v>
      </c>
    </row>
    <row r="27" spans="1:7" x14ac:dyDescent="0.3">
      <c r="A27" t="s">
        <v>72</v>
      </c>
    </row>
    <row r="28" spans="1:7" x14ac:dyDescent="0.3">
      <c r="A28" t="s">
        <v>73</v>
      </c>
      <c r="B28">
        <v>77.8</v>
      </c>
      <c r="C28">
        <v>78.400000000000006</v>
      </c>
      <c r="D28">
        <v>78.7</v>
      </c>
      <c r="E28">
        <v>78.7</v>
      </c>
      <c r="F28">
        <v>78.099999999999994</v>
      </c>
      <c r="G28">
        <v>77</v>
      </c>
    </row>
    <row r="29" spans="1:7" x14ac:dyDescent="0.3">
      <c r="A29" t="s">
        <v>74</v>
      </c>
      <c r="B29">
        <v>38.700000000000003</v>
      </c>
      <c r="C29">
        <v>38.9</v>
      </c>
      <c r="D29">
        <v>38.9</v>
      </c>
      <c r="E29">
        <v>38.799999999999997</v>
      </c>
      <c r="F29">
        <v>38.4</v>
      </c>
      <c r="G29">
        <v>37.799999999999997</v>
      </c>
    </row>
    <row r="30" spans="1:7" x14ac:dyDescent="0.3">
      <c r="A30" t="s">
        <v>75</v>
      </c>
      <c r="B30">
        <v>39.1</v>
      </c>
      <c r="C30">
        <v>39.5</v>
      </c>
      <c r="D30">
        <v>39.799999999999997</v>
      </c>
      <c r="E30">
        <v>39.9</v>
      </c>
      <c r="F30">
        <v>39.700000000000003</v>
      </c>
      <c r="G30">
        <v>39.200000000000003</v>
      </c>
    </row>
    <row r="31" spans="1:7" x14ac:dyDescent="0.3">
      <c r="A31" t="s">
        <v>76</v>
      </c>
      <c r="B31">
        <v>5.3</v>
      </c>
      <c r="C31">
        <v>4.9000000000000004</v>
      </c>
      <c r="D31">
        <v>4.5999999999999996</v>
      </c>
      <c r="E31">
        <v>4.4000000000000004</v>
      </c>
      <c r="F31">
        <v>4.0999999999999996</v>
      </c>
      <c r="G31">
        <v>3.8</v>
      </c>
    </row>
    <row r="32" spans="1:7" x14ac:dyDescent="0.3">
      <c r="A32" t="s">
        <v>77</v>
      </c>
      <c r="B32">
        <v>12.5</v>
      </c>
      <c r="C32">
        <v>11.1</v>
      </c>
      <c r="D32">
        <v>10.1</v>
      </c>
      <c r="E32">
        <v>9.5</v>
      </c>
      <c r="F32">
        <v>9</v>
      </c>
      <c r="G32">
        <v>8.6</v>
      </c>
    </row>
    <row r="33" spans="1:7" x14ac:dyDescent="0.3">
      <c r="A33" t="s">
        <v>78</v>
      </c>
      <c r="B33">
        <v>13.8</v>
      </c>
      <c r="C33">
        <v>13.2</v>
      </c>
      <c r="D33">
        <v>12.3</v>
      </c>
      <c r="E33">
        <v>11</v>
      </c>
      <c r="F33">
        <v>10.199999999999999</v>
      </c>
      <c r="G33">
        <v>9.6999999999999993</v>
      </c>
    </row>
    <row r="34" spans="1:7" x14ac:dyDescent="0.3">
      <c r="A34" t="s">
        <v>79</v>
      </c>
      <c r="B34">
        <v>53.4</v>
      </c>
      <c r="C34">
        <v>52</v>
      </c>
      <c r="D34">
        <v>49.2</v>
      </c>
      <c r="E34">
        <v>46.4</v>
      </c>
      <c r="F34">
        <v>43.8</v>
      </c>
      <c r="G34">
        <v>41.2</v>
      </c>
    </row>
    <row r="35" spans="1:7" x14ac:dyDescent="0.3">
      <c r="A35" t="s">
        <v>80</v>
      </c>
      <c r="B35">
        <v>66.599999999999994</v>
      </c>
      <c r="C35">
        <v>66</v>
      </c>
      <c r="D35">
        <v>64.099999999999994</v>
      </c>
      <c r="E35">
        <v>62.1</v>
      </c>
      <c r="F35">
        <v>59.2</v>
      </c>
      <c r="G35" t="s">
        <v>155</v>
      </c>
    </row>
    <row r="36" spans="1:7" x14ac:dyDescent="0.3">
      <c r="A36" t="s">
        <v>81</v>
      </c>
      <c r="B36">
        <v>15.6</v>
      </c>
      <c r="C36">
        <v>18.100000000000001</v>
      </c>
      <c r="D36">
        <v>21.2</v>
      </c>
      <c r="E36" t="s">
        <v>154</v>
      </c>
      <c r="F36">
        <v>27.7</v>
      </c>
      <c r="G36">
        <v>31.1</v>
      </c>
    </row>
    <row r="37" spans="1:7" x14ac:dyDescent="0.3">
      <c r="A37" t="s">
        <v>82</v>
      </c>
      <c r="B37">
        <v>52.7</v>
      </c>
      <c r="C37">
        <v>51.1</v>
      </c>
      <c r="D37">
        <v>47.7</v>
      </c>
      <c r="E37">
        <v>44.6</v>
      </c>
      <c r="F37">
        <v>42</v>
      </c>
      <c r="G37">
        <v>39.5</v>
      </c>
    </row>
    <row r="38" spans="1:7" x14ac:dyDescent="0.3">
      <c r="A38" t="s">
        <v>83</v>
      </c>
      <c r="B38">
        <v>98.9</v>
      </c>
      <c r="C38">
        <v>98.4</v>
      </c>
      <c r="D38">
        <v>97.8</v>
      </c>
      <c r="E38">
        <v>97.2</v>
      </c>
      <c r="F38">
        <v>96.7</v>
      </c>
      <c r="G38">
        <v>96.4</v>
      </c>
    </row>
    <row r="39" spans="1:7" x14ac:dyDescent="0.3">
      <c r="A39" t="s">
        <v>153</v>
      </c>
      <c r="B39">
        <v>48.9</v>
      </c>
      <c r="C39">
        <v>50.2</v>
      </c>
      <c r="D39">
        <v>51.6</v>
      </c>
      <c r="E39">
        <v>56</v>
      </c>
      <c r="F39">
        <v>61</v>
      </c>
      <c r="G39">
        <v>69</v>
      </c>
    </row>
    <row r="40" spans="1:7" x14ac:dyDescent="0.3">
      <c r="A40" t="s">
        <v>85</v>
      </c>
      <c r="B40">
        <v>37</v>
      </c>
      <c r="C40">
        <v>39</v>
      </c>
      <c r="D40">
        <v>41</v>
      </c>
      <c r="E40">
        <v>43</v>
      </c>
      <c r="F40">
        <v>46</v>
      </c>
      <c r="G40">
        <v>47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S21"/>
  <sheetViews>
    <sheetView workbookViewId="0">
      <selection activeCell="V5" sqref="V5"/>
    </sheetView>
  </sheetViews>
  <sheetFormatPr defaultRowHeight="14.4" x14ac:dyDescent="0.3"/>
  <sheetData>
    <row r="1" spans="1:19" x14ac:dyDescent="0.3">
      <c r="A1" s="2" t="s">
        <v>156</v>
      </c>
      <c r="B1" s="1"/>
      <c r="C1" s="1"/>
      <c r="D1" s="1"/>
      <c r="E1" s="1"/>
      <c r="F1" s="1"/>
      <c r="G1" s="1"/>
      <c r="H1" s="1"/>
      <c r="I1" s="1"/>
      <c r="J1" s="1"/>
    </row>
    <row r="2" spans="1:19" x14ac:dyDescent="0.3">
      <c r="A2" t="s">
        <v>93</v>
      </c>
      <c r="B2" s="34">
        <v>2026</v>
      </c>
      <c r="C2" s="34"/>
      <c r="D2" s="34"/>
      <c r="E2" s="34">
        <v>2031</v>
      </c>
      <c r="F2" s="34"/>
      <c r="G2" s="34"/>
      <c r="H2" s="34">
        <v>2036</v>
      </c>
      <c r="I2" s="34"/>
      <c r="J2" s="34"/>
      <c r="K2" s="37">
        <v>2041</v>
      </c>
      <c r="L2" s="37"/>
      <c r="M2" s="37"/>
      <c r="N2" s="37">
        <v>2046</v>
      </c>
      <c r="O2" s="37"/>
      <c r="P2" s="37"/>
      <c r="Q2" s="37">
        <v>2051</v>
      </c>
      <c r="R2" s="37"/>
      <c r="S2" s="37"/>
    </row>
    <row r="3" spans="1:19" x14ac:dyDescent="0.3">
      <c r="B3" t="s">
        <v>16</v>
      </c>
      <c r="C3" t="s">
        <v>46</v>
      </c>
      <c r="D3" t="s">
        <v>91</v>
      </c>
      <c r="E3" t="s">
        <v>16</v>
      </c>
      <c r="F3" t="s">
        <v>46</v>
      </c>
      <c r="G3" t="s">
        <v>91</v>
      </c>
      <c r="H3" t="s">
        <v>16</v>
      </c>
      <c r="I3" t="s">
        <v>46</v>
      </c>
      <c r="J3" t="s">
        <v>91</v>
      </c>
      <c r="K3" t="s">
        <v>16</v>
      </c>
      <c r="L3" t="s">
        <v>46</v>
      </c>
      <c r="M3" t="s">
        <v>91</v>
      </c>
      <c r="N3" t="s">
        <v>16</v>
      </c>
      <c r="O3" t="s">
        <v>46</v>
      </c>
      <c r="P3" t="s">
        <v>91</v>
      </c>
      <c r="Q3" t="s">
        <v>16</v>
      </c>
      <c r="R3" t="s">
        <v>46</v>
      </c>
      <c r="S3" t="s">
        <v>91</v>
      </c>
    </row>
    <row r="4" spans="1:19" x14ac:dyDescent="0.3">
      <c r="A4" t="s">
        <v>94</v>
      </c>
      <c r="B4">
        <v>5.49</v>
      </c>
      <c r="C4">
        <v>5.17</v>
      </c>
      <c r="D4">
        <v>5.33</v>
      </c>
      <c r="E4">
        <v>5.08</v>
      </c>
      <c r="F4">
        <v>4.74</v>
      </c>
      <c r="G4">
        <v>4.91</v>
      </c>
      <c r="H4">
        <v>4.79</v>
      </c>
      <c r="I4">
        <v>4.43</v>
      </c>
      <c r="J4">
        <v>4.6100000000000003</v>
      </c>
      <c r="K4">
        <v>4.54</v>
      </c>
      <c r="L4">
        <v>4.18</v>
      </c>
      <c r="M4">
        <v>4.3600000000000003</v>
      </c>
      <c r="N4">
        <v>4.2699999999999996</v>
      </c>
      <c r="O4">
        <v>3.9</v>
      </c>
      <c r="P4">
        <v>4.08</v>
      </c>
      <c r="Q4">
        <v>3.98</v>
      </c>
      <c r="R4">
        <v>3.62</v>
      </c>
      <c r="S4">
        <v>3.8</v>
      </c>
    </row>
    <row r="5" spans="1:19" x14ac:dyDescent="0.3">
      <c r="A5" t="s">
        <v>95</v>
      </c>
      <c r="B5">
        <v>6.04</v>
      </c>
      <c r="C5">
        <v>5.69</v>
      </c>
      <c r="D5">
        <v>5.86</v>
      </c>
      <c r="E5">
        <v>5.45</v>
      </c>
      <c r="F5">
        <v>5.0999999999999996</v>
      </c>
      <c r="G5">
        <v>5.27</v>
      </c>
      <c r="H5">
        <v>5.0599999999999996</v>
      </c>
      <c r="I5">
        <v>4.7</v>
      </c>
      <c r="J5">
        <v>4.88</v>
      </c>
      <c r="K5">
        <v>4.8</v>
      </c>
      <c r="L5">
        <v>4.42</v>
      </c>
      <c r="M5">
        <v>4.5999999999999996</v>
      </c>
      <c r="N5">
        <v>4.58</v>
      </c>
      <c r="O5">
        <v>4.1900000000000004</v>
      </c>
      <c r="P5">
        <v>4.38</v>
      </c>
      <c r="Q5">
        <v>4.33</v>
      </c>
      <c r="R5">
        <v>3.94</v>
      </c>
      <c r="S5">
        <v>4.13</v>
      </c>
    </row>
    <row r="6" spans="1:19" x14ac:dyDescent="0.3">
      <c r="A6" t="s">
        <v>96</v>
      </c>
      <c r="B6">
        <v>6.83</v>
      </c>
      <c r="C6">
        <v>6.43</v>
      </c>
      <c r="D6">
        <v>6.63</v>
      </c>
      <c r="E6">
        <v>5.99</v>
      </c>
      <c r="F6">
        <v>5.62</v>
      </c>
      <c r="G6">
        <v>5.81</v>
      </c>
      <c r="H6">
        <v>5.44</v>
      </c>
      <c r="I6">
        <v>5.0599999999999996</v>
      </c>
      <c r="J6">
        <v>5.25</v>
      </c>
      <c r="K6">
        <v>5.08</v>
      </c>
      <c r="L6">
        <v>4.6900000000000004</v>
      </c>
      <c r="M6">
        <v>4.88</v>
      </c>
      <c r="N6">
        <v>4.84</v>
      </c>
      <c r="O6">
        <v>4.43</v>
      </c>
      <c r="P6">
        <v>4.63</v>
      </c>
      <c r="Q6">
        <v>4.6500000000000004</v>
      </c>
      <c r="R6">
        <v>4.24</v>
      </c>
      <c r="S6">
        <v>4.4400000000000004</v>
      </c>
    </row>
    <row r="7" spans="1:19" x14ac:dyDescent="0.3">
      <c r="A7" t="s">
        <v>35</v>
      </c>
      <c r="B7">
        <v>6.95</v>
      </c>
      <c r="C7">
        <v>6.52</v>
      </c>
      <c r="D7">
        <v>6.73</v>
      </c>
      <c r="E7">
        <v>6.77</v>
      </c>
      <c r="F7">
        <v>6.35</v>
      </c>
      <c r="G7">
        <v>6.56</v>
      </c>
      <c r="H7">
        <v>5.98</v>
      </c>
      <c r="I7">
        <v>5.57</v>
      </c>
      <c r="J7">
        <v>5.77</v>
      </c>
      <c r="K7">
        <v>5.45</v>
      </c>
      <c r="L7">
        <v>5.05</v>
      </c>
      <c r="M7">
        <v>5.24</v>
      </c>
      <c r="N7">
        <v>5.12</v>
      </c>
      <c r="O7">
        <v>4.71</v>
      </c>
      <c r="P7">
        <v>4.91</v>
      </c>
      <c r="Q7">
        <v>4.91</v>
      </c>
      <c r="R7">
        <v>4.4800000000000004</v>
      </c>
      <c r="S7">
        <v>4.6900000000000004</v>
      </c>
    </row>
    <row r="8" spans="1:19" x14ac:dyDescent="0.3">
      <c r="A8" t="s">
        <v>36</v>
      </c>
      <c r="B8">
        <v>7.3</v>
      </c>
      <c r="C8">
        <v>6.87</v>
      </c>
      <c r="D8">
        <v>7.08</v>
      </c>
      <c r="E8">
        <v>6.89</v>
      </c>
      <c r="F8">
        <v>6.43</v>
      </c>
      <c r="G8">
        <v>6.66</v>
      </c>
      <c r="H8">
        <v>6.75</v>
      </c>
      <c r="I8">
        <v>6.29</v>
      </c>
      <c r="J8">
        <v>6.52</v>
      </c>
      <c r="K8">
        <v>5.99</v>
      </c>
      <c r="L8">
        <v>5.56</v>
      </c>
      <c r="M8">
        <v>5.77</v>
      </c>
      <c r="N8">
        <v>5.49</v>
      </c>
      <c r="O8">
        <v>5.0599999999999996</v>
      </c>
      <c r="P8">
        <v>5.27</v>
      </c>
      <c r="Q8">
        <v>5.2</v>
      </c>
      <c r="R8">
        <v>4.76</v>
      </c>
      <c r="S8">
        <v>4.97</v>
      </c>
    </row>
    <row r="9" spans="1:19" x14ac:dyDescent="0.3">
      <c r="A9" t="s">
        <v>37</v>
      </c>
      <c r="B9">
        <v>8.14</v>
      </c>
      <c r="C9">
        <v>7.59</v>
      </c>
      <c r="D9">
        <v>7.86</v>
      </c>
      <c r="E9">
        <v>7.23</v>
      </c>
      <c r="F9">
        <v>6.77</v>
      </c>
      <c r="G9">
        <v>7</v>
      </c>
      <c r="H9">
        <v>6.86</v>
      </c>
      <c r="I9">
        <v>6.37</v>
      </c>
      <c r="J9">
        <v>6.61</v>
      </c>
      <c r="K9">
        <v>6.76</v>
      </c>
      <c r="L9">
        <v>6.27</v>
      </c>
      <c r="M9">
        <v>6.51</v>
      </c>
      <c r="N9">
        <v>6.04</v>
      </c>
      <c r="O9">
        <v>5.57</v>
      </c>
      <c r="P9">
        <v>5.8</v>
      </c>
      <c r="Q9">
        <v>5.57</v>
      </c>
      <c r="R9">
        <v>5.12</v>
      </c>
      <c r="S9">
        <v>5.34</v>
      </c>
    </row>
    <row r="10" spans="1:19" x14ac:dyDescent="0.3">
      <c r="A10" t="s">
        <v>38</v>
      </c>
      <c r="B10">
        <v>8.2200000000000006</v>
      </c>
      <c r="C10">
        <v>7.65</v>
      </c>
      <c r="D10">
        <v>7.93</v>
      </c>
      <c r="E10">
        <v>8.06</v>
      </c>
      <c r="F10">
        <v>7.47</v>
      </c>
      <c r="G10">
        <v>7.76</v>
      </c>
      <c r="H10">
        <v>7.2</v>
      </c>
      <c r="I10">
        <v>6.71</v>
      </c>
      <c r="J10">
        <v>6.95</v>
      </c>
      <c r="K10">
        <v>6.87</v>
      </c>
      <c r="L10">
        <v>6.34</v>
      </c>
      <c r="M10">
        <v>6.6</v>
      </c>
      <c r="N10">
        <v>6.81</v>
      </c>
      <c r="O10">
        <v>6.28</v>
      </c>
      <c r="P10">
        <v>6.54</v>
      </c>
      <c r="Q10">
        <v>6.12</v>
      </c>
      <c r="R10">
        <v>5.63</v>
      </c>
      <c r="S10">
        <v>5.87</v>
      </c>
    </row>
    <row r="11" spans="1:19" x14ac:dyDescent="0.3">
      <c r="A11" t="s">
        <v>39</v>
      </c>
      <c r="B11">
        <v>8.01</v>
      </c>
      <c r="C11">
        <v>8.2200000000000006</v>
      </c>
      <c r="D11">
        <v>8.11</v>
      </c>
      <c r="E11">
        <v>8.1300000000000008</v>
      </c>
      <c r="F11">
        <v>7.53</v>
      </c>
      <c r="G11">
        <v>7.83</v>
      </c>
      <c r="H11">
        <v>8.01</v>
      </c>
      <c r="I11">
        <v>7.4</v>
      </c>
      <c r="J11">
        <v>7.7</v>
      </c>
      <c r="K11">
        <v>7.2</v>
      </c>
      <c r="L11">
        <v>6.67</v>
      </c>
      <c r="M11">
        <v>6.93</v>
      </c>
      <c r="N11">
        <v>6.92</v>
      </c>
      <c r="O11">
        <v>6.36</v>
      </c>
      <c r="P11">
        <v>6.63</v>
      </c>
      <c r="Q11">
        <v>6.9</v>
      </c>
      <c r="R11">
        <v>6.35</v>
      </c>
      <c r="S11">
        <v>6.62</v>
      </c>
    </row>
    <row r="12" spans="1:19" x14ac:dyDescent="0.3">
      <c r="A12" t="s">
        <v>40</v>
      </c>
      <c r="B12">
        <v>8.18</v>
      </c>
      <c r="C12">
        <v>8.61</v>
      </c>
      <c r="D12">
        <v>8.39</v>
      </c>
      <c r="E12">
        <v>7.9</v>
      </c>
      <c r="F12">
        <v>8.07</v>
      </c>
      <c r="G12">
        <v>7.99</v>
      </c>
      <c r="H12">
        <v>8.07</v>
      </c>
      <c r="I12">
        <v>7.44</v>
      </c>
      <c r="J12">
        <v>7.75</v>
      </c>
      <c r="K12">
        <v>8</v>
      </c>
      <c r="L12">
        <v>7.35</v>
      </c>
      <c r="M12">
        <v>7.67</v>
      </c>
      <c r="N12">
        <v>7.24</v>
      </c>
      <c r="O12">
        <v>6.68</v>
      </c>
      <c r="P12">
        <v>6.96</v>
      </c>
      <c r="Q12">
        <v>7</v>
      </c>
      <c r="R12">
        <v>6.42</v>
      </c>
      <c r="S12">
        <v>6.7</v>
      </c>
    </row>
    <row r="13" spans="1:19" x14ac:dyDescent="0.3">
      <c r="A13" t="s">
        <v>41</v>
      </c>
      <c r="B13">
        <v>7.27</v>
      </c>
      <c r="C13">
        <v>7.24</v>
      </c>
      <c r="D13">
        <v>7.26</v>
      </c>
      <c r="E13">
        <v>8.02</v>
      </c>
      <c r="F13">
        <v>8.43</v>
      </c>
      <c r="G13">
        <v>8.23</v>
      </c>
      <c r="H13">
        <v>7.8</v>
      </c>
      <c r="I13">
        <v>7.96</v>
      </c>
      <c r="J13">
        <v>7.88</v>
      </c>
      <c r="K13">
        <v>8.02</v>
      </c>
      <c r="L13">
        <v>7.38</v>
      </c>
      <c r="M13">
        <v>7.7</v>
      </c>
      <c r="N13">
        <v>8.02</v>
      </c>
      <c r="O13">
        <v>7.35</v>
      </c>
      <c r="P13">
        <v>7.68</v>
      </c>
      <c r="Q13">
        <v>7.31</v>
      </c>
      <c r="R13">
        <v>6.73</v>
      </c>
      <c r="S13">
        <v>7.02</v>
      </c>
    </row>
    <row r="14" spans="1:19" x14ac:dyDescent="0.3">
      <c r="A14" t="s">
        <v>97</v>
      </c>
      <c r="B14">
        <v>6.88</v>
      </c>
      <c r="C14">
        <v>7.43</v>
      </c>
      <c r="D14">
        <v>7.16</v>
      </c>
      <c r="E14">
        <v>7.06</v>
      </c>
      <c r="F14">
        <v>7.06</v>
      </c>
      <c r="G14">
        <v>7.06</v>
      </c>
      <c r="H14">
        <v>7.86</v>
      </c>
      <c r="I14">
        <v>8.27</v>
      </c>
      <c r="J14">
        <v>8.07</v>
      </c>
      <c r="K14">
        <v>7.71</v>
      </c>
      <c r="L14">
        <v>7.86</v>
      </c>
      <c r="M14">
        <v>7.79</v>
      </c>
      <c r="N14">
        <v>7.99</v>
      </c>
      <c r="O14">
        <v>7.36</v>
      </c>
      <c r="P14">
        <v>7.67</v>
      </c>
      <c r="Q14">
        <v>8.0500000000000007</v>
      </c>
      <c r="R14">
        <v>7.38</v>
      </c>
      <c r="S14">
        <v>7.71</v>
      </c>
    </row>
    <row r="15" spans="1:19" x14ac:dyDescent="0.3">
      <c r="A15" t="s">
        <v>98</v>
      </c>
      <c r="B15">
        <v>6.01</v>
      </c>
      <c r="C15">
        <v>6.06</v>
      </c>
      <c r="D15">
        <v>6.03</v>
      </c>
      <c r="E15">
        <v>6.57</v>
      </c>
      <c r="F15">
        <v>7.18</v>
      </c>
      <c r="G15">
        <v>6.88</v>
      </c>
      <c r="H15">
        <v>6.81</v>
      </c>
      <c r="I15">
        <v>6.88</v>
      </c>
      <c r="J15">
        <v>6.85</v>
      </c>
      <c r="K15">
        <v>7.65</v>
      </c>
      <c r="L15">
        <v>8.1300000000000008</v>
      </c>
      <c r="M15">
        <v>7.9</v>
      </c>
      <c r="N15">
        <v>7.58</v>
      </c>
      <c r="O15">
        <v>7.8</v>
      </c>
      <c r="P15">
        <v>7.69</v>
      </c>
      <c r="Q15">
        <v>7.94</v>
      </c>
      <c r="R15">
        <v>7.36</v>
      </c>
      <c r="S15">
        <v>7.64</v>
      </c>
    </row>
    <row r="16" spans="1:19" x14ac:dyDescent="0.3">
      <c r="A16" t="s">
        <v>99</v>
      </c>
      <c r="B16">
        <v>5.26</v>
      </c>
      <c r="C16">
        <v>5.45</v>
      </c>
      <c r="D16">
        <v>5.36</v>
      </c>
      <c r="E16">
        <v>5.58</v>
      </c>
      <c r="F16">
        <v>5.78</v>
      </c>
      <c r="G16">
        <v>5.68</v>
      </c>
      <c r="H16">
        <v>6.19</v>
      </c>
      <c r="I16">
        <v>6.93</v>
      </c>
      <c r="J16">
        <v>6.56</v>
      </c>
      <c r="K16">
        <v>6.49</v>
      </c>
      <c r="L16">
        <v>6.71</v>
      </c>
      <c r="M16">
        <v>6.6</v>
      </c>
      <c r="N16">
        <v>7.39</v>
      </c>
      <c r="O16">
        <v>8.01</v>
      </c>
      <c r="P16">
        <v>7.7</v>
      </c>
      <c r="Q16">
        <v>7.41</v>
      </c>
      <c r="R16">
        <v>7.76</v>
      </c>
      <c r="S16">
        <v>7.58</v>
      </c>
    </row>
    <row r="17" spans="1:19" x14ac:dyDescent="0.3">
      <c r="A17" t="s">
        <v>100</v>
      </c>
      <c r="B17">
        <v>3.77</v>
      </c>
      <c r="C17">
        <v>4.0199999999999996</v>
      </c>
      <c r="D17">
        <v>3.9</v>
      </c>
      <c r="E17">
        <v>4.68</v>
      </c>
      <c r="F17">
        <v>5.07</v>
      </c>
      <c r="G17">
        <v>4.88</v>
      </c>
      <c r="H17">
        <v>5.05</v>
      </c>
      <c r="I17">
        <v>5.46</v>
      </c>
      <c r="J17">
        <v>5.26</v>
      </c>
      <c r="K17">
        <v>5.69</v>
      </c>
      <c r="L17">
        <v>6.63</v>
      </c>
      <c r="M17">
        <v>6.17</v>
      </c>
      <c r="N17">
        <v>6.07</v>
      </c>
      <c r="O17">
        <v>6.5</v>
      </c>
      <c r="P17">
        <v>6.29</v>
      </c>
      <c r="Q17">
        <v>7.02</v>
      </c>
      <c r="R17">
        <v>7.86</v>
      </c>
      <c r="S17">
        <v>7.45</v>
      </c>
    </row>
    <row r="18" spans="1:19" x14ac:dyDescent="0.3">
      <c r="A18" t="s">
        <v>101</v>
      </c>
      <c r="B18">
        <v>2.65</v>
      </c>
      <c r="C18">
        <v>3.09</v>
      </c>
      <c r="D18">
        <v>2.87</v>
      </c>
      <c r="E18">
        <v>3.13</v>
      </c>
      <c r="F18">
        <v>3.57</v>
      </c>
      <c r="G18">
        <v>3.35</v>
      </c>
      <c r="H18">
        <v>3.97</v>
      </c>
      <c r="I18">
        <v>4.5999999999999996</v>
      </c>
      <c r="J18">
        <v>4.29</v>
      </c>
      <c r="K18">
        <v>4.37</v>
      </c>
      <c r="L18">
        <v>5.05</v>
      </c>
      <c r="M18">
        <v>4.72</v>
      </c>
      <c r="N18">
        <v>5.04</v>
      </c>
      <c r="O18">
        <v>6.24</v>
      </c>
      <c r="P18">
        <v>5.65</v>
      </c>
      <c r="Q18">
        <v>5.5</v>
      </c>
      <c r="R18">
        <v>6.22</v>
      </c>
      <c r="S18">
        <v>5.87</v>
      </c>
    </row>
    <row r="19" spans="1:19" x14ac:dyDescent="0.3">
      <c r="A19" t="s">
        <v>102</v>
      </c>
      <c r="B19">
        <v>1.84</v>
      </c>
      <c r="C19">
        <v>2.2999999999999998</v>
      </c>
      <c r="D19">
        <v>2.08</v>
      </c>
      <c r="E19">
        <v>1.95</v>
      </c>
      <c r="F19">
        <v>2.52</v>
      </c>
      <c r="G19">
        <v>2.2400000000000002</v>
      </c>
      <c r="H19">
        <v>2.38</v>
      </c>
      <c r="I19">
        <v>3.02</v>
      </c>
      <c r="J19">
        <v>2.7</v>
      </c>
      <c r="K19">
        <v>3.11</v>
      </c>
      <c r="L19">
        <v>3.99</v>
      </c>
      <c r="M19">
        <v>3.56</v>
      </c>
      <c r="N19">
        <v>3.54</v>
      </c>
      <c r="O19">
        <v>4.49</v>
      </c>
      <c r="P19">
        <v>4.0199999999999996</v>
      </c>
      <c r="Q19">
        <v>4.21</v>
      </c>
      <c r="R19">
        <v>5.68</v>
      </c>
      <c r="S19">
        <v>4.96</v>
      </c>
    </row>
    <row r="20" spans="1:19" x14ac:dyDescent="0.3">
      <c r="A20" t="s">
        <v>103</v>
      </c>
      <c r="B20">
        <v>1.1499999999999999</v>
      </c>
      <c r="C20">
        <v>1.67</v>
      </c>
      <c r="D20">
        <v>1.41</v>
      </c>
      <c r="E20">
        <v>1.51</v>
      </c>
      <c r="F20">
        <v>2.2999999999999998</v>
      </c>
      <c r="G20">
        <v>1.91</v>
      </c>
      <c r="H20">
        <v>1.79</v>
      </c>
      <c r="I20">
        <v>2.89</v>
      </c>
      <c r="J20">
        <v>2.35</v>
      </c>
      <c r="K20">
        <v>2.2599999999999998</v>
      </c>
      <c r="L20">
        <v>3.72</v>
      </c>
      <c r="M20">
        <v>3</v>
      </c>
      <c r="N20">
        <v>3.06</v>
      </c>
      <c r="O20">
        <v>5.0599999999999996</v>
      </c>
      <c r="P20">
        <v>4.08</v>
      </c>
      <c r="Q20">
        <v>3.9</v>
      </c>
      <c r="R20">
        <v>6.44</v>
      </c>
      <c r="S20">
        <v>5.2</v>
      </c>
    </row>
    <row r="21" spans="1:19" x14ac:dyDescent="0.3">
      <c r="A21" t="s">
        <v>73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</row>
  </sheetData>
  <mergeCells count="6">
    <mergeCell ref="Q2:S2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G40"/>
  <sheetViews>
    <sheetView workbookViewId="0">
      <selection activeCell="J4" sqref="J4"/>
    </sheetView>
  </sheetViews>
  <sheetFormatPr defaultRowHeight="14.4" x14ac:dyDescent="0.3"/>
  <cols>
    <col min="1" max="1" width="29.77734375" customWidth="1"/>
  </cols>
  <sheetData>
    <row r="1" spans="1:7" x14ac:dyDescent="0.3">
      <c r="A1" s="2" t="s">
        <v>157</v>
      </c>
      <c r="B1" s="1"/>
      <c r="C1" s="1"/>
      <c r="D1" s="1"/>
      <c r="E1" s="1"/>
      <c r="F1" s="1"/>
      <c r="G1" s="1"/>
    </row>
    <row r="2" spans="1:7" x14ac:dyDescent="0.3">
      <c r="A2" t="s">
        <v>158</v>
      </c>
    </row>
    <row r="3" spans="1:7" x14ac:dyDescent="0.3">
      <c r="A3" t="s">
        <v>52</v>
      </c>
      <c r="B3">
        <v>2026</v>
      </c>
      <c r="C3">
        <v>2031</v>
      </c>
      <c r="D3">
        <v>2036</v>
      </c>
      <c r="E3">
        <v>2041</v>
      </c>
      <c r="F3">
        <v>2046</v>
      </c>
      <c r="G3">
        <v>2051</v>
      </c>
    </row>
    <row r="4" spans="1:7" x14ac:dyDescent="0.3">
      <c r="A4" t="s">
        <v>159</v>
      </c>
    </row>
    <row r="5" spans="1:7" x14ac:dyDescent="0.3">
      <c r="A5" t="s">
        <v>54</v>
      </c>
      <c r="B5">
        <v>1.52</v>
      </c>
      <c r="C5">
        <v>1.5</v>
      </c>
      <c r="D5">
        <v>1.5</v>
      </c>
      <c r="E5">
        <v>1.5</v>
      </c>
      <c r="F5">
        <v>1.5</v>
      </c>
      <c r="G5">
        <v>1.5</v>
      </c>
    </row>
    <row r="6" spans="1:7" x14ac:dyDescent="0.3">
      <c r="A6" t="s">
        <v>55</v>
      </c>
      <c r="B6">
        <v>0.73</v>
      </c>
      <c r="C6">
        <v>0.72</v>
      </c>
      <c r="D6">
        <v>0.72</v>
      </c>
      <c r="E6">
        <v>0.72</v>
      </c>
      <c r="F6">
        <v>0.72</v>
      </c>
      <c r="G6">
        <v>0.72</v>
      </c>
    </row>
    <row r="7" spans="1:7" x14ac:dyDescent="0.3">
      <c r="A7" t="s">
        <v>56</v>
      </c>
      <c r="B7">
        <v>0.69</v>
      </c>
      <c r="C7">
        <v>0.68</v>
      </c>
      <c r="D7">
        <v>0.68</v>
      </c>
      <c r="E7">
        <v>0.69</v>
      </c>
      <c r="F7">
        <v>0.7</v>
      </c>
      <c r="G7">
        <v>0.7</v>
      </c>
    </row>
    <row r="8" spans="1:7" x14ac:dyDescent="0.3">
      <c r="A8" t="s">
        <v>57</v>
      </c>
      <c r="B8">
        <v>25.3</v>
      </c>
      <c r="C8">
        <v>25.7</v>
      </c>
      <c r="D8">
        <v>26</v>
      </c>
      <c r="E8">
        <v>26.4</v>
      </c>
      <c r="F8">
        <v>26.8</v>
      </c>
      <c r="G8">
        <v>27.1</v>
      </c>
    </row>
    <row r="9" spans="1:7" x14ac:dyDescent="0.3">
      <c r="A9" t="s">
        <v>58</v>
      </c>
      <c r="B9">
        <v>0.22</v>
      </c>
      <c r="C9">
        <v>0.2</v>
      </c>
      <c r="D9">
        <v>0.19</v>
      </c>
      <c r="E9">
        <v>0.19</v>
      </c>
      <c r="F9">
        <v>0.2</v>
      </c>
      <c r="G9">
        <v>0.2</v>
      </c>
    </row>
    <row r="10" spans="1:7" x14ac:dyDescent="0.3">
      <c r="A10" t="s">
        <v>149</v>
      </c>
    </row>
    <row r="11" spans="1:7" x14ac:dyDescent="0.3">
      <c r="A11" t="s">
        <v>60</v>
      </c>
      <c r="B11">
        <v>69.7</v>
      </c>
      <c r="C11">
        <v>71.3</v>
      </c>
      <c r="D11">
        <v>72.8</v>
      </c>
      <c r="E11">
        <v>74.400000000000006</v>
      </c>
      <c r="F11">
        <v>75.8</v>
      </c>
      <c r="G11">
        <v>77</v>
      </c>
    </row>
    <row r="12" spans="1:7" x14ac:dyDescent="0.3">
      <c r="A12" t="s">
        <v>61</v>
      </c>
      <c r="B12">
        <v>75.900000000000006</v>
      </c>
      <c r="C12">
        <v>73.900000000000006</v>
      </c>
      <c r="D12">
        <v>75.8</v>
      </c>
      <c r="E12">
        <v>77.3</v>
      </c>
      <c r="F12">
        <v>78.900000000000006</v>
      </c>
      <c r="G12">
        <v>80.3</v>
      </c>
    </row>
    <row r="13" spans="1:7" x14ac:dyDescent="0.3">
      <c r="A13" t="s">
        <v>62</v>
      </c>
      <c r="B13">
        <v>72.8</v>
      </c>
      <c r="C13">
        <v>72.599999999999994</v>
      </c>
      <c r="D13">
        <v>74.3</v>
      </c>
      <c r="E13">
        <v>75.8</v>
      </c>
      <c r="F13">
        <v>77.3</v>
      </c>
      <c r="G13">
        <v>78.7</v>
      </c>
    </row>
    <row r="14" spans="1:7" x14ac:dyDescent="0.3">
      <c r="A14" t="s">
        <v>63</v>
      </c>
      <c r="B14">
        <v>45.3</v>
      </c>
      <c r="C14">
        <v>44.4</v>
      </c>
      <c r="D14">
        <v>38.700000000000003</v>
      </c>
      <c r="E14">
        <v>33.5</v>
      </c>
      <c r="F14">
        <v>28.8</v>
      </c>
      <c r="G14">
        <v>25.1</v>
      </c>
    </row>
    <row r="15" spans="1:7" x14ac:dyDescent="0.3">
      <c r="A15" t="s">
        <v>64</v>
      </c>
      <c r="B15">
        <v>53.3</v>
      </c>
      <c r="C15">
        <v>53.1</v>
      </c>
      <c r="D15">
        <v>45.3</v>
      </c>
      <c r="E15">
        <v>38.799999999999997</v>
      </c>
      <c r="F15">
        <v>33.299999999999997</v>
      </c>
      <c r="G15">
        <v>29</v>
      </c>
    </row>
    <row r="16" spans="1:7" x14ac:dyDescent="0.3">
      <c r="A16" t="s">
        <v>108</v>
      </c>
    </row>
    <row r="17" spans="1:7" x14ac:dyDescent="0.3">
      <c r="A17" t="s">
        <v>74</v>
      </c>
      <c r="B17">
        <v>231</v>
      </c>
      <c r="C17">
        <v>280</v>
      </c>
      <c r="D17">
        <v>337</v>
      </c>
      <c r="E17">
        <v>404</v>
      </c>
      <c r="F17">
        <v>480</v>
      </c>
      <c r="G17">
        <v>566</v>
      </c>
    </row>
    <row r="18" spans="1:7" x14ac:dyDescent="0.3">
      <c r="A18" t="s">
        <v>75</v>
      </c>
      <c r="B18">
        <v>1584</v>
      </c>
      <c r="C18">
        <v>1855</v>
      </c>
      <c r="D18">
        <v>2088</v>
      </c>
      <c r="E18">
        <v>2275</v>
      </c>
      <c r="F18">
        <v>2416</v>
      </c>
      <c r="G18">
        <v>2518</v>
      </c>
    </row>
    <row r="19" spans="1:7" x14ac:dyDescent="0.3">
      <c r="A19" t="s">
        <v>73</v>
      </c>
      <c r="B19">
        <v>1815</v>
      </c>
      <c r="C19">
        <v>2135</v>
      </c>
      <c r="D19">
        <v>2425</v>
      </c>
      <c r="E19">
        <v>2679</v>
      </c>
      <c r="F19">
        <v>2896</v>
      </c>
      <c r="G19">
        <v>3084</v>
      </c>
    </row>
    <row r="20" spans="1:7" x14ac:dyDescent="0.3">
      <c r="A20" t="s">
        <v>65</v>
      </c>
    </row>
    <row r="21" spans="1:7" x14ac:dyDescent="0.3">
      <c r="A21" t="s">
        <v>66</v>
      </c>
      <c r="B21">
        <v>12.4</v>
      </c>
      <c r="C21">
        <v>10.9</v>
      </c>
      <c r="D21">
        <v>10</v>
      </c>
      <c r="E21">
        <v>9.4</v>
      </c>
      <c r="F21">
        <v>8.8000000000000007</v>
      </c>
      <c r="G21">
        <v>8.3000000000000007</v>
      </c>
    </row>
    <row r="22" spans="1:7" x14ac:dyDescent="0.3">
      <c r="A22" t="s">
        <v>67</v>
      </c>
      <c r="B22">
        <v>6.8</v>
      </c>
      <c r="C22">
        <v>7.8</v>
      </c>
      <c r="D22">
        <v>7.7</v>
      </c>
      <c r="E22">
        <v>8.1</v>
      </c>
      <c r="F22">
        <v>8.8000000000000007</v>
      </c>
      <c r="G22">
        <v>9.6999999999999993</v>
      </c>
    </row>
    <row r="23" spans="1:7" x14ac:dyDescent="0.3">
      <c r="A23" t="s">
        <v>109</v>
      </c>
      <c r="B23">
        <v>0.6</v>
      </c>
      <c r="C23">
        <v>0.3</v>
      </c>
      <c r="D23">
        <v>0.2</v>
      </c>
      <c r="E23">
        <v>0.1</v>
      </c>
      <c r="F23">
        <v>0</v>
      </c>
      <c r="G23">
        <v>-0.1</v>
      </c>
    </row>
    <row r="24" spans="1:7" x14ac:dyDescent="0.3">
      <c r="A24" t="s">
        <v>69</v>
      </c>
    </row>
    <row r="25" spans="1:7" x14ac:dyDescent="0.3">
      <c r="A25" t="s">
        <v>70</v>
      </c>
      <c r="B25">
        <v>0.49</v>
      </c>
      <c r="C25">
        <v>0.44</v>
      </c>
      <c r="D25">
        <v>0.41</v>
      </c>
      <c r="E25">
        <v>0.39</v>
      </c>
      <c r="F25">
        <v>0.37</v>
      </c>
      <c r="G25">
        <v>0.34</v>
      </c>
    </row>
    <row r="26" spans="1:7" x14ac:dyDescent="0.3">
      <c r="A26" t="s">
        <v>71</v>
      </c>
      <c r="B26">
        <v>0.27</v>
      </c>
      <c r="C26">
        <v>0.31</v>
      </c>
      <c r="D26">
        <v>0.32</v>
      </c>
      <c r="E26">
        <v>0.34</v>
      </c>
      <c r="F26">
        <v>0.37</v>
      </c>
      <c r="G26">
        <v>0.4</v>
      </c>
    </row>
    <row r="27" spans="1:7" x14ac:dyDescent="0.3">
      <c r="A27" t="s">
        <v>72</v>
      </c>
    </row>
    <row r="28" spans="1:7" x14ac:dyDescent="0.3">
      <c r="A28" t="s">
        <v>73</v>
      </c>
      <c r="B28">
        <v>39.6</v>
      </c>
      <c r="C28">
        <v>40.5</v>
      </c>
      <c r="D28">
        <v>41</v>
      </c>
      <c r="E28">
        <v>41.3</v>
      </c>
      <c r="F28">
        <v>41.5</v>
      </c>
      <c r="G28">
        <v>41.3</v>
      </c>
    </row>
    <row r="29" spans="1:7" x14ac:dyDescent="0.3">
      <c r="A29" t="s">
        <v>74</v>
      </c>
      <c r="B29">
        <v>19.899999999999999</v>
      </c>
      <c r="C29">
        <v>20.3</v>
      </c>
      <c r="D29">
        <v>20.6</v>
      </c>
      <c r="E29">
        <v>20.7</v>
      </c>
      <c r="F29">
        <v>20.8</v>
      </c>
      <c r="G29">
        <v>20.7</v>
      </c>
    </row>
    <row r="30" spans="1:7" x14ac:dyDescent="0.3">
      <c r="A30" t="s">
        <v>75</v>
      </c>
      <c r="B30">
        <v>19.7</v>
      </c>
      <c r="C30">
        <v>20.2</v>
      </c>
      <c r="D30">
        <v>20.399999999999999</v>
      </c>
      <c r="E30">
        <v>20.6</v>
      </c>
      <c r="F30">
        <v>20.7</v>
      </c>
      <c r="G30">
        <v>20.6</v>
      </c>
    </row>
    <row r="31" spans="1:7" x14ac:dyDescent="0.3">
      <c r="A31" t="s">
        <v>76</v>
      </c>
      <c r="B31">
        <v>6.1</v>
      </c>
      <c r="C31">
        <v>5.4</v>
      </c>
      <c r="D31">
        <v>4.9000000000000004</v>
      </c>
      <c r="E31">
        <v>4.5999999999999996</v>
      </c>
      <c r="F31">
        <v>4.4000000000000004</v>
      </c>
      <c r="G31">
        <v>4.0999999999999996</v>
      </c>
    </row>
    <row r="32" spans="1:7" x14ac:dyDescent="0.3">
      <c r="A32" t="s">
        <v>77</v>
      </c>
      <c r="B32">
        <v>13.4</v>
      </c>
      <c r="C32">
        <v>12.2</v>
      </c>
      <c r="D32">
        <v>11.2</v>
      </c>
      <c r="E32">
        <v>10.1</v>
      </c>
      <c r="F32">
        <v>9.4</v>
      </c>
      <c r="G32">
        <v>9</v>
      </c>
    </row>
    <row r="33" spans="1:7" x14ac:dyDescent="0.3">
      <c r="A33" t="s">
        <v>78</v>
      </c>
      <c r="B33">
        <v>14.7</v>
      </c>
      <c r="C33">
        <v>13.5</v>
      </c>
      <c r="D33">
        <v>13</v>
      </c>
      <c r="E33">
        <v>11.9</v>
      </c>
      <c r="F33">
        <v>11</v>
      </c>
      <c r="G33">
        <v>10.1</v>
      </c>
    </row>
    <row r="34" spans="1:7" x14ac:dyDescent="0.3">
      <c r="A34" t="s">
        <v>79</v>
      </c>
      <c r="B34">
        <v>56.2</v>
      </c>
      <c r="C34">
        <v>54.9</v>
      </c>
      <c r="D34">
        <v>52.2</v>
      </c>
      <c r="E34">
        <v>49.3</v>
      </c>
      <c r="F34">
        <v>46.1</v>
      </c>
      <c r="G34">
        <v>42.5</v>
      </c>
    </row>
    <row r="35" spans="1:7" x14ac:dyDescent="0.3">
      <c r="A35" t="s">
        <v>80</v>
      </c>
      <c r="B35">
        <v>67.8</v>
      </c>
      <c r="C35">
        <v>67.7</v>
      </c>
      <c r="D35">
        <v>66.400000000000006</v>
      </c>
      <c r="E35">
        <v>64.900000000000006</v>
      </c>
      <c r="F35">
        <v>62</v>
      </c>
      <c r="G35">
        <v>58.9</v>
      </c>
    </row>
    <row r="36" spans="1:7" x14ac:dyDescent="0.3">
      <c r="A36" t="s">
        <v>81</v>
      </c>
      <c r="B36">
        <v>12.6</v>
      </c>
      <c r="C36">
        <v>14.6</v>
      </c>
      <c r="D36">
        <v>17.5</v>
      </c>
      <c r="E36">
        <v>20.399999999999999</v>
      </c>
      <c r="F36">
        <v>24.2</v>
      </c>
      <c r="G36">
        <v>28</v>
      </c>
    </row>
    <row r="37" spans="1:7" x14ac:dyDescent="0.3">
      <c r="A37" t="s">
        <v>82</v>
      </c>
      <c r="B37">
        <v>55.8</v>
      </c>
      <c r="C37">
        <v>54.4</v>
      </c>
      <c r="D37">
        <v>51.3</v>
      </c>
      <c r="E37">
        <v>48</v>
      </c>
      <c r="F37">
        <v>44.9</v>
      </c>
      <c r="G37">
        <v>41.3</v>
      </c>
    </row>
    <row r="38" spans="1:7" x14ac:dyDescent="0.3">
      <c r="A38" t="s">
        <v>83</v>
      </c>
      <c r="B38">
        <v>100.7</v>
      </c>
      <c r="C38">
        <v>100.7</v>
      </c>
      <c r="D38">
        <v>100.8</v>
      </c>
      <c r="E38">
        <v>100.7</v>
      </c>
      <c r="F38">
        <v>100.5</v>
      </c>
      <c r="G38">
        <v>100.2</v>
      </c>
    </row>
    <row r="39" spans="1:7" x14ac:dyDescent="0.3">
      <c r="A39" t="s">
        <v>84</v>
      </c>
      <c r="B39">
        <v>47</v>
      </c>
      <c r="C39">
        <v>47.4</v>
      </c>
      <c r="D39">
        <v>47.6</v>
      </c>
      <c r="E39">
        <v>50.6</v>
      </c>
      <c r="F39">
        <v>54.2</v>
      </c>
      <c r="G39">
        <v>61.4</v>
      </c>
    </row>
    <row r="40" spans="1:7" x14ac:dyDescent="0.3">
      <c r="A40" t="s">
        <v>85</v>
      </c>
      <c r="B40">
        <v>34</v>
      </c>
      <c r="C40">
        <v>36</v>
      </c>
      <c r="D40">
        <v>39</v>
      </c>
      <c r="E40">
        <v>42</v>
      </c>
      <c r="F40">
        <v>44</v>
      </c>
      <c r="G40">
        <v>46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S21"/>
  <sheetViews>
    <sheetView workbookViewId="0">
      <selection activeCell="B2" sqref="B2:S2"/>
    </sheetView>
  </sheetViews>
  <sheetFormatPr defaultRowHeight="14.4" x14ac:dyDescent="0.3"/>
  <sheetData>
    <row r="1" spans="1:19" x14ac:dyDescent="0.3">
      <c r="A1" s="2" t="s">
        <v>160</v>
      </c>
      <c r="B1" s="1"/>
      <c r="C1" s="1"/>
      <c r="D1" s="1"/>
      <c r="E1" s="1"/>
      <c r="F1" s="1"/>
      <c r="G1" s="1"/>
      <c r="H1" s="1"/>
      <c r="I1" s="1"/>
      <c r="J1" s="1"/>
    </row>
    <row r="2" spans="1:19" x14ac:dyDescent="0.3">
      <c r="A2" t="s">
        <v>93</v>
      </c>
      <c r="B2" s="34">
        <v>2026</v>
      </c>
      <c r="C2" s="34"/>
      <c r="D2" s="34"/>
      <c r="E2" s="34">
        <v>2031</v>
      </c>
      <c r="F2" s="34"/>
      <c r="G2" s="34"/>
      <c r="H2" s="34">
        <v>2036</v>
      </c>
      <c r="I2" s="34"/>
      <c r="J2" s="34"/>
      <c r="K2" s="37">
        <v>2041</v>
      </c>
      <c r="L2" s="37"/>
      <c r="M2" s="37"/>
      <c r="N2" s="37">
        <v>2046</v>
      </c>
      <c r="O2" s="37"/>
      <c r="P2" s="37"/>
      <c r="Q2" s="37">
        <v>2051</v>
      </c>
      <c r="R2" s="37"/>
      <c r="S2" s="37"/>
    </row>
    <row r="3" spans="1:19" x14ac:dyDescent="0.3">
      <c r="B3" t="s">
        <v>16</v>
      </c>
      <c r="C3" t="s">
        <v>46</v>
      </c>
      <c r="D3" t="s">
        <v>91</v>
      </c>
      <c r="E3" t="s">
        <v>16</v>
      </c>
      <c r="F3" t="s">
        <v>46</v>
      </c>
      <c r="G3" t="s">
        <v>91</v>
      </c>
      <c r="H3" t="s">
        <v>16</v>
      </c>
      <c r="I3" t="s">
        <v>46</v>
      </c>
      <c r="J3" t="s">
        <v>91</v>
      </c>
      <c r="K3" t="s">
        <v>16</v>
      </c>
      <c r="L3" t="s">
        <v>46</v>
      </c>
      <c r="M3" t="s">
        <v>91</v>
      </c>
      <c r="N3" t="s">
        <v>16</v>
      </c>
      <c r="O3" t="s">
        <v>46</v>
      </c>
      <c r="P3" t="s">
        <v>91</v>
      </c>
      <c r="Q3" t="s">
        <v>16</v>
      </c>
      <c r="R3" t="s">
        <v>46</v>
      </c>
      <c r="S3" t="s">
        <v>91</v>
      </c>
    </row>
    <row r="4" spans="1:19" x14ac:dyDescent="0.3">
      <c r="A4" t="s">
        <v>94</v>
      </c>
      <c r="B4">
        <v>6.27</v>
      </c>
      <c r="C4">
        <v>5.91</v>
      </c>
      <c r="D4">
        <v>6.09</v>
      </c>
      <c r="E4">
        <v>5.6</v>
      </c>
      <c r="F4">
        <v>5.25</v>
      </c>
      <c r="G4">
        <v>5.43</v>
      </c>
      <c r="H4">
        <v>5.08</v>
      </c>
      <c r="I4">
        <v>4.75</v>
      </c>
      <c r="J4">
        <v>4.92</v>
      </c>
      <c r="K4">
        <v>4.76</v>
      </c>
      <c r="L4">
        <v>4.46</v>
      </c>
      <c r="M4">
        <v>4.6100000000000003</v>
      </c>
      <c r="N4">
        <v>4.51</v>
      </c>
      <c r="O4">
        <v>4.24</v>
      </c>
      <c r="P4">
        <v>4.38</v>
      </c>
      <c r="Q4">
        <v>4.28</v>
      </c>
      <c r="R4">
        <v>4.01</v>
      </c>
      <c r="S4">
        <v>4.1399999999999997</v>
      </c>
    </row>
    <row r="5" spans="1:19" x14ac:dyDescent="0.3">
      <c r="A5" t="s">
        <v>95</v>
      </c>
      <c r="B5">
        <v>6.61</v>
      </c>
      <c r="C5">
        <v>6.19</v>
      </c>
      <c r="D5">
        <v>6.4</v>
      </c>
      <c r="E5">
        <v>6.1</v>
      </c>
      <c r="F5">
        <v>5.75</v>
      </c>
      <c r="G5">
        <v>5.93</v>
      </c>
      <c r="H5">
        <v>5.49</v>
      </c>
      <c r="I5">
        <v>5.15</v>
      </c>
      <c r="J5">
        <v>5.32</v>
      </c>
      <c r="K5">
        <v>5.0199999999999996</v>
      </c>
      <c r="L5">
        <v>4.68</v>
      </c>
      <c r="M5">
        <v>4.8499999999999996</v>
      </c>
      <c r="N5">
        <v>4.7300000000000004</v>
      </c>
      <c r="O5">
        <v>4.43</v>
      </c>
      <c r="P5">
        <v>4.58</v>
      </c>
      <c r="Q5">
        <v>4.53</v>
      </c>
      <c r="R5">
        <v>4.2300000000000004</v>
      </c>
      <c r="S5">
        <v>4.38</v>
      </c>
    </row>
    <row r="6" spans="1:19" x14ac:dyDescent="0.3">
      <c r="A6" t="s">
        <v>96</v>
      </c>
      <c r="B6">
        <v>7.25</v>
      </c>
      <c r="C6">
        <v>6.83</v>
      </c>
      <c r="D6">
        <v>7.04</v>
      </c>
      <c r="E6">
        <v>6.46</v>
      </c>
      <c r="F6">
        <v>6.05</v>
      </c>
      <c r="G6">
        <v>6.26</v>
      </c>
      <c r="H6">
        <v>6.01</v>
      </c>
      <c r="I6">
        <v>5.67</v>
      </c>
      <c r="J6">
        <v>5.84</v>
      </c>
      <c r="K6">
        <v>5.44</v>
      </c>
      <c r="L6">
        <v>5.0999999999999996</v>
      </c>
      <c r="M6">
        <v>5.27</v>
      </c>
      <c r="N6">
        <v>5.01</v>
      </c>
      <c r="O6">
        <v>4.66</v>
      </c>
      <c r="P6">
        <v>4.83</v>
      </c>
      <c r="Q6">
        <v>4.76</v>
      </c>
      <c r="R6">
        <v>4.43</v>
      </c>
      <c r="S6">
        <v>4.5999999999999996</v>
      </c>
    </row>
    <row r="7" spans="1:19" x14ac:dyDescent="0.3">
      <c r="A7" t="s">
        <v>35</v>
      </c>
      <c r="B7">
        <v>6.96</v>
      </c>
      <c r="C7">
        <v>6.59</v>
      </c>
      <c r="D7">
        <v>6.77</v>
      </c>
      <c r="E7">
        <v>7.08</v>
      </c>
      <c r="F7">
        <v>6.68</v>
      </c>
      <c r="G7">
        <v>6.88</v>
      </c>
      <c r="H7">
        <v>6.36</v>
      </c>
      <c r="I7">
        <v>5.97</v>
      </c>
      <c r="J7">
        <v>6.17</v>
      </c>
      <c r="K7">
        <v>5.95</v>
      </c>
      <c r="L7">
        <v>5.62</v>
      </c>
      <c r="M7">
        <v>5.78</v>
      </c>
      <c r="N7">
        <v>5.43</v>
      </c>
      <c r="O7">
        <v>5.08</v>
      </c>
      <c r="P7">
        <v>5.25</v>
      </c>
      <c r="Q7">
        <v>5.03</v>
      </c>
      <c r="R7">
        <v>4.67</v>
      </c>
      <c r="S7">
        <v>4.8499999999999996</v>
      </c>
    </row>
    <row r="8" spans="1:19" x14ac:dyDescent="0.3">
      <c r="A8" t="s">
        <v>36</v>
      </c>
      <c r="B8">
        <v>8.14</v>
      </c>
      <c r="C8">
        <v>7.74</v>
      </c>
      <c r="D8">
        <v>7.94</v>
      </c>
      <c r="E8">
        <v>6.8</v>
      </c>
      <c r="F8">
        <v>6.43</v>
      </c>
      <c r="G8">
        <v>6.62</v>
      </c>
      <c r="H8">
        <v>6.97</v>
      </c>
      <c r="I8">
        <v>6.59</v>
      </c>
      <c r="J8">
        <v>6.78</v>
      </c>
      <c r="K8">
        <v>6.3</v>
      </c>
      <c r="L8">
        <v>5.91</v>
      </c>
      <c r="M8">
        <v>6.11</v>
      </c>
      <c r="N8">
        <v>5.93</v>
      </c>
      <c r="O8">
        <v>5.59</v>
      </c>
      <c r="P8">
        <v>5.76</v>
      </c>
      <c r="Q8">
        <v>5.45</v>
      </c>
      <c r="R8">
        <v>5.09</v>
      </c>
      <c r="S8">
        <v>5.27</v>
      </c>
    </row>
    <row r="9" spans="1:19" x14ac:dyDescent="0.3">
      <c r="A9" t="s">
        <v>37</v>
      </c>
      <c r="B9">
        <v>9.2200000000000006</v>
      </c>
      <c r="C9">
        <v>8.8699999999999992</v>
      </c>
      <c r="D9">
        <v>9.0500000000000007</v>
      </c>
      <c r="E9">
        <v>7.95</v>
      </c>
      <c r="F9">
        <v>7.56</v>
      </c>
      <c r="G9">
        <v>7.75</v>
      </c>
      <c r="H9">
        <v>6.68</v>
      </c>
      <c r="I9">
        <v>6.34</v>
      </c>
      <c r="J9">
        <v>6.51</v>
      </c>
      <c r="K9">
        <v>6.89</v>
      </c>
      <c r="L9">
        <v>6.52</v>
      </c>
      <c r="M9">
        <v>6.71</v>
      </c>
      <c r="N9">
        <v>6.28</v>
      </c>
      <c r="O9">
        <v>5.88</v>
      </c>
      <c r="P9">
        <v>6.08</v>
      </c>
      <c r="Q9">
        <v>5.95</v>
      </c>
      <c r="R9">
        <v>5.6</v>
      </c>
      <c r="S9">
        <v>5.78</v>
      </c>
    </row>
    <row r="10" spans="1:19" x14ac:dyDescent="0.3">
      <c r="A10" t="s">
        <v>38</v>
      </c>
      <c r="B10">
        <v>8.8699999999999992</v>
      </c>
      <c r="C10">
        <v>8.42</v>
      </c>
      <c r="D10">
        <v>8.64</v>
      </c>
      <c r="E10">
        <v>8.99</v>
      </c>
      <c r="F10">
        <v>8.66</v>
      </c>
      <c r="G10">
        <v>8.83</v>
      </c>
      <c r="H10">
        <v>7.81</v>
      </c>
      <c r="I10">
        <v>7.44</v>
      </c>
      <c r="J10">
        <v>7.63</v>
      </c>
      <c r="K10">
        <v>6.61</v>
      </c>
      <c r="L10">
        <v>6.27</v>
      </c>
      <c r="M10">
        <v>6.44</v>
      </c>
      <c r="N10">
        <v>6.87</v>
      </c>
      <c r="O10">
        <v>6.48</v>
      </c>
      <c r="P10">
        <v>6.68</v>
      </c>
      <c r="Q10">
        <v>6.3</v>
      </c>
      <c r="R10">
        <v>5.89</v>
      </c>
      <c r="S10">
        <v>6.09</v>
      </c>
    </row>
    <row r="11" spans="1:19" x14ac:dyDescent="0.3">
      <c r="A11" t="s">
        <v>39</v>
      </c>
      <c r="B11">
        <v>8.5399999999999991</v>
      </c>
      <c r="C11">
        <v>8.7100000000000009</v>
      </c>
      <c r="D11">
        <v>8.6300000000000008</v>
      </c>
      <c r="E11">
        <v>8.6300000000000008</v>
      </c>
      <c r="F11">
        <v>8.2100000000000009</v>
      </c>
      <c r="G11">
        <v>8.42</v>
      </c>
      <c r="H11">
        <v>8.82</v>
      </c>
      <c r="I11">
        <v>8.52</v>
      </c>
      <c r="J11">
        <v>8.67</v>
      </c>
      <c r="K11">
        <v>7.71</v>
      </c>
      <c r="L11">
        <v>7.36</v>
      </c>
      <c r="M11">
        <v>7.53</v>
      </c>
      <c r="N11">
        <v>6.57</v>
      </c>
      <c r="O11">
        <v>6.24</v>
      </c>
      <c r="P11">
        <v>6.41</v>
      </c>
      <c r="Q11">
        <v>6.88</v>
      </c>
      <c r="R11">
        <v>6.49</v>
      </c>
      <c r="S11">
        <v>6.69</v>
      </c>
    </row>
    <row r="12" spans="1:19" x14ac:dyDescent="0.3">
      <c r="A12" t="s">
        <v>40</v>
      </c>
      <c r="B12">
        <v>8.0500000000000007</v>
      </c>
      <c r="C12">
        <v>8.56</v>
      </c>
      <c r="D12">
        <v>8.31</v>
      </c>
      <c r="E12">
        <v>8.2899999999999991</v>
      </c>
      <c r="F12">
        <v>8.48</v>
      </c>
      <c r="G12">
        <v>8.39</v>
      </c>
      <c r="H12">
        <v>8.4499999999999993</v>
      </c>
      <c r="I12">
        <v>8.07</v>
      </c>
      <c r="J12">
        <v>8.26</v>
      </c>
      <c r="K12">
        <v>8.69</v>
      </c>
      <c r="L12">
        <v>8.41</v>
      </c>
      <c r="M12">
        <v>8.5500000000000007</v>
      </c>
      <c r="N12">
        <v>7.66</v>
      </c>
      <c r="O12">
        <v>7.3</v>
      </c>
      <c r="P12">
        <v>7.48</v>
      </c>
      <c r="Q12">
        <v>6.58</v>
      </c>
      <c r="R12">
        <v>6.24</v>
      </c>
      <c r="S12">
        <v>6.41</v>
      </c>
    </row>
    <row r="13" spans="1:19" x14ac:dyDescent="0.3">
      <c r="A13" t="s">
        <v>41</v>
      </c>
      <c r="B13">
        <v>6.82</v>
      </c>
      <c r="C13">
        <v>6.88</v>
      </c>
      <c r="D13">
        <v>6.85</v>
      </c>
      <c r="E13">
        <v>7.78</v>
      </c>
      <c r="F13">
        <v>8.32</v>
      </c>
      <c r="G13">
        <v>8.0500000000000007</v>
      </c>
      <c r="H13">
        <v>8.08</v>
      </c>
      <c r="I13">
        <v>8.31</v>
      </c>
      <c r="J13">
        <v>8.1999999999999993</v>
      </c>
      <c r="K13">
        <v>8.3000000000000007</v>
      </c>
      <c r="L13">
        <v>7.95</v>
      </c>
      <c r="M13">
        <v>8.1199999999999992</v>
      </c>
      <c r="N13">
        <v>8.61</v>
      </c>
      <c r="O13">
        <v>8.33</v>
      </c>
      <c r="P13">
        <v>8.4700000000000006</v>
      </c>
      <c r="Q13">
        <v>7.64</v>
      </c>
      <c r="R13">
        <v>7.29</v>
      </c>
      <c r="S13">
        <v>7.46</v>
      </c>
    </row>
    <row r="14" spans="1:19" x14ac:dyDescent="0.3">
      <c r="A14" t="s">
        <v>97</v>
      </c>
      <c r="B14">
        <v>6.38</v>
      </c>
      <c r="C14">
        <v>6.65</v>
      </c>
      <c r="D14">
        <v>6.52</v>
      </c>
      <c r="E14">
        <v>6.54</v>
      </c>
      <c r="F14">
        <v>6.65</v>
      </c>
      <c r="G14">
        <v>6.59</v>
      </c>
      <c r="H14">
        <v>7.53</v>
      </c>
      <c r="I14">
        <v>8.1199999999999992</v>
      </c>
      <c r="J14">
        <v>7.82</v>
      </c>
      <c r="K14">
        <v>7.88</v>
      </c>
      <c r="L14">
        <v>8.16</v>
      </c>
      <c r="M14">
        <v>8.02</v>
      </c>
      <c r="N14">
        <v>8.16</v>
      </c>
      <c r="O14">
        <v>7.85</v>
      </c>
      <c r="P14">
        <v>8.01</v>
      </c>
      <c r="Q14">
        <v>8.5399999999999991</v>
      </c>
      <c r="R14">
        <v>8.2899999999999991</v>
      </c>
      <c r="S14">
        <v>8.42</v>
      </c>
    </row>
    <row r="15" spans="1:19" x14ac:dyDescent="0.3">
      <c r="A15" t="s">
        <v>98</v>
      </c>
      <c r="B15">
        <v>5.23</v>
      </c>
      <c r="C15">
        <v>5.0199999999999996</v>
      </c>
      <c r="D15">
        <v>5.12</v>
      </c>
      <c r="E15">
        <v>6.03</v>
      </c>
      <c r="F15">
        <v>6.39</v>
      </c>
      <c r="G15">
        <v>6.21</v>
      </c>
      <c r="H15">
        <v>6.24</v>
      </c>
      <c r="I15">
        <v>6.45</v>
      </c>
      <c r="J15">
        <v>6.35</v>
      </c>
      <c r="K15">
        <v>7.25</v>
      </c>
      <c r="L15">
        <v>7.92</v>
      </c>
      <c r="M15">
        <v>7.59</v>
      </c>
      <c r="N15">
        <v>7.67</v>
      </c>
      <c r="O15">
        <v>8.02</v>
      </c>
      <c r="P15">
        <v>7.84</v>
      </c>
      <c r="Q15">
        <v>8.0299999999999994</v>
      </c>
      <c r="R15">
        <v>7.78</v>
      </c>
      <c r="S15">
        <v>7.9</v>
      </c>
    </row>
    <row r="16" spans="1:19" x14ac:dyDescent="0.3">
      <c r="A16" t="s">
        <v>99</v>
      </c>
      <c r="B16">
        <v>4.12</v>
      </c>
      <c r="C16">
        <v>4.22</v>
      </c>
      <c r="D16">
        <v>4.17</v>
      </c>
      <c r="E16">
        <v>4.84</v>
      </c>
      <c r="F16">
        <v>4.7699999999999996</v>
      </c>
      <c r="G16">
        <v>4.8</v>
      </c>
      <c r="H16">
        <v>5.65</v>
      </c>
      <c r="I16">
        <v>6.14</v>
      </c>
      <c r="J16">
        <v>5.89</v>
      </c>
      <c r="K16">
        <v>5.91</v>
      </c>
      <c r="L16">
        <v>6.24</v>
      </c>
      <c r="M16">
        <v>6.08</v>
      </c>
      <c r="N16">
        <v>6.96</v>
      </c>
      <c r="O16">
        <v>7.73</v>
      </c>
      <c r="P16">
        <v>7.34</v>
      </c>
      <c r="Q16">
        <v>7.44</v>
      </c>
      <c r="R16">
        <v>7.89</v>
      </c>
      <c r="S16">
        <v>7.67</v>
      </c>
    </row>
    <row r="17" spans="1:19" x14ac:dyDescent="0.3">
      <c r="A17" t="s">
        <v>100</v>
      </c>
      <c r="B17">
        <v>2.97</v>
      </c>
      <c r="C17">
        <v>3.17</v>
      </c>
      <c r="D17">
        <v>3.07</v>
      </c>
      <c r="E17">
        <v>3.69</v>
      </c>
      <c r="F17">
        <v>3.92</v>
      </c>
      <c r="G17">
        <v>3.81</v>
      </c>
      <c r="H17">
        <v>4.4000000000000004</v>
      </c>
      <c r="I17">
        <v>4.4800000000000004</v>
      </c>
      <c r="J17">
        <v>4.4400000000000004</v>
      </c>
      <c r="K17">
        <v>5.22</v>
      </c>
      <c r="L17">
        <v>5.82</v>
      </c>
      <c r="M17">
        <v>5.52</v>
      </c>
      <c r="N17">
        <v>5.54</v>
      </c>
      <c r="O17">
        <v>5.99</v>
      </c>
      <c r="P17">
        <v>5.76</v>
      </c>
      <c r="Q17">
        <v>6.61</v>
      </c>
      <c r="R17">
        <v>7.5</v>
      </c>
      <c r="S17">
        <v>7.05</v>
      </c>
    </row>
    <row r="18" spans="1:19" x14ac:dyDescent="0.3">
      <c r="A18" t="s">
        <v>101</v>
      </c>
      <c r="B18">
        <v>1.9</v>
      </c>
      <c r="C18">
        <v>2.52</v>
      </c>
      <c r="D18">
        <v>2.21</v>
      </c>
      <c r="E18">
        <v>2.5099999999999998</v>
      </c>
      <c r="F18">
        <v>2.81</v>
      </c>
      <c r="G18">
        <v>2.66</v>
      </c>
      <c r="H18">
        <v>3.18</v>
      </c>
      <c r="I18">
        <v>3.52</v>
      </c>
      <c r="J18">
        <v>3.35</v>
      </c>
      <c r="K18">
        <v>3.86</v>
      </c>
      <c r="L18">
        <v>4.09</v>
      </c>
      <c r="M18">
        <v>3.97</v>
      </c>
      <c r="N18">
        <v>4.66</v>
      </c>
      <c r="O18">
        <v>5.39</v>
      </c>
      <c r="P18">
        <v>5.03</v>
      </c>
      <c r="Q18">
        <v>5.04</v>
      </c>
      <c r="R18">
        <v>5.64</v>
      </c>
      <c r="S18">
        <v>5.34</v>
      </c>
    </row>
    <row r="19" spans="1:19" x14ac:dyDescent="0.3">
      <c r="A19" t="s">
        <v>102</v>
      </c>
      <c r="B19">
        <v>1.67</v>
      </c>
      <c r="C19">
        <v>2.2999999999999998</v>
      </c>
      <c r="D19">
        <v>1.98</v>
      </c>
      <c r="E19">
        <v>1.41</v>
      </c>
      <c r="F19">
        <v>2.0299999999999998</v>
      </c>
      <c r="G19">
        <v>1.72</v>
      </c>
      <c r="H19">
        <v>1.93</v>
      </c>
      <c r="I19">
        <v>2.2999999999999998</v>
      </c>
      <c r="J19">
        <v>2.11</v>
      </c>
      <c r="K19">
        <v>2.5099999999999998</v>
      </c>
      <c r="L19">
        <v>2.96</v>
      </c>
      <c r="M19">
        <v>2.73</v>
      </c>
      <c r="N19">
        <v>3.13</v>
      </c>
      <c r="O19">
        <v>3.52</v>
      </c>
      <c r="P19">
        <v>3.33</v>
      </c>
      <c r="Q19">
        <v>3.88</v>
      </c>
      <c r="R19">
        <v>4.76</v>
      </c>
      <c r="S19">
        <v>4.32</v>
      </c>
    </row>
    <row r="20" spans="1:19" x14ac:dyDescent="0.3">
      <c r="A20" t="s">
        <v>103</v>
      </c>
      <c r="B20">
        <v>0.99</v>
      </c>
      <c r="C20">
        <v>1.42</v>
      </c>
      <c r="D20">
        <v>1.2</v>
      </c>
      <c r="E20">
        <v>1.29</v>
      </c>
      <c r="F20">
        <v>2.02</v>
      </c>
      <c r="G20">
        <v>1.65</v>
      </c>
      <c r="H20">
        <v>1.32</v>
      </c>
      <c r="I20">
        <v>2.17</v>
      </c>
      <c r="J20">
        <v>1.74</v>
      </c>
      <c r="K20">
        <v>1.69</v>
      </c>
      <c r="L20">
        <v>2.5299999999999998</v>
      </c>
      <c r="M20">
        <v>2.11</v>
      </c>
      <c r="N20">
        <v>2.2799999999999998</v>
      </c>
      <c r="O20">
        <v>3.28</v>
      </c>
      <c r="P20">
        <v>2.78</v>
      </c>
      <c r="Q20">
        <v>3.06</v>
      </c>
      <c r="R20">
        <v>4.22</v>
      </c>
      <c r="S20">
        <v>3.64</v>
      </c>
    </row>
    <row r="21" spans="1:19" x14ac:dyDescent="0.3">
      <c r="A21" t="s">
        <v>73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</row>
  </sheetData>
  <mergeCells count="6">
    <mergeCell ref="Q2:S2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G38"/>
  <sheetViews>
    <sheetView workbookViewId="0">
      <selection activeCell="N9" sqref="N9"/>
    </sheetView>
  </sheetViews>
  <sheetFormatPr defaultRowHeight="14.4" x14ac:dyDescent="0.3"/>
  <cols>
    <col min="1" max="1" width="31.109375" customWidth="1"/>
  </cols>
  <sheetData>
    <row r="1" spans="1:7" x14ac:dyDescent="0.3">
      <c r="A1" s="2" t="s">
        <v>161</v>
      </c>
      <c r="B1" s="1"/>
      <c r="C1" s="1"/>
      <c r="D1" s="1"/>
      <c r="E1" s="1"/>
      <c r="F1" s="1"/>
      <c r="G1" s="1"/>
    </row>
    <row r="2" spans="1:7" x14ac:dyDescent="0.3">
      <c r="A2" t="s">
        <v>52</v>
      </c>
      <c r="B2">
        <v>2026</v>
      </c>
      <c r="C2">
        <v>2031</v>
      </c>
      <c r="D2">
        <v>2036</v>
      </c>
      <c r="E2">
        <v>2041</v>
      </c>
      <c r="F2">
        <v>2046</v>
      </c>
      <c r="G2">
        <v>2051</v>
      </c>
    </row>
    <row r="3" spans="1:7" x14ac:dyDescent="0.3">
      <c r="A3" t="s">
        <v>54</v>
      </c>
      <c r="B3">
        <v>2.2999999999999998</v>
      </c>
      <c r="C3">
        <v>2.0699999999999998</v>
      </c>
      <c r="D3">
        <v>1.92</v>
      </c>
      <c r="E3">
        <v>1.85</v>
      </c>
      <c r="F3">
        <v>1.82</v>
      </c>
      <c r="G3">
        <v>1.81</v>
      </c>
    </row>
    <row r="4" spans="1:7" x14ac:dyDescent="0.3">
      <c r="A4" t="s">
        <v>55</v>
      </c>
      <c r="B4">
        <v>1.0900000000000001</v>
      </c>
      <c r="C4">
        <v>0.98</v>
      </c>
      <c r="D4">
        <v>0.91</v>
      </c>
      <c r="E4">
        <v>0.88</v>
      </c>
      <c r="F4">
        <v>0.86</v>
      </c>
      <c r="G4">
        <v>0.86</v>
      </c>
    </row>
    <row r="5" spans="1:7" x14ac:dyDescent="0.3">
      <c r="A5" t="s">
        <v>56</v>
      </c>
      <c r="B5">
        <v>0.99</v>
      </c>
      <c r="C5">
        <v>0.9</v>
      </c>
      <c r="D5">
        <v>0.84</v>
      </c>
      <c r="E5">
        <v>0.82</v>
      </c>
      <c r="F5">
        <v>0.82</v>
      </c>
      <c r="G5">
        <v>0.82</v>
      </c>
    </row>
    <row r="6" spans="1:7" x14ac:dyDescent="0.3">
      <c r="A6" t="s">
        <v>57</v>
      </c>
      <c r="B6">
        <v>27.6</v>
      </c>
      <c r="C6">
        <v>27.5</v>
      </c>
      <c r="D6">
        <v>27.4</v>
      </c>
      <c r="E6">
        <v>27.3</v>
      </c>
      <c r="F6">
        <v>27.2</v>
      </c>
      <c r="G6">
        <v>27.1</v>
      </c>
    </row>
    <row r="7" spans="1:7" x14ac:dyDescent="0.3">
      <c r="A7" t="s">
        <v>58</v>
      </c>
      <c r="B7">
        <v>0.37</v>
      </c>
      <c r="C7">
        <v>0.32</v>
      </c>
      <c r="D7">
        <v>0.27</v>
      </c>
      <c r="E7">
        <v>0.25</v>
      </c>
      <c r="F7">
        <v>0.25</v>
      </c>
      <c r="G7">
        <v>0.26</v>
      </c>
    </row>
    <row r="8" spans="1:7" x14ac:dyDescent="0.3">
      <c r="A8" t="s">
        <v>59</v>
      </c>
    </row>
    <row r="9" spans="1:7" x14ac:dyDescent="0.3">
      <c r="A9" t="s">
        <v>60</v>
      </c>
      <c r="B9">
        <v>66.400000000000006</v>
      </c>
      <c r="C9">
        <v>67.8</v>
      </c>
      <c r="D9">
        <v>69.400000000000006</v>
      </c>
      <c r="E9">
        <v>70.7</v>
      </c>
      <c r="F9">
        <v>71.900000000000006</v>
      </c>
      <c r="G9">
        <v>73.2</v>
      </c>
    </row>
    <row r="10" spans="1:7" x14ac:dyDescent="0.3">
      <c r="A10" t="s">
        <v>61</v>
      </c>
      <c r="B10">
        <v>69.3</v>
      </c>
      <c r="C10">
        <v>70.900000000000006</v>
      </c>
      <c r="D10">
        <v>72.599999999999994</v>
      </c>
      <c r="E10">
        <v>74.400000000000006</v>
      </c>
      <c r="F10">
        <v>75.8</v>
      </c>
      <c r="G10">
        <v>77.099999999999994</v>
      </c>
    </row>
    <row r="11" spans="1:7" x14ac:dyDescent="0.3">
      <c r="A11" t="s">
        <v>62</v>
      </c>
      <c r="B11">
        <v>67.8</v>
      </c>
      <c r="C11">
        <v>69.3</v>
      </c>
      <c r="D11">
        <v>70.900000000000006</v>
      </c>
      <c r="E11">
        <v>72.400000000000006</v>
      </c>
      <c r="F11">
        <v>73.8</v>
      </c>
      <c r="G11">
        <v>75.099999999999994</v>
      </c>
    </row>
    <row r="12" spans="1:7" x14ac:dyDescent="0.3">
      <c r="A12" t="s">
        <v>63</v>
      </c>
      <c r="B12">
        <v>63.5</v>
      </c>
      <c r="C12">
        <v>57.6</v>
      </c>
      <c r="D12">
        <v>51.2</v>
      </c>
      <c r="E12">
        <v>45.3</v>
      </c>
      <c r="F12">
        <v>40.299999999999997</v>
      </c>
      <c r="G12">
        <v>35.9</v>
      </c>
    </row>
    <row r="13" spans="1:7" x14ac:dyDescent="0.3">
      <c r="A13" t="s">
        <v>64</v>
      </c>
      <c r="B13">
        <v>79.5</v>
      </c>
      <c r="C13">
        <v>70.7</v>
      </c>
      <c r="D13">
        <v>61.6</v>
      </c>
      <c r="E13">
        <v>53.7</v>
      </c>
      <c r="F13">
        <v>47.5</v>
      </c>
      <c r="G13">
        <v>41.9</v>
      </c>
    </row>
    <row r="14" spans="1:7" x14ac:dyDescent="0.3">
      <c r="A14" t="s">
        <v>108</v>
      </c>
    </row>
    <row r="15" spans="1:7" x14ac:dyDescent="0.3">
      <c r="A15" t="s">
        <v>74</v>
      </c>
      <c r="B15">
        <v>-1912</v>
      </c>
      <c r="C15">
        <v>-1893</v>
      </c>
      <c r="D15">
        <v>-1888</v>
      </c>
      <c r="E15">
        <v>-1887</v>
      </c>
      <c r="F15">
        <v>-1886</v>
      </c>
      <c r="G15">
        <v>-1886</v>
      </c>
    </row>
    <row r="16" spans="1:7" x14ac:dyDescent="0.3">
      <c r="A16" t="s">
        <v>75</v>
      </c>
      <c r="B16">
        <v>-19119</v>
      </c>
      <c r="C16">
        <v>-19009</v>
      </c>
      <c r="D16">
        <v>-18946</v>
      </c>
      <c r="E16">
        <v>-18911</v>
      </c>
      <c r="F16">
        <v>-18890</v>
      </c>
      <c r="G16">
        <v>-18879</v>
      </c>
    </row>
    <row r="17" spans="1:7" x14ac:dyDescent="0.3">
      <c r="A17" t="s">
        <v>73</v>
      </c>
      <c r="B17">
        <v>-21031</v>
      </c>
      <c r="C17">
        <v>-20902</v>
      </c>
      <c r="D17">
        <v>-20834</v>
      </c>
      <c r="E17">
        <v>-20798</v>
      </c>
      <c r="F17">
        <v>-20776</v>
      </c>
      <c r="G17">
        <v>-20765</v>
      </c>
    </row>
    <row r="18" spans="1:7" x14ac:dyDescent="0.3">
      <c r="A18" t="s">
        <v>65</v>
      </c>
    </row>
    <row r="19" spans="1:7" x14ac:dyDescent="0.3">
      <c r="A19" t="s">
        <v>66</v>
      </c>
      <c r="B19">
        <v>20.3</v>
      </c>
      <c r="C19">
        <v>17</v>
      </c>
      <c r="D19">
        <v>14.6</v>
      </c>
      <c r="E19">
        <v>13.8</v>
      </c>
      <c r="F19">
        <v>13.5</v>
      </c>
      <c r="G19">
        <v>12.8</v>
      </c>
    </row>
    <row r="20" spans="1:7" x14ac:dyDescent="0.3">
      <c r="A20" t="s">
        <v>67</v>
      </c>
      <c r="B20">
        <v>7.2</v>
      </c>
      <c r="C20">
        <v>6.9</v>
      </c>
      <c r="D20">
        <v>6.6</v>
      </c>
      <c r="E20">
        <v>6.7</v>
      </c>
      <c r="F20">
        <v>7</v>
      </c>
      <c r="G20">
        <v>7.4</v>
      </c>
    </row>
    <row r="21" spans="1:7" x14ac:dyDescent="0.3">
      <c r="A21" t="s">
        <v>145</v>
      </c>
      <c r="B21">
        <v>1.3</v>
      </c>
      <c r="C21">
        <v>1</v>
      </c>
      <c r="D21">
        <v>0.8</v>
      </c>
      <c r="E21">
        <v>0.7</v>
      </c>
      <c r="F21">
        <v>0.7</v>
      </c>
      <c r="G21">
        <v>0.5</v>
      </c>
    </row>
    <row r="22" spans="1:7" x14ac:dyDescent="0.3">
      <c r="A22" t="s">
        <v>69</v>
      </c>
    </row>
    <row r="23" spans="1:7" x14ac:dyDescent="0.3">
      <c r="A23" t="s">
        <v>70</v>
      </c>
      <c r="B23">
        <v>5.08</v>
      </c>
      <c r="C23">
        <v>4.51</v>
      </c>
      <c r="D23">
        <v>4.05</v>
      </c>
      <c r="E23">
        <v>3.97</v>
      </c>
      <c r="F23">
        <v>4.01</v>
      </c>
      <c r="G23">
        <v>3.93</v>
      </c>
    </row>
    <row r="24" spans="1:7" x14ac:dyDescent="0.3">
      <c r="A24" t="s">
        <v>71</v>
      </c>
      <c r="B24">
        <v>1.81</v>
      </c>
      <c r="C24">
        <v>1.83</v>
      </c>
      <c r="D24">
        <v>1.83</v>
      </c>
      <c r="E24">
        <v>1.92</v>
      </c>
      <c r="F24">
        <v>2.09</v>
      </c>
      <c r="G24">
        <v>2.27</v>
      </c>
    </row>
    <row r="25" spans="1:7" x14ac:dyDescent="0.3">
      <c r="A25" t="s">
        <v>72</v>
      </c>
    </row>
    <row r="26" spans="1:7" x14ac:dyDescent="0.3">
      <c r="A26" t="s">
        <v>73</v>
      </c>
      <c r="B26">
        <v>251.9</v>
      </c>
      <c r="C26">
        <v>266.60000000000002</v>
      </c>
      <c r="D26">
        <v>278.39999999999998</v>
      </c>
      <c r="E26">
        <v>288.7</v>
      </c>
      <c r="F26">
        <v>298.39999999999998</v>
      </c>
      <c r="G26">
        <v>307.3</v>
      </c>
    </row>
    <row r="27" spans="1:7" x14ac:dyDescent="0.3">
      <c r="A27" t="s">
        <v>74</v>
      </c>
      <c r="B27">
        <v>131.4</v>
      </c>
      <c r="C27">
        <v>139</v>
      </c>
      <c r="D27">
        <v>145</v>
      </c>
      <c r="E27">
        <v>150.19999999999999</v>
      </c>
      <c r="F27">
        <v>155</v>
      </c>
      <c r="G27">
        <v>159.4</v>
      </c>
    </row>
    <row r="28" spans="1:7" x14ac:dyDescent="0.3">
      <c r="A28" t="s">
        <v>75</v>
      </c>
      <c r="B28">
        <v>120.5</v>
      </c>
      <c r="C28">
        <v>127.6</v>
      </c>
      <c r="D28">
        <v>133.4</v>
      </c>
      <c r="E28">
        <v>138.5</v>
      </c>
      <c r="F28">
        <v>143.4</v>
      </c>
      <c r="G28">
        <v>147.9</v>
      </c>
    </row>
    <row r="29" spans="1:7" x14ac:dyDescent="0.3">
      <c r="A29" t="s">
        <v>76</v>
      </c>
      <c r="B29">
        <v>9.6</v>
      </c>
      <c r="C29">
        <v>8.4</v>
      </c>
      <c r="D29">
        <v>7.1</v>
      </c>
      <c r="E29">
        <v>6.5</v>
      </c>
      <c r="F29">
        <v>6.4</v>
      </c>
      <c r="G29">
        <v>6.2</v>
      </c>
    </row>
    <row r="30" spans="1:7" x14ac:dyDescent="0.3">
      <c r="A30" t="s">
        <v>77</v>
      </c>
      <c r="B30">
        <v>18.8</v>
      </c>
      <c r="C30">
        <v>18.2</v>
      </c>
      <c r="D30">
        <v>16.5</v>
      </c>
      <c r="E30">
        <v>14.5</v>
      </c>
      <c r="F30">
        <v>12.9</v>
      </c>
      <c r="G30">
        <v>12.3</v>
      </c>
    </row>
    <row r="31" spans="1:7" x14ac:dyDescent="0.3">
      <c r="A31" t="s">
        <v>78</v>
      </c>
      <c r="B31">
        <v>17.8</v>
      </c>
      <c r="C31">
        <v>16</v>
      </c>
      <c r="D31">
        <v>16.899999999999999</v>
      </c>
      <c r="E31">
        <v>16.7</v>
      </c>
      <c r="F31">
        <v>15.3</v>
      </c>
      <c r="G31">
        <v>13.5</v>
      </c>
    </row>
    <row r="32" spans="1:7" x14ac:dyDescent="0.3">
      <c r="A32" t="s">
        <v>79</v>
      </c>
      <c r="B32">
        <v>54.4</v>
      </c>
      <c r="C32">
        <v>54.9</v>
      </c>
      <c r="D32">
        <v>56</v>
      </c>
      <c r="E32">
        <v>56.1</v>
      </c>
      <c r="F32">
        <v>54</v>
      </c>
      <c r="G32">
        <v>50.5</v>
      </c>
    </row>
    <row r="33" spans="1:7" x14ac:dyDescent="0.3">
      <c r="A33" t="s">
        <v>80</v>
      </c>
      <c r="B33">
        <v>63.3</v>
      </c>
      <c r="C33">
        <v>63.8</v>
      </c>
      <c r="D33">
        <v>65.099999999999994</v>
      </c>
      <c r="E33">
        <v>66.400000000000006</v>
      </c>
      <c r="F33">
        <v>66.599999999999994</v>
      </c>
      <c r="G33">
        <v>65.3</v>
      </c>
    </row>
    <row r="34" spans="1:7" x14ac:dyDescent="0.3">
      <c r="A34" t="s">
        <v>81</v>
      </c>
      <c r="B34">
        <v>8.6999999999999993</v>
      </c>
      <c r="C34">
        <v>9.6999999999999993</v>
      </c>
      <c r="D34">
        <v>11.2</v>
      </c>
      <c r="E34">
        <v>12.6</v>
      </c>
      <c r="F34">
        <v>14.1</v>
      </c>
      <c r="G34">
        <v>16.2</v>
      </c>
    </row>
    <row r="35" spans="1:7" x14ac:dyDescent="0.3">
      <c r="A35" t="s">
        <v>82</v>
      </c>
      <c r="B35">
        <v>54.1</v>
      </c>
      <c r="C35">
        <v>54.2</v>
      </c>
      <c r="D35">
        <v>55.1</v>
      </c>
      <c r="E35">
        <v>55.3</v>
      </c>
      <c r="F35">
        <v>53.2</v>
      </c>
      <c r="G35">
        <v>49.8</v>
      </c>
    </row>
    <row r="36" spans="1:7" x14ac:dyDescent="0.3">
      <c r="A36" t="s">
        <v>83</v>
      </c>
      <c r="B36">
        <v>109.1</v>
      </c>
      <c r="C36">
        <v>108.9</v>
      </c>
      <c r="D36">
        <v>108.7</v>
      </c>
      <c r="E36">
        <v>108.4</v>
      </c>
      <c r="F36">
        <v>108.1</v>
      </c>
      <c r="G36">
        <v>107.8</v>
      </c>
    </row>
    <row r="37" spans="1:7" x14ac:dyDescent="0.3">
      <c r="A37" t="s">
        <v>84</v>
      </c>
      <c r="B37">
        <v>58.5</v>
      </c>
      <c r="C37">
        <v>59</v>
      </c>
      <c r="D37">
        <v>56.8</v>
      </c>
      <c r="E37">
        <v>53.6</v>
      </c>
      <c r="F37">
        <v>50.6</v>
      </c>
      <c r="G37">
        <v>50.1</v>
      </c>
    </row>
    <row r="38" spans="1:7" x14ac:dyDescent="0.3">
      <c r="A38" t="s">
        <v>85</v>
      </c>
      <c r="B38">
        <v>27</v>
      </c>
      <c r="C38">
        <v>29</v>
      </c>
      <c r="D38">
        <v>31</v>
      </c>
      <c r="E38">
        <v>33</v>
      </c>
      <c r="F38">
        <v>35</v>
      </c>
      <c r="G38">
        <v>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S21"/>
  <sheetViews>
    <sheetView workbookViewId="0">
      <selection activeCell="B2" sqref="B2:S2"/>
    </sheetView>
  </sheetViews>
  <sheetFormatPr defaultRowHeight="14.4" x14ac:dyDescent="0.3"/>
  <sheetData>
    <row r="1" spans="1:19" x14ac:dyDescent="0.3">
      <c r="A1" s="2" t="s">
        <v>162</v>
      </c>
      <c r="B1" s="1"/>
      <c r="C1" s="1"/>
      <c r="D1" s="1"/>
      <c r="E1" s="1"/>
      <c r="F1" s="1"/>
      <c r="G1" s="1"/>
      <c r="H1" s="1"/>
      <c r="I1" s="1"/>
      <c r="J1" s="1"/>
    </row>
    <row r="2" spans="1:19" x14ac:dyDescent="0.3">
      <c r="A2" t="s">
        <v>34</v>
      </c>
      <c r="B2" s="34">
        <v>2026</v>
      </c>
      <c r="C2" s="34"/>
      <c r="D2" s="34"/>
      <c r="E2" s="34">
        <v>2031</v>
      </c>
      <c r="F2" s="34"/>
      <c r="G2" s="34"/>
      <c r="H2" s="34">
        <v>2036</v>
      </c>
      <c r="I2" s="34"/>
      <c r="J2" s="34"/>
      <c r="K2" s="37">
        <v>2041</v>
      </c>
      <c r="L2" s="37"/>
      <c r="M2" s="37"/>
      <c r="N2" s="37">
        <v>2046</v>
      </c>
      <c r="O2" s="37"/>
      <c r="P2" s="37"/>
      <c r="Q2" s="37">
        <v>2051</v>
      </c>
      <c r="R2" s="37"/>
      <c r="S2" s="37"/>
    </row>
    <row r="3" spans="1:19" x14ac:dyDescent="0.3">
      <c r="B3" t="s">
        <v>16</v>
      </c>
      <c r="C3" t="s">
        <v>46</v>
      </c>
      <c r="D3" t="s">
        <v>91</v>
      </c>
      <c r="E3" t="s">
        <v>16</v>
      </c>
      <c r="F3" t="s">
        <v>46</v>
      </c>
      <c r="G3" t="s">
        <v>91</v>
      </c>
      <c r="H3" t="s">
        <v>16</v>
      </c>
      <c r="I3" t="s">
        <v>46</v>
      </c>
      <c r="J3" t="s">
        <v>91</v>
      </c>
      <c r="K3" t="s">
        <v>16</v>
      </c>
      <c r="L3" t="s">
        <v>46</v>
      </c>
      <c r="M3" t="s">
        <v>91</v>
      </c>
      <c r="N3" t="s">
        <v>16</v>
      </c>
      <c r="O3" t="s">
        <v>46</v>
      </c>
      <c r="P3" t="s">
        <v>91</v>
      </c>
      <c r="Q3" t="s">
        <v>16</v>
      </c>
      <c r="R3" t="s">
        <v>46</v>
      </c>
      <c r="S3" t="s">
        <v>91</v>
      </c>
    </row>
    <row r="4" spans="1:19" x14ac:dyDescent="0.3">
      <c r="A4" t="s">
        <v>94</v>
      </c>
      <c r="B4">
        <v>9.69</v>
      </c>
      <c r="C4">
        <v>9.5399999999999991</v>
      </c>
      <c r="D4">
        <v>9.6199999999999992</v>
      </c>
      <c r="E4">
        <v>8.43</v>
      </c>
      <c r="F4">
        <v>8.2899999999999991</v>
      </c>
      <c r="G4">
        <v>8.36</v>
      </c>
      <c r="H4">
        <v>7.19</v>
      </c>
      <c r="I4">
        <v>7.06</v>
      </c>
      <c r="J4">
        <v>7.12</v>
      </c>
      <c r="K4">
        <v>6.6</v>
      </c>
      <c r="L4">
        <v>6.47</v>
      </c>
      <c r="M4">
        <v>6.53</v>
      </c>
      <c r="N4">
        <v>6.46</v>
      </c>
      <c r="O4">
        <v>6.32</v>
      </c>
      <c r="P4">
        <v>6.39</v>
      </c>
      <c r="Q4">
        <v>6.29</v>
      </c>
      <c r="R4">
        <v>6.13</v>
      </c>
      <c r="S4">
        <v>6.22</v>
      </c>
    </row>
    <row r="5" spans="1:19" x14ac:dyDescent="0.3">
      <c r="A5" t="s">
        <v>95</v>
      </c>
      <c r="B5">
        <v>9.85</v>
      </c>
      <c r="C5">
        <v>9.66</v>
      </c>
      <c r="D5">
        <v>9.76</v>
      </c>
      <c r="E5">
        <v>9.06</v>
      </c>
      <c r="F5">
        <v>8.9</v>
      </c>
      <c r="G5">
        <v>8.98</v>
      </c>
      <c r="H5">
        <v>8</v>
      </c>
      <c r="I5">
        <v>7.86</v>
      </c>
      <c r="J5">
        <v>7.93</v>
      </c>
      <c r="K5">
        <v>6.89</v>
      </c>
      <c r="L5">
        <v>6.74</v>
      </c>
      <c r="M5">
        <v>6.82</v>
      </c>
      <c r="N5">
        <v>6.35</v>
      </c>
      <c r="O5">
        <v>6.21</v>
      </c>
      <c r="P5">
        <v>6.28</v>
      </c>
      <c r="Q5">
        <v>6.25</v>
      </c>
      <c r="R5">
        <v>6.09</v>
      </c>
      <c r="S5">
        <v>6.17</v>
      </c>
    </row>
    <row r="6" spans="1:19" x14ac:dyDescent="0.3">
      <c r="A6" t="s">
        <v>96</v>
      </c>
      <c r="B6">
        <v>9.1199999999999992</v>
      </c>
      <c r="C6">
        <v>8.92</v>
      </c>
      <c r="D6">
        <v>9.0299999999999994</v>
      </c>
      <c r="E6">
        <v>9.2899999999999991</v>
      </c>
      <c r="F6">
        <v>9.1</v>
      </c>
      <c r="G6">
        <v>9.1999999999999993</v>
      </c>
      <c r="H6">
        <v>8.66</v>
      </c>
      <c r="I6">
        <v>8.5</v>
      </c>
      <c r="J6">
        <v>8.58</v>
      </c>
      <c r="K6">
        <v>7.71</v>
      </c>
      <c r="L6">
        <v>7.55</v>
      </c>
      <c r="M6">
        <v>7.63</v>
      </c>
      <c r="N6">
        <v>6.66</v>
      </c>
      <c r="O6">
        <v>6.5</v>
      </c>
      <c r="P6">
        <v>6.58</v>
      </c>
      <c r="Q6">
        <v>6.17</v>
      </c>
      <c r="R6">
        <v>6.01</v>
      </c>
      <c r="S6">
        <v>6.09</v>
      </c>
    </row>
    <row r="7" spans="1:19" x14ac:dyDescent="0.3">
      <c r="A7" t="s">
        <v>35</v>
      </c>
      <c r="B7">
        <v>7.98</v>
      </c>
      <c r="C7">
        <v>7.92</v>
      </c>
      <c r="D7">
        <v>7.95</v>
      </c>
      <c r="E7">
        <v>8.6</v>
      </c>
      <c r="F7">
        <v>8.4</v>
      </c>
      <c r="G7">
        <v>8.51</v>
      </c>
      <c r="H7">
        <v>8.8800000000000008</v>
      </c>
      <c r="I7">
        <v>8.69</v>
      </c>
      <c r="J7">
        <v>8.7899999999999991</v>
      </c>
      <c r="K7">
        <v>8.34</v>
      </c>
      <c r="L7">
        <v>8.17</v>
      </c>
      <c r="M7">
        <v>8.26</v>
      </c>
      <c r="N7">
        <v>7.45</v>
      </c>
      <c r="O7">
        <v>7.28</v>
      </c>
      <c r="P7">
        <v>7.37</v>
      </c>
      <c r="Q7">
        <v>6.47</v>
      </c>
      <c r="R7">
        <v>6.3</v>
      </c>
      <c r="S7">
        <v>6.39</v>
      </c>
    </row>
    <row r="8" spans="1:19" x14ac:dyDescent="0.3">
      <c r="A8" t="s">
        <v>36</v>
      </c>
      <c r="B8">
        <v>10.02</v>
      </c>
      <c r="C8">
        <v>9.75</v>
      </c>
      <c r="D8">
        <v>9.89</v>
      </c>
      <c r="E8">
        <v>7.51</v>
      </c>
      <c r="F8">
        <v>7.44</v>
      </c>
      <c r="G8">
        <v>7.48</v>
      </c>
      <c r="H8">
        <v>8.2100000000000009</v>
      </c>
      <c r="I8">
        <v>8.01</v>
      </c>
      <c r="J8">
        <v>8.11</v>
      </c>
      <c r="K8">
        <v>8.5399999999999991</v>
      </c>
      <c r="L8">
        <v>8.34</v>
      </c>
      <c r="M8">
        <v>8.44</v>
      </c>
      <c r="N8">
        <v>8.06</v>
      </c>
      <c r="O8">
        <v>7.87</v>
      </c>
      <c r="P8">
        <v>7.97</v>
      </c>
      <c r="Q8">
        <v>7.23</v>
      </c>
      <c r="R8">
        <v>7.05</v>
      </c>
      <c r="S8">
        <v>7.14</v>
      </c>
    </row>
    <row r="9" spans="1:19" x14ac:dyDescent="0.3">
      <c r="A9" t="s">
        <v>37</v>
      </c>
      <c r="B9">
        <v>10.3</v>
      </c>
      <c r="C9">
        <v>10.02</v>
      </c>
      <c r="D9">
        <v>10.17</v>
      </c>
      <c r="E9">
        <v>9.42</v>
      </c>
      <c r="F9">
        <v>9.15</v>
      </c>
      <c r="G9">
        <v>9.2899999999999991</v>
      </c>
      <c r="H9">
        <v>7.16</v>
      </c>
      <c r="I9">
        <v>7.08</v>
      </c>
      <c r="J9">
        <v>7.12</v>
      </c>
      <c r="K9">
        <v>7.89</v>
      </c>
      <c r="L9">
        <v>7.67</v>
      </c>
      <c r="M9">
        <v>7.79</v>
      </c>
      <c r="N9">
        <v>8.25</v>
      </c>
      <c r="O9">
        <v>8.02</v>
      </c>
      <c r="P9">
        <v>8.14</v>
      </c>
      <c r="Q9">
        <v>7.81</v>
      </c>
      <c r="R9">
        <v>7.6</v>
      </c>
      <c r="S9">
        <v>7.71</v>
      </c>
    </row>
    <row r="10" spans="1:19" x14ac:dyDescent="0.3">
      <c r="A10" t="s">
        <v>38</v>
      </c>
      <c r="B10">
        <v>9.2200000000000006</v>
      </c>
      <c r="C10">
        <v>8.77</v>
      </c>
      <c r="D10">
        <v>9.01</v>
      </c>
      <c r="E10">
        <v>9.68</v>
      </c>
      <c r="F10">
        <v>9.4</v>
      </c>
      <c r="G10">
        <v>9.5399999999999991</v>
      </c>
      <c r="H10">
        <v>8.9700000000000006</v>
      </c>
      <c r="I10">
        <v>8.6999999999999993</v>
      </c>
      <c r="J10">
        <v>8.84</v>
      </c>
      <c r="K10">
        <v>6.87</v>
      </c>
      <c r="L10">
        <v>6.78</v>
      </c>
      <c r="M10">
        <v>6.83</v>
      </c>
      <c r="N10">
        <v>7.61</v>
      </c>
      <c r="O10">
        <v>7.38</v>
      </c>
      <c r="P10">
        <v>7.5</v>
      </c>
      <c r="Q10">
        <v>7.99</v>
      </c>
      <c r="R10">
        <v>7.75</v>
      </c>
      <c r="S10">
        <v>7.88</v>
      </c>
    </row>
    <row r="11" spans="1:19" x14ac:dyDescent="0.3">
      <c r="A11" t="s">
        <v>39</v>
      </c>
      <c r="B11">
        <v>7.01</v>
      </c>
      <c r="C11">
        <v>6.64</v>
      </c>
      <c r="D11">
        <v>6.83</v>
      </c>
      <c r="E11">
        <v>8.65</v>
      </c>
      <c r="F11">
        <v>8.2200000000000006</v>
      </c>
      <c r="G11">
        <v>8.44</v>
      </c>
      <c r="H11">
        <v>9.1999999999999993</v>
      </c>
      <c r="I11">
        <v>8.93</v>
      </c>
      <c r="J11">
        <v>9.07</v>
      </c>
      <c r="K11">
        <v>8.61</v>
      </c>
      <c r="L11">
        <v>8.33</v>
      </c>
      <c r="M11">
        <v>8.4700000000000006</v>
      </c>
      <c r="N11">
        <v>6.62</v>
      </c>
      <c r="O11">
        <v>6.52</v>
      </c>
      <c r="P11">
        <v>6.57</v>
      </c>
      <c r="Q11">
        <v>7.37</v>
      </c>
      <c r="R11">
        <v>7.12</v>
      </c>
      <c r="S11">
        <v>7.25</v>
      </c>
    </row>
    <row r="12" spans="1:19" x14ac:dyDescent="0.3">
      <c r="A12" t="s">
        <v>40</v>
      </c>
      <c r="B12">
        <v>5.53</v>
      </c>
      <c r="C12">
        <v>5.75</v>
      </c>
      <c r="D12">
        <v>5.63</v>
      </c>
      <c r="E12">
        <v>6.55</v>
      </c>
      <c r="F12">
        <v>6.21</v>
      </c>
      <c r="G12">
        <v>6.39</v>
      </c>
      <c r="H12">
        <v>8.1999999999999993</v>
      </c>
      <c r="I12">
        <v>7.79</v>
      </c>
      <c r="J12">
        <v>8</v>
      </c>
      <c r="K12">
        <v>8.8000000000000007</v>
      </c>
      <c r="L12">
        <v>8.5299999999999994</v>
      </c>
      <c r="M12">
        <v>8.67</v>
      </c>
      <c r="N12">
        <v>8.27</v>
      </c>
      <c r="O12">
        <v>7.99</v>
      </c>
      <c r="P12">
        <v>8.14</v>
      </c>
      <c r="Q12">
        <v>6.39</v>
      </c>
      <c r="R12">
        <v>6.28</v>
      </c>
      <c r="S12">
        <v>6.34</v>
      </c>
    </row>
    <row r="13" spans="1:19" x14ac:dyDescent="0.3">
      <c r="A13" t="s">
        <v>41</v>
      </c>
      <c r="B13">
        <v>4.7</v>
      </c>
      <c r="C13">
        <v>5.23</v>
      </c>
      <c r="D13">
        <v>4.96</v>
      </c>
      <c r="E13">
        <v>5.13</v>
      </c>
      <c r="F13">
        <v>5.36</v>
      </c>
      <c r="G13">
        <v>5.24</v>
      </c>
      <c r="H13">
        <v>6.18</v>
      </c>
      <c r="I13">
        <v>5.87</v>
      </c>
      <c r="J13">
        <v>6.03</v>
      </c>
      <c r="K13">
        <v>7.8</v>
      </c>
      <c r="L13">
        <v>7.43</v>
      </c>
      <c r="M13">
        <v>7.62</v>
      </c>
      <c r="N13">
        <v>8.42</v>
      </c>
      <c r="O13">
        <v>8.17</v>
      </c>
      <c r="P13">
        <v>8.3000000000000007</v>
      </c>
      <c r="Q13">
        <v>7.95</v>
      </c>
      <c r="R13">
        <v>7.69</v>
      </c>
      <c r="S13">
        <v>7.83</v>
      </c>
    </row>
    <row r="14" spans="1:19" x14ac:dyDescent="0.3">
      <c r="A14" t="s">
        <v>97</v>
      </c>
      <c r="B14">
        <v>4.58</v>
      </c>
      <c r="C14">
        <v>4.88</v>
      </c>
      <c r="D14">
        <v>4.7300000000000004</v>
      </c>
      <c r="E14">
        <v>4.32</v>
      </c>
      <c r="F14">
        <v>4.8499999999999996</v>
      </c>
      <c r="G14">
        <v>4.57</v>
      </c>
      <c r="H14">
        <v>4.8</v>
      </c>
      <c r="I14">
        <v>5.04</v>
      </c>
      <c r="J14">
        <v>4.91</v>
      </c>
      <c r="K14">
        <v>5.83</v>
      </c>
      <c r="L14">
        <v>5.57</v>
      </c>
      <c r="M14">
        <v>5.7</v>
      </c>
      <c r="N14">
        <v>7.4</v>
      </c>
      <c r="O14">
        <v>7.08</v>
      </c>
      <c r="P14">
        <v>7.25</v>
      </c>
      <c r="Q14">
        <v>8.0399999999999991</v>
      </c>
      <c r="R14">
        <v>7.84</v>
      </c>
      <c r="S14">
        <v>7.94</v>
      </c>
    </row>
    <row r="15" spans="1:19" x14ac:dyDescent="0.3">
      <c r="A15" t="s">
        <v>98</v>
      </c>
      <c r="B15">
        <v>3.73</v>
      </c>
      <c r="C15">
        <v>3.76</v>
      </c>
      <c r="D15">
        <v>3.74</v>
      </c>
      <c r="E15">
        <v>4.1500000000000004</v>
      </c>
      <c r="F15">
        <v>4.4800000000000004</v>
      </c>
      <c r="G15">
        <v>4.3099999999999996</v>
      </c>
      <c r="H15">
        <v>3.98</v>
      </c>
      <c r="I15">
        <v>4.5199999999999996</v>
      </c>
      <c r="J15">
        <v>4.24</v>
      </c>
      <c r="K15">
        <v>4.46</v>
      </c>
      <c r="L15">
        <v>4.75</v>
      </c>
      <c r="M15">
        <v>4.5999999999999996</v>
      </c>
      <c r="N15">
        <v>5.46</v>
      </c>
      <c r="O15">
        <v>5.28</v>
      </c>
      <c r="P15">
        <v>5.37</v>
      </c>
      <c r="Q15">
        <v>6.98</v>
      </c>
      <c r="R15">
        <v>6.76</v>
      </c>
      <c r="S15">
        <v>6.87</v>
      </c>
    </row>
    <row r="16" spans="1:19" x14ac:dyDescent="0.3">
      <c r="A16" t="s">
        <v>99</v>
      </c>
      <c r="B16">
        <v>2.87</v>
      </c>
      <c r="C16">
        <v>3.06</v>
      </c>
      <c r="D16">
        <v>2.96</v>
      </c>
      <c r="E16">
        <v>3.29</v>
      </c>
      <c r="F16">
        <v>3.4</v>
      </c>
      <c r="G16">
        <v>3.34</v>
      </c>
      <c r="H16">
        <v>3.73</v>
      </c>
      <c r="I16">
        <v>4.13</v>
      </c>
      <c r="J16">
        <v>3.92</v>
      </c>
      <c r="K16">
        <v>3.62</v>
      </c>
      <c r="L16">
        <v>4.21</v>
      </c>
      <c r="M16">
        <v>3.9</v>
      </c>
      <c r="N16">
        <v>4.09</v>
      </c>
      <c r="O16">
        <v>4.45</v>
      </c>
      <c r="P16">
        <v>4.2699999999999996</v>
      </c>
      <c r="Q16">
        <v>5.0599999999999996</v>
      </c>
      <c r="R16">
        <v>4.99</v>
      </c>
      <c r="S16">
        <v>5.0199999999999996</v>
      </c>
    </row>
    <row r="17" spans="1:19" x14ac:dyDescent="0.3">
      <c r="A17" t="s">
        <v>100</v>
      </c>
      <c r="B17">
        <v>2.15</v>
      </c>
      <c r="C17">
        <v>2.13</v>
      </c>
      <c r="D17">
        <v>2.14</v>
      </c>
      <c r="E17">
        <v>2.44</v>
      </c>
      <c r="F17">
        <v>2.68</v>
      </c>
      <c r="G17">
        <v>2.56</v>
      </c>
      <c r="H17">
        <v>2.86</v>
      </c>
      <c r="I17">
        <v>3.05</v>
      </c>
      <c r="J17">
        <v>2.95</v>
      </c>
      <c r="K17">
        <v>3.28</v>
      </c>
      <c r="L17">
        <v>3.75</v>
      </c>
      <c r="M17">
        <v>3.51</v>
      </c>
      <c r="N17">
        <v>3.22</v>
      </c>
      <c r="O17">
        <v>3.87</v>
      </c>
      <c r="P17">
        <v>3.53</v>
      </c>
      <c r="Q17">
        <v>3.69</v>
      </c>
      <c r="R17">
        <v>4.13</v>
      </c>
      <c r="S17">
        <v>3.9</v>
      </c>
    </row>
    <row r="18" spans="1:19" x14ac:dyDescent="0.3">
      <c r="A18" t="s">
        <v>101</v>
      </c>
      <c r="B18">
        <v>1.37</v>
      </c>
      <c r="C18">
        <v>1.78</v>
      </c>
      <c r="D18">
        <v>1.56</v>
      </c>
      <c r="E18">
        <v>1.71</v>
      </c>
      <c r="F18">
        <v>1.76</v>
      </c>
      <c r="G18">
        <v>1.73</v>
      </c>
      <c r="H18">
        <v>1.98</v>
      </c>
      <c r="I18">
        <v>2.2799999999999998</v>
      </c>
      <c r="J18">
        <v>2.13</v>
      </c>
      <c r="K18">
        <v>2.37</v>
      </c>
      <c r="L18">
        <v>2.64</v>
      </c>
      <c r="M18">
        <v>2.5</v>
      </c>
      <c r="N18">
        <v>2.75</v>
      </c>
      <c r="O18">
        <v>3.3</v>
      </c>
      <c r="P18">
        <v>3.01</v>
      </c>
      <c r="Q18">
        <v>2.74</v>
      </c>
      <c r="R18">
        <v>3.44</v>
      </c>
      <c r="S18">
        <v>3.08</v>
      </c>
    </row>
    <row r="19" spans="1:19" x14ac:dyDescent="0.3">
      <c r="A19" t="s">
        <v>102</v>
      </c>
      <c r="B19">
        <v>1.19</v>
      </c>
      <c r="C19">
        <v>1.36</v>
      </c>
      <c r="D19">
        <v>1.27</v>
      </c>
      <c r="E19">
        <v>0.94</v>
      </c>
      <c r="F19">
        <v>1.3</v>
      </c>
      <c r="G19">
        <v>1.1200000000000001</v>
      </c>
      <c r="H19">
        <v>1.22</v>
      </c>
      <c r="I19">
        <v>1.34</v>
      </c>
      <c r="J19">
        <v>1.28</v>
      </c>
      <c r="K19">
        <v>1.45</v>
      </c>
      <c r="L19">
        <v>1.79</v>
      </c>
      <c r="M19">
        <v>1.61</v>
      </c>
      <c r="N19">
        <v>1.76</v>
      </c>
      <c r="O19">
        <v>2.12</v>
      </c>
      <c r="P19">
        <v>1.93</v>
      </c>
      <c r="Q19">
        <v>2.09</v>
      </c>
      <c r="R19">
        <v>2.7</v>
      </c>
      <c r="S19">
        <v>2.39</v>
      </c>
    </row>
    <row r="20" spans="1:19" x14ac:dyDescent="0.3">
      <c r="A20" t="s">
        <v>103</v>
      </c>
      <c r="B20">
        <v>0.68</v>
      </c>
      <c r="C20">
        <v>0.83</v>
      </c>
      <c r="D20">
        <v>0.75</v>
      </c>
      <c r="E20">
        <v>0.83</v>
      </c>
      <c r="F20">
        <v>1.05</v>
      </c>
      <c r="G20">
        <v>0.94</v>
      </c>
      <c r="H20">
        <v>0.79</v>
      </c>
      <c r="I20">
        <v>1.1599999999999999</v>
      </c>
      <c r="J20">
        <v>0.97</v>
      </c>
      <c r="K20">
        <v>0.95</v>
      </c>
      <c r="L20">
        <v>1.28</v>
      </c>
      <c r="M20">
        <v>1.1100000000000001</v>
      </c>
      <c r="N20">
        <v>1.1599999999999999</v>
      </c>
      <c r="O20">
        <v>1.66</v>
      </c>
      <c r="P20">
        <v>1.4</v>
      </c>
      <c r="Q20">
        <v>1.47</v>
      </c>
      <c r="R20">
        <v>2.12</v>
      </c>
      <c r="S20">
        <v>1.78</v>
      </c>
    </row>
    <row r="21" spans="1:19" x14ac:dyDescent="0.3">
      <c r="A21" t="s">
        <v>73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</row>
  </sheetData>
  <mergeCells count="6">
    <mergeCell ref="Q2:S2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G38"/>
  <sheetViews>
    <sheetView workbookViewId="0">
      <selection activeCell="H12" sqref="H12"/>
    </sheetView>
  </sheetViews>
  <sheetFormatPr defaultRowHeight="14.4" x14ac:dyDescent="0.3"/>
  <cols>
    <col min="1" max="1" width="32.77734375" customWidth="1"/>
  </cols>
  <sheetData>
    <row r="1" spans="1:7" x14ac:dyDescent="0.3">
      <c r="A1" s="2" t="s">
        <v>163</v>
      </c>
      <c r="B1" s="1"/>
      <c r="C1" s="1"/>
      <c r="D1" s="1"/>
      <c r="E1" s="1"/>
      <c r="F1" s="1"/>
      <c r="G1" s="1"/>
    </row>
    <row r="2" spans="1:7" x14ac:dyDescent="0.3">
      <c r="A2" t="s">
        <v>52</v>
      </c>
      <c r="B2">
        <v>2026</v>
      </c>
      <c r="C2">
        <v>2031</v>
      </c>
      <c r="D2">
        <v>2036</v>
      </c>
      <c r="E2">
        <v>2041</v>
      </c>
      <c r="F2">
        <v>2046</v>
      </c>
      <c r="G2">
        <v>2051</v>
      </c>
    </row>
    <row r="3" spans="1:7" x14ac:dyDescent="0.3">
      <c r="A3" t="s">
        <v>54</v>
      </c>
      <c r="B3">
        <v>1.64</v>
      </c>
      <c r="C3">
        <v>1.57</v>
      </c>
      <c r="D3">
        <v>1.53</v>
      </c>
      <c r="E3">
        <v>1.51</v>
      </c>
      <c r="F3">
        <v>1.5</v>
      </c>
      <c r="G3">
        <v>1.5</v>
      </c>
    </row>
    <row r="4" spans="1:7" x14ac:dyDescent="0.3">
      <c r="A4" t="s">
        <v>55</v>
      </c>
      <c r="B4">
        <v>0.77</v>
      </c>
      <c r="C4">
        <v>0.74</v>
      </c>
      <c r="D4">
        <v>0.73</v>
      </c>
      <c r="E4">
        <v>0.72</v>
      </c>
      <c r="F4">
        <v>0.71</v>
      </c>
      <c r="G4">
        <v>0.71</v>
      </c>
    </row>
    <row r="5" spans="1:7" x14ac:dyDescent="0.3">
      <c r="A5" t="s">
        <v>56</v>
      </c>
      <c r="B5">
        <v>0.74</v>
      </c>
      <c r="C5">
        <v>0.71</v>
      </c>
      <c r="D5">
        <v>0.7</v>
      </c>
      <c r="E5">
        <v>0.7</v>
      </c>
      <c r="F5">
        <v>0.7</v>
      </c>
      <c r="G5">
        <v>0.7</v>
      </c>
    </row>
    <row r="6" spans="1:7" x14ac:dyDescent="0.3">
      <c r="A6" t="s">
        <v>57</v>
      </c>
      <c r="B6">
        <v>27</v>
      </c>
      <c r="C6">
        <v>27</v>
      </c>
      <c r="D6">
        <v>27</v>
      </c>
      <c r="E6">
        <v>27.1</v>
      </c>
      <c r="F6">
        <v>27.1</v>
      </c>
      <c r="G6">
        <v>27.1</v>
      </c>
    </row>
    <row r="7" spans="1:7" x14ac:dyDescent="0.3">
      <c r="A7" t="s">
        <v>58</v>
      </c>
      <c r="B7">
        <v>0.26</v>
      </c>
      <c r="C7">
        <v>0.24</v>
      </c>
      <c r="D7">
        <v>0.21</v>
      </c>
      <c r="E7">
        <v>0.2</v>
      </c>
      <c r="F7">
        <v>0.2</v>
      </c>
      <c r="G7">
        <v>0.21</v>
      </c>
    </row>
    <row r="8" spans="1:7" x14ac:dyDescent="0.3">
      <c r="A8" t="s">
        <v>59</v>
      </c>
    </row>
    <row r="9" spans="1:7" x14ac:dyDescent="0.3">
      <c r="A9" t="s">
        <v>60</v>
      </c>
      <c r="B9">
        <v>67.7</v>
      </c>
      <c r="C9">
        <v>69.3</v>
      </c>
      <c r="D9">
        <v>70.7</v>
      </c>
      <c r="E9">
        <v>72.099999999999994</v>
      </c>
      <c r="F9">
        <v>73.5</v>
      </c>
      <c r="G9">
        <v>74.900000000000006</v>
      </c>
    </row>
    <row r="10" spans="1:7" x14ac:dyDescent="0.3">
      <c r="A10" t="s">
        <v>61</v>
      </c>
      <c r="B10">
        <v>72.2</v>
      </c>
      <c r="C10">
        <v>74.099999999999994</v>
      </c>
      <c r="D10">
        <v>75.8</v>
      </c>
      <c r="E10">
        <v>77.400000000000006</v>
      </c>
      <c r="F10">
        <v>79</v>
      </c>
      <c r="G10">
        <v>80.400000000000006</v>
      </c>
    </row>
    <row r="11" spans="1:7" x14ac:dyDescent="0.3">
      <c r="A11" t="s">
        <v>62</v>
      </c>
      <c r="B11">
        <v>69.900000000000006</v>
      </c>
      <c r="C11">
        <v>71.7</v>
      </c>
      <c r="D11">
        <v>73.2</v>
      </c>
      <c r="E11">
        <v>74.7</v>
      </c>
      <c r="F11">
        <v>76.2</v>
      </c>
      <c r="G11">
        <v>77.599999999999994</v>
      </c>
    </row>
    <row r="12" spans="1:7" x14ac:dyDescent="0.3">
      <c r="A12" t="s">
        <v>63</v>
      </c>
      <c r="B12">
        <v>30.4</v>
      </c>
      <c r="C12">
        <v>24.6</v>
      </c>
      <c r="D12">
        <v>20.100000000000001</v>
      </c>
      <c r="E12">
        <v>16.899999999999999</v>
      </c>
      <c r="F12">
        <v>13.9</v>
      </c>
      <c r="G12">
        <v>11.3</v>
      </c>
    </row>
    <row r="13" spans="1:7" x14ac:dyDescent="0.3">
      <c r="A13" t="s">
        <v>64</v>
      </c>
      <c r="B13">
        <v>36.700000000000003</v>
      </c>
      <c r="C13">
        <v>29</v>
      </c>
      <c r="D13">
        <v>23.5</v>
      </c>
      <c r="E13">
        <v>19.7</v>
      </c>
      <c r="F13">
        <v>16.2</v>
      </c>
      <c r="G13">
        <v>13</v>
      </c>
    </row>
    <row r="14" spans="1:7" x14ac:dyDescent="0.3">
      <c r="A14" t="s">
        <v>108</v>
      </c>
    </row>
    <row r="15" spans="1:7" x14ac:dyDescent="0.3">
      <c r="A15" t="s">
        <v>74</v>
      </c>
      <c r="B15">
        <v>610</v>
      </c>
      <c r="C15">
        <v>372</v>
      </c>
      <c r="D15">
        <v>134</v>
      </c>
      <c r="E15">
        <v>-104</v>
      </c>
      <c r="F15">
        <v>-342</v>
      </c>
      <c r="G15">
        <v>-580</v>
      </c>
    </row>
    <row r="16" spans="1:7" x14ac:dyDescent="0.3">
      <c r="A16" t="s">
        <v>75</v>
      </c>
      <c r="B16">
        <v>259</v>
      </c>
      <c r="C16">
        <v>-61</v>
      </c>
      <c r="D16">
        <v>-382</v>
      </c>
      <c r="E16">
        <v>-702</v>
      </c>
      <c r="F16">
        <v>-1023</v>
      </c>
      <c r="G16">
        <v>-1344</v>
      </c>
    </row>
    <row r="17" spans="1:7" x14ac:dyDescent="0.3">
      <c r="A17" t="s">
        <v>73</v>
      </c>
      <c r="B17">
        <v>869</v>
      </c>
      <c r="C17">
        <v>311</v>
      </c>
      <c r="D17">
        <v>-248</v>
      </c>
      <c r="E17">
        <v>-806</v>
      </c>
      <c r="F17">
        <v>-1365</v>
      </c>
      <c r="G17">
        <v>-1924</v>
      </c>
    </row>
    <row r="18" spans="1:7" x14ac:dyDescent="0.3">
      <c r="A18" t="s">
        <v>65</v>
      </c>
    </row>
    <row r="19" spans="1:7" x14ac:dyDescent="0.3">
      <c r="A19" t="s">
        <v>66</v>
      </c>
      <c r="B19">
        <v>14.6</v>
      </c>
      <c r="C19">
        <v>12.7</v>
      </c>
      <c r="D19">
        <v>11.1</v>
      </c>
      <c r="E19">
        <v>10.3</v>
      </c>
      <c r="F19">
        <v>9.8000000000000007</v>
      </c>
      <c r="G19">
        <v>9.3000000000000007</v>
      </c>
    </row>
    <row r="20" spans="1:7" x14ac:dyDescent="0.3">
      <c r="A20" t="s">
        <v>67</v>
      </c>
      <c r="B20">
        <v>7.8</v>
      </c>
      <c r="C20">
        <v>7.7</v>
      </c>
      <c r="D20">
        <v>7.7</v>
      </c>
      <c r="E20">
        <v>7.9</v>
      </c>
      <c r="F20">
        <v>8.3000000000000007</v>
      </c>
      <c r="G20">
        <v>8.8000000000000007</v>
      </c>
    </row>
    <row r="21" spans="1:7" x14ac:dyDescent="0.3">
      <c r="A21" t="s">
        <v>68</v>
      </c>
      <c r="B21">
        <v>0.7</v>
      </c>
      <c r="C21">
        <v>0.5</v>
      </c>
      <c r="D21">
        <v>0.3</v>
      </c>
      <c r="E21">
        <v>0.2</v>
      </c>
      <c r="F21">
        <v>0.2</v>
      </c>
      <c r="G21">
        <v>0.1</v>
      </c>
    </row>
    <row r="22" spans="1:7" x14ac:dyDescent="0.3">
      <c r="A22" t="s">
        <v>69</v>
      </c>
    </row>
    <row r="23" spans="1:7" x14ac:dyDescent="0.3">
      <c r="A23" t="s">
        <v>70</v>
      </c>
      <c r="B23">
        <v>0.17</v>
      </c>
      <c r="C23">
        <v>0.15</v>
      </c>
      <c r="D23">
        <v>0.13</v>
      </c>
      <c r="E23">
        <v>0.13</v>
      </c>
      <c r="F23">
        <v>0.12</v>
      </c>
      <c r="G23">
        <v>0.12</v>
      </c>
    </row>
    <row r="24" spans="1:7" x14ac:dyDescent="0.3">
      <c r="A24" t="s">
        <v>71</v>
      </c>
      <c r="B24">
        <v>0.09</v>
      </c>
      <c r="C24">
        <v>0.09</v>
      </c>
      <c r="D24">
        <v>0.09</v>
      </c>
      <c r="E24">
        <v>0.1</v>
      </c>
      <c r="F24">
        <v>0.1</v>
      </c>
      <c r="G24">
        <v>0.11</v>
      </c>
    </row>
    <row r="25" spans="1:7" x14ac:dyDescent="0.3">
      <c r="A25" t="s">
        <v>72</v>
      </c>
    </row>
    <row r="26" spans="1:7" x14ac:dyDescent="0.3">
      <c r="A26" t="s">
        <v>73</v>
      </c>
      <c r="B26">
        <v>11.6</v>
      </c>
      <c r="C26">
        <v>11.9</v>
      </c>
      <c r="D26">
        <v>12.2</v>
      </c>
      <c r="E26">
        <v>12.3</v>
      </c>
      <c r="F26">
        <v>12.4</v>
      </c>
      <c r="G26">
        <v>12.4</v>
      </c>
    </row>
    <row r="27" spans="1:7" x14ac:dyDescent="0.3">
      <c r="A27" t="s">
        <v>74</v>
      </c>
      <c r="B27">
        <v>5.9</v>
      </c>
      <c r="C27">
        <v>6.1</v>
      </c>
      <c r="D27">
        <v>6.2</v>
      </c>
      <c r="E27">
        <v>6.3</v>
      </c>
      <c r="F27">
        <v>6.3</v>
      </c>
      <c r="G27">
        <v>6.3</v>
      </c>
    </row>
    <row r="28" spans="1:7" x14ac:dyDescent="0.3">
      <c r="A28" t="s">
        <v>75</v>
      </c>
      <c r="B28">
        <v>5.7</v>
      </c>
      <c r="C28">
        <v>5.8</v>
      </c>
      <c r="D28">
        <v>6</v>
      </c>
      <c r="E28">
        <v>6</v>
      </c>
      <c r="F28">
        <v>6.1</v>
      </c>
      <c r="G28">
        <v>6.1</v>
      </c>
    </row>
    <row r="29" spans="1:7" x14ac:dyDescent="0.3">
      <c r="A29" t="s">
        <v>76</v>
      </c>
      <c r="B29">
        <v>7.2</v>
      </c>
      <c r="C29">
        <v>6.5</v>
      </c>
      <c r="D29">
        <v>5.7</v>
      </c>
      <c r="E29">
        <v>5.0999999999999996</v>
      </c>
      <c r="F29">
        <v>4.9000000000000004</v>
      </c>
      <c r="G29">
        <v>4.7</v>
      </c>
    </row>
    <row r="30" spans="1:7" x14ac:dyDescent="0.3">
      <c r="A30" t="s">
        <v>77</v>
      </c>
      <c r="B30">
        <v>15.1</v>
      </c>
      <c r="C30">
        <v>14.4</v>
      </c>
      <c r="D30">
        <v>13.1</v>
      </c>
      <c r="E30">
        <v>11.8</v>
      </c>
      <c r="F30">
        <v>10.6</v>
      </c>
      <c r="G30">
        <v>9.9</v>
      </c>
    </row>
    <row r="31" spans="1:7" x14ac:dyDescent="0.3">
      <c r="A31" t="s">
        <v>78</v>
      </c>
      <c r="B31">
        <v>17</v>
      </c>
      <c r="C31">
        <v>14.8</v>
      </c>
      <c r="D31">
        <v>14.3</v>
      </c>
      <c r="E31">
        <v>13.9</v>
      </c>
      <c r="F31">
        <v>12.8</v>
      </c>
      <c r="G31">
        <v>11.6</v>
      </c>
    </row>
    <row r="32" spans="1:7" x14ac:dyDescent="0.3">
      <c r="A32" t="s">
        <v>79</v>
      </c>
      <c r="B32">
        <v>57.1</v>
      </c>
      <c r="C32">
        <v>56.5</v>
      </c>
      <c r="D32">
        <v>56</v>
      </c>
      <c r="E32">
        <v>54.1</v>
      </c>
      <c r="F32">
        <v>50.8</v>
      </c>
      <c r="G32">
        <v>47.1</v>
      </c>
    </row>
    <row r="33" spans="1:7" x14ac:dyDescent="0.3">
      <c r="A33" t="s">
        <v>80</v>
      </c>
      <c r="B33">
        <v>66.900000000000006</v>
      </c>
      <c r="C33">
        <v>67.099999999999994</v>
      </c>
      <c r="D33">
        <v>67.400000000000006</v>
      </c>
      <c r="E33">
        <v>67.400000000000006</v>
      </c>
      <c r="F33">
        <v>66.400000000000006</v>
      </c>
      <c r="G33">
        <v>64</v>
      </c>
    </row>
    <row r="34" spans="1:7" x14ac:dyDescent="0.3">
      <c r="A34" t="s">
        <v>81</v>
      </c>
      <c r="B34">
        <v>10.8</v>
      </c>
      <c r="C34">
        <v>12</v>
      </c>
      <c r="D34">
        <v>13.8</v>
      </c>
      <c r="E34">
        <v>15.7</v>
      </c>
      <c r="F34">
        <v>18.100000000000001</v>
      </c>
      <c r="G34">
        <v>21.4</v>
      </c>
    </row>
    <row r="35" spans="1:7" x14ac:dyDescent="0.3">
      <c r="A35" t="s">
        <v>82</v>
      </c>
      <c r="B35">
        <v>56.6</v>
      </c>
      <c r="C35">
        <v>55.7</v>
      </c>
      <c r="D35">
        <v>54.6</v>
      </c>
      <c r="E35">
        <v>52.4</v>
      </c>
      <c r="F35">
        <v>49.1</v>
      </c>
      <c r="G35">
        <v>45.4</v>
      </c>
    </row>
    <row r="36" spans="1:7" x14ac:dyDescent="0.3">
      <c r="A36" t="s">
        <v>83</v>
      </c>
      <c r="B36">
        <v>103.7</v>
      </c>
      <c r="C36">
        <v>103.7</v>
      </c>
      <c r="D36">
        <v>103.6</v>
      </c>
      <c r="E36">
        <v>103.4</v>
      </c>
      <c r="F36">
        <v>103.1</v>
      </c>
      <c r="G36">
        <v>102.8</v>
      </c>
    </row>
    <row r="37" spans="1:7" x14ac:dyDescent="0.3">
      <c r="A37" t="s">
        <v>84</v>
      </c>
      <c r="B37">
        <v>51</v>
      </c>
      <c r="C37">
        <v>49.4</v>
      </c>
      <c r="D37">
        <v>49.1</v>
      </c>
      <c r="E37">
        <v>48.5</v>
      </c>
      <c r="F37">
        <v>48.4</v>
      </c>
      <c r="G37">
        <v>50.6</v>
      </c>
    </row>
    <row r="38" spans="1:7" x14ac:dyDescent="0.3">
      <c r="A38" t="s">
        <v>85</v>
      </c>
      <c r="B38">
        <v>31</v>
      </c>
      <c r="C38">
        <v>33</v>
      </c>
      <c r="D38">
        <v>36</v>
      </c>
      <c r="E38">
        <v>38</v>
      </c>
      <c r="F38">
        <v>40</v>
      </c>
      <c r="G38">
        <v>43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O32"/>
  <sheetViews>
    <sheetView workbookViewId="0">
      <selection activeCell="E8" sqref="E8"/>
    </sheetView>
  </sheetViews>
  <sheetFormatPr defaultRowHeight="14.4" x14ac:dyDescent="0.3"/>
  <cols>
    <col min="1" max="1" width="16.88671875" customWidth="1"/>
    <col min="2" max="15" width="8.88671875" style="6"/>
  </cols>
  <sheetData>
    <row r="1" spans="1:15" x14ac:dyDescent="0.3">
      <c r="A1" s="2" t="s">
        <v>225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3">
      <c r="A2" t="s">
        <v>200</v>
      </c>
      <c r="B2" s="34">
        <v>2021</v>
      </c>
      <c r="C2" s="34"/>
      <c r="D2" s="34">
        <v>2026</v>
      </c>
      <c r="E2" s="34"/>
      <c r="F2" s="34">
        <v>2031</v>
      </c>
      <c r="G2" s="34"/>
      <c r="H2" s="34">
        <v>2036</v>
      </c>
      <c r="I2" s="34"/>
      <c r="J2" s="34">
        <v>2041</v>
      </c>
      <c r="K2" s="34"/>
      <c r="L2" s="34">
        <v>2046</v>
      </c>
      <c r="M2" s="34"/>
      <c r="N2" s="34">
        <v>2051</v>
      </c>
      <c r="O2" s="34"/>
    </row>
    <row r="3" spans="1:15" s="7" customFormat="1" x14ac:dyDescent="0.3">
      <c r="A3" s="7" t="s">
        <v>188</v>
      </c>
      <c r="B3" s="3" t="s">
        <v>226</v>
      </c>
      <c r="C3" s="3" t="s">
        <v>227</v>
      </c>
      <c r="D3" s="3" t="s">
        <v>226</v>
      </c>
      <c r="E3" s="3" t="s">
        <v>227</v>
      </c>
      <c r="F3" s="3" t="s">
        <v>226</v>
      </c>
      <c r="G3" s="3" t="s">
        <v>227</v>
      </c>
      <c r="H3" s="3" t="s">
        <v>226</v>
      </c>
      <c r="I3" s="3" t="s">
        <v>227</v>
      </c>
      <c r="J3" s="3" t="s">
        <v>226</v>
      </c>
      <c r="K3" s="3" t="s">
        <v>227</v>
      </c>
      <c r="L3" s="3" t="s">
        <v>226</v>
      </c>
      <c r="M3" s="3" t="s">
        <v>227</v>
      </c>
      <c r="N3" s="3" t="s">
        <v>226</v>
      </c>
      <c r="O3" s="3" t="s">
        <v>227</v>
      </c>
    </row>
    <row r="4" spans="1:15" x14ac:dyDescent="0.3">
      <c r="A4" t="s">
        <v>177</v>
      </c>
      <c r="B4" s="6">
        <v>46.4</v>
      </c>
      <c r="C4" s="6">
        <v>24.6</v>
      </c>
      <c r="D4" s="6">
        <v>44.6</v>
      </c>
      <c r="E4" s="6">
        <v>22.6</v>
      </c>
      <c r="F4" s="6">
        <v>42.4</v>
      </c>
      <c r="G4" s="6">
        <v>20.7</v>
      </c>
      <c r="H4" s="6">
        <v>39.5</v>
      </c>
      <c r="I4" s="6">
        <v>18.8</v>
      </c>
      <c r="J4" s="6">
        <v>36.700000000000003</v>
      </c>
      <c r="K4" s="6">
        <v>17.100000000000001</v>
      </c>
      <c r="L4" s="6">
        <v>34.299999999999997</v>
      </c>
      <c r="M4" s="6">
        <v>15.8</v>
      </c>
      <c r="N4" s="6">
        <v>32.5</v>
      </c>
      <c r="O4" s="6">
        <v>14.8</v>
      </c>
    </row>
    <row r="5" spans="1:15" x14ac:dyDescent="0.3">
      <c r="A5" t="s">
        <v>178</v>
      </c>
      <c r="B5" s="6">
        <v>124.3</v>
      </c>
      <c r="C5" s="6">
        <v>65.8</v>
      </c>
      <c r="D5" s="6">
        <v>131</v>
      </c>
      <c r="E5" s="6">
        <v>66.400000000000006</v>
      </c>
      <c r="F5" s="6">
        <v>136</v>
      </c>
      <c r="G5" s="6">
        <v>66.599999999999994</v>
      </c>
      <c r="H5" s="6">
        <v>139.30000000000001</v>
      </c>
      <c r="I5" s="6">
        <v>66.400000000000006</v>
      </c>
      <c r="J5" s="6">
        <v>140.9</v>
      </c>
      <c r="K5" s="6">
        <v>65.8</v>
      </c>
      <c r="L5" s="6">
        <v>140</v>
      </c>
      <c r="M5" s="6">
        <v>64.400000000000006</v>
      </c>
      <c r="N5" s="6">
        <v>136</v>
      </c>
      <c r="O5" s="6">
        <v>62.1</v>
      </c>
    </row>
    <row r="6" spans="1:15" x14ac:dyDescent="0.3">
      <c r="A6" t="s">
        <v>179</v>
      </c>
      <c r="B6" s="6">
        <v>18.2</v>
      </c>
      <c r="C6" s="6">
        <v>9.6</v>
      </c>
      <c r="D6" s="6">
        <v>21.6</v>
      </c>
      <c r="E6" s="6">
        <v>11</v>
      </c>
      <c r="F6" s="6">
        <v>25.9</v>
      </c>
      <c r="G6" s="6">
        <v>12.7</v>
      </c>
      <c r="H6" s="6">
        <v>31.1</v>
      </c>
      <c r="I6" s="6">
        <v>14.8</v>
      </c>
      <c r="J6" s="6">
        <v>36.6</v>
      </c>
      <c r="K6" s="6">
        <v>17.100000000000001</v>
      </c>
      <c r="L6" s="6">
        <v>43</v>
      </c>
      <c r="M6" s="6">
        <v>19.8</v>
      </c>
      <c r="N6" s="6">
        <v>50.5</v>
      </c>
      <c r="O6" s="6">
        <v>23.1</v>
      </c>
    </row>
    <row r="7" spans="1:15" x14ac:dyDescent="0.3">
      <c r="A7" t="s">
        <v>103</v>
      </c>
      <c r="B7" s="6">
        <v>1.7</v>
      </c>
      <c r="C7" s="6">
        <v>0.9</v>
      </c>
      <c r="D7" s="6">
        <v>1.9</v>
      </c>
      <c r="E7" s="6">
        <v>1</v>
      </c>
      <c r="F7" s="6">
        <v>2.6</v>
      </c>
      <c r="G7" s="6">
        <v>1.3</v>
      </c>
      <c r="H7" s="6">
        <v>2.9</v>
      </c>
      <c r="I7" s="6">
        <v>1.4</v>
      </c>
      <c r="J7" s="6">
        <v>3.8</v>
      </c>
      <c r="K7" s="6">
        <v>1.8</v>
      </c>
      <c r="L7" s="6">
        <v>5.2</v>
      </c>
      <c r="M7" s="6">
        <v>2.4</v>
      </c>
      <c r="N7" s="6">
        <v>6.8</v>
      </c>
      <c r="O7" s="6">
        <v>3.1</v>
      </c>
    </row>
    <row r="8" spans="1:15" x14ac:dyDescent="0.3">
      <c r="A8" t="s">
        <v>201</v>
      </c>
      <c r="B8" s="6">
        <v>188.9</v>
      </c>
      <c r="C8" s="6">
        <v>100</v>
      </c>
      <c r="D8" s="6">
        <v>197.2</v>
      </c>
      <c r="E8" s="6">
        <v>100</v>
      </c>
      <c r="F8" s="6">
        <v>204.3</v>
      </c>
      <c r="G8" s="6">
        <v>100</v>
      </c>
      <c r="H8" s="6">
        <v>209.8</v>
      </c>
      <c r="I8" s="6">
        <v>100</v>
      </c>
      <c r="J8" s="6">
        <v>214.2</v>
      </c>
      <c r="K8" s="6">
        <v>100</v>
      </c>
      <c r="L8" s="6">
        <v>217.2</v>
      </c>
      <c r="M8" s="6">
        <v>100</v>
      </c>
      <c r="N8" s="6">
        <v>219</v>
      </c>
      <c r="O8" s="6">
        <v>100</v>
      </c>
    </row>
    <row r="9" spans="1:15" s="7" customFormat="1" x14ac:dyDescent="0.3">
      <c r="A9" s="7" t="s">
        <v>193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x14ac:dyDescent="0.3">
      <c r="A10" t="s">
        <v>177</v>
      </c>
      <c r="B10" s="6">
        <v>136.19999999999999</v>
      </c>
      <c r="C10" s="6">
        <v>28.9</v>
      </c>
      <c r="D10" s="6">
        <v>141.19999999999999</v>
      </c>
      <c r="E10" s="6">
        <v>28</v>
      </c>
      <c r="F10" s="6">
        <v>141.5</v>
      </c>
      <c r="G10" s="6">
        <v>26.4</v>
      </c>
      <c r="H10" s="6">
        <v>134.5</v>
      </c>
      <c r="I10" s="6">
        <v>24</v>
      </c>
      <c r="J10" s="6">
        <v>125.1</v>
      </c>
      <c r="K10" s="6">
        <v>21.5</v>
      </c>
      <c r="L10" s="6">
        <v>117.8</v>
      </c>
      <c r="M10" s="6">
        <v>19.600000000000001</v>
      </c>
      <c r="N10" s="6">
        <v>114.9</v>
      </c>
      <c r="O10" s="6">
        <v>18.600000000000001</v>
      </c>
    </row>
    <row r="11" spans="1:15" x14ac:dyDescent="0.3">
      <c r="A11" t="s">
        <v>178</v>
      </c>
      <c r="B11" s="6">
        <v>296.2</v>
      </c>
      <c r="C11" s="6">
        <v>62.9</v>
      </c>
      <c r="D11" s="6">
        <v>318.39999999999998</v>
      </c>
      <c r="E11" s="6">
        <v>63.1</v>
      </c>
      <c r="F11" s="6">
        <v>340.1</v>
      </c>
      <c r="G11" s="6">
        <v>63.6</v>
      </c>
      <c r="H11" s="6">
        <v>360.9</v>
      </c>
      <c r="I11" s="6">
        <v>64.400000000000006</v>
      </c>
      <c r="J11" s="6">
        <v>380.6</v>
      </c>
      <c r="K11" s="6">
        <v>65.5</v>
      </c>
      <c r="L11" s="6">
        <v>395.3</v>
      </c>
      <c r="M11" s="6">
        <v>65.8</v>
      </c>
      <c r="N11" s="6">
        <v>401.5</v>
      </c>
      <c r="O11" s="6">
        <v>65</v>
      </c>
    </row>
    <row r="12" spans="1:15" x14ac:dyDescent="0.3">
      <c r="A12" t="s">
        <v>179</v>
      </c>
      <c r="B12" s="6">
        <v>38.700000000000003</v>
      </c>
      <c r="C12" s="6">
        <v>8.1999999999999993</v>
      </c>
      <c r="D12" s="6">
        <v>45.1</v>
      </c>
      <c r="E12" s="6">
        <v>8.9</v>
      </c>
      <c r="F12" s="6">
        <v>53.4</v>
      </c>
      <c r="G12" s="6">
        <v>10</v>
      </c>
      <c r="H12" s="6">
        <v>64.599999999999994</v>
      </c>
      <c r="I12" s="6">
        <v>11.5</v>
      </c>
      <c r="J12" s="6">
        <v>75.599999999999994</v>
      </c>
      <c r="K12" s="6">
        <v>13</v>
      </c>
      <c r="L12" s="6">
        <v>87.5</v>
      </c>
      <c r="M12" s="6">
        <v>14.6</v>
      </c>
      <c r="N12" s="6">
        <v>101.6</v>
      </c>
      <c r="O12" s="6">
        <v>16.399999999999999</v>
      </c>
    </row>
    <row r="13" spans="1:15" x14ac:dyDescent="0.3">
      <c r="A13" t="s">
        <v>103</v>
      </c>
      <c r="B13" s="6">
        <v>3.2</v>
      </c>
      <c r="C13" s="6">
        <v>0.7</v>
      </c>
      <c r="D13" s="6">
        <v>3.9</v>
      </c>
      <c r="E13" s="6">
        <v>0.8</v>
      </c>
      <c r="F13" s="6">
        <v>5.0999999999999996</v>
      </c>
      <c r="G13" s="6">
        <v>1</v>
      </c>
      <c r="H13" s="6">
        <v>5.6</v>
      </c>
      <c r="I13" s="6">
        <v>1</v>
      </c>
      <c r="J13" s="6">
        <v>6.7</v>
      </c>
      <c r="K13" s="6">
        <v>1.2</v>
      </c>
      <c r="L13" s="6">
        <v>8.9</v>
      </c>
      <c r="M13" s="6">
        <v>1.5</v>
      </c>
      <c r="N13" s="6">
        <v>11.6</v>
      </c>
      <c r="O13" s="6">
        <v>1.9</v>
      </c>
    </row>
    <row r="14" spans="1:15" x14ac:dyDescent="0.3">
      <c r="A14" t="s">
        <v>201</v>
      </c>
      <c r="B14" s="6">
        <v>471.1</v>
      </c>
      <c r="C14" s="6">
        <v>100</v>
      </c>
      <c r="D14" s="6">
        <v>504.7</v>
      </c>
      <c r="E14" s="6">
        <v>100</v>
      </c>
      <c r="F14" s="6">
        <v>535</v>
      </c>
      <c r="G14" s="6">
        <v>100</v>
      </c>
      <c r="H14" s="6">
        <v>560</v>
      </c>
      <c r="I14" s="6">
        <v>100</v>
      </c>
      <c r="J14" s="6">
        <v>581.29999999999995</v>
      </c>
      <c r="K14" s="6">
        <v>100</v>
      </c>
      <c r="L14" s="6">
        <v>600.6</v>
      </c>
      <c r="M14" s="6">
        <v>100</v>
      </c>
      <c r="N14" s="6">
        <v>617.9</v>
      </c>
      <c r="O14" s="6">
        <v>100</v>
      </c>
    </row>
    <row r="15" spans="1:15" s="7" customFormat="1" x14ac:dyDescent="0.3">
      <c r="A15" s="7" t="s">
        <v>194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x14ac:dyDescent="0.3">
      <c r="A16" t="s">
        <v>177</v>
      </c>
      <c r="B16" s="6">
        <v>40.9</v>
      </c>
      <c r="C16" s="6">
        <v>22.5</v>
      </c>
      <c r="D16" s="6">
        <v>38.700000000000003</v>
      </c>
      <c r="E16" s="6">
        <v>20.5</v>
      </c>
      <c r="F16" s="6">
        <v>37</v>
      </c>
      <c r="G16" s="6">
        <v>19.100000000000001</v>
      </c>
      <c r="H16" s="6">
        <v>34.799999999999997</v>
      </c>
      <c r="I16" s="6">
        <v>17.600000000000001</v>
      </c>
      <c r="J16" s="6">
        <v>32.299999999999997</v>
      </c>
      <c r="K16" s="6">
        <v>16.2</v>
      </c>
      <c r="L16" s="6">
        <v>29.8</v>
      </c>
      <c r="M16" s="6">
        <v>14.9</v>
      </c>
      <c r="N16" s="6">
        <v>27.9</v>
      </c>
      <c r="O16" s="6">
        <v>13.9</v>
      </c>
    </row>
    <row r="17" spans="1:15" x14ac:dyDescent="0.3">
      <c r="A17" t="s">
        <v>178</v>
      </c>
      <c r="B17" s="6">
        <v>122</v>
      </c>
      <c r="C17" s="6">
        <v>66.900000000000006</v>
      </c>
      <c r="D17" s="6">
        <v>126.5</v>
      </c>
      <c r="E17" s="6">
        <v>67.099999999999994</v>
      </c>
      <c r="F17" s="6">
        <v>128.80000000000001</v>
      </c>
      <c r="G17" s="6">
        <v>66.599999999999994</v>
      </c>
      <c r="H17" s="6">
        <v>129.4</v>
      </c>
      <c r="I17" s="6">
        <v>65.599999999999994</v>
      </c>
      <c r="J17" s="6">
        <v>129.4</v>
      </c>
      <c r="K17" s="6">
        <v>64.8</v>
      </c>
      <c r="L17" s="6">
        <v>127</v>
      </c>
      <c r="M17" s="6">
        <v>63.3</v>
      </c>
      <c r="N17" s="6">
        <v>122.7</v>
      </c>
      <c r="O17" s="6">
        <v>61.1</v>
      </c>
    </row>
    <row r="18" spans="1:15" x14ac:dyDescent="0.3">
      <c r="A18" t="s">
        <v>179</v>
      </c>
      <c r="B18" s="6">
        <v>19.399999999999999</v>
      </c>
      <c r="C18" s="6">
        <v>10.6</v>
      </c>
      <c r="D18" s="6">
        <v>23.2</v>
      </c>
      <c r="E18" s="6">
        <v>12.3</v>
      </c>
      <c r="F18" s="6">
        <v>27.8</v>
      </c>
      <c r="G18" s="6">
        <v>14.4</v>
      </c>
      <c r="H18" s="6">
        <v>33.200000000000003</v>
      </c>
      <c r="I18" s="6">
        <v>16.8</v>
      </c>
      <c r="J18" s="6">
        <v>38</v>
      </c>
      <c r="K18" s="6">
        <v>19</v>
      </c>
      <c r="L18" s="6">
        <v>44</v>
      </c>
      <c r="M18" s="6">
        <v>21.9</v>
      </c>
      <c r="N18" s="6">
        <v>50.2</v>
      </c>
      <c r="O18" s="6">
        <v>25</v>
      </c>
    </row>
    <row r="19" spans="1:15" x14ac:dyDescent="0.3">
      <c r="A19" t="s">
        <v>103</v>
      </c>
      <c r="B19" s="6">
        <v>1.6</v>
      </c>
      <c r="C19" s="6">
        <v>0.9</v>
      </c>
      <c r="D19" s="6">
        <v>2</v>
      </c>
      <c r="E19" s="6">
        <v>1</v>
      </c>
      <c r="F19" s="6">
        <v>2.6</v>
      </c>
      <c r="G19" s="6">
        <v>1.3</v>
      </c>
      <c r="H19" s="6">
        <v>3.1</v>
      </c>
      <c r="I19" s="6">
        <v>1.6</v>
      </c>
      <c r="J19" s="6">
        <v>4.0999999999999996</v>
      </c>
      <c r="K19" s="6">
        <v>2</v>
      </c>
      <c r="L19" s="6">
        <v>5.5</v>
      </c>
      <c r="M19" s="6">
        <v>2.7</v>
      </c>
      <c r="N19" s="6">
        <v>7.2</v>
      </c>
      <c r="O19" s="6">
        <v>3.6</v>
      </c>
    </row>
    <row r="20" spans="1:15" x14ac:dyDescent="0.3">
      <c r="A20" t="s">
        <v>201</v>
      </c>
      <c r="B20" s="6">
        <v>182.3</v>
      </c>
      <c r="C20" s="6">
        <v>100</v>
      </c>
      <c r="D20" s="6">
        <v>188.5</v>
      </c>
      <c r="E20" s="6">
        <v>100</v>
      </c>
      <c r="F20" s="6">
        <v>193.6</v>
      </c>
      <c r="G20" s="6">
        <v>100</v>
      </c>
      <c r="H20" s="6">
        <v>197.3</v>
      </c>
      <c r="I20" s="6">
        <v>100</v>
      </c>
      <c r="J20" s="6">
        <v>199.7</v>
      </c>
      <c r="K20" s="6">
        <v>100</v>
      </c>
      <c r="L20" s="6">
        <v>200.8</v>
      </c>
      <c r="M20" s="6">
        <v>100</v>
      </c>
      <c r="N20" s="6">
        <v>200.8</v>
      </c>
      <c r="O20" s="6">
        <v>100</v>
      </c>
    </row>
    <row r="21" spans="1:15" s="7" customFormat="1" x14ac:dyDescent="0.3">
      <c r="A21" s="7" t="s">
        <v>195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3">
      <c r="A22" t="s">
        <v>177</v>
      </c>
      <c r="B22" s="6">
        <v>42.1</v>
      </c>
      <c r="C22" s="6">
        <v>22.2</v>
      </c>
      <c r="D22" s="6">
        <v>39</v>
      </c>
      <c r="E22" s="6">
        <v>20.100000000000001</v>
      </c>
      <c r="F22" s="6">
        <v>35.6</v>
      </c>
      <c r="G22" s="6">
        <v>18</v>
      </c>
      <c r="H22" s="6">
        <v>32.9</v>
      </c>
      <c r="I22" s="6">
        <v>16.3</v>
      </c>
      <c r="J22" s="6">
        <v>30.9</v>
      </c>
      <c r="K22" s="6">
        <v>15.2</v>
      </c>
      <c r="L22" s="6">
        <v>29.1</v>
      </c>
      <c r="M22" s="6">
        <v>14.3</v>
      </c>
      <c r="N22" s="6">
        <v>27.2</v>
      </c>
      <c r="O22" s="6">
        <v>13.4</v>
      </c>
    </row>
    <row r="23" spans="1:15" x14ac:dyDescent="0.3">
      <c r="A23" t="s">
        <v>178</v>
      </c>
      <c r="B23" s="6">
        <v>126.4</v>
      </c>
      <c r="C23" s="6">
        <v>66.7</v>
      </c>
      <c r="D23" s="6">
        <v>130.9</v>
      </c>
      <c r="E23" s="6">
        <v>67.3</v>
      </c>
      <c r="F23" s="6">
        <v>133.6</v>
      </c>
      <c r="G23" s="6">
        <v>67.400000000000006</v>
      </c>
      <c r="H23" s="6">
        <v>133.80000000000001</v>
      </c>
      <c r="I23" s="6">
        <v>66.5</v>
      </c>
      <c r="J23" s="6">
        <v>131.9</v>
      </c>
      <c r="K23" s="6">
        <v>65</v>
      </c>
      <c r="L23" s="6">
        <v>127.6</v>
      </c>
      <c r="M23" s="6">
        <v>62.7</v>
      </c>
      <c r="N23" s="6">
        <v>121.4</v>
      </c>
      <c r="O23" s="6">
        <v>59.9</v>
      </c>
    </row>
    <row r="24" spans="1:15" x14ac:dyDescent="0.3">
      <c r="A24" t="s">
        <v>179</v>
      </c>
      <c r="B24" s="6">
        <v>21</v>
      </c>
      <c r="C24" s="6">
        <v>11.1</v>
      </c>
      <c r="D24" s="6">
        <v>24.5</v>
      </c>
      <c r="E24" s="6">
        <v>12.6</v>
      </c>
      <c r="F24" s="6">
        <v>29.1</v>
      </c>
      <c r="G24" s="6">
        <v>14.7</v>
      </c>
      <c r="H24" s="6">
        <v>34.5</v>
      </c>
      <c r="I24" s="6">
        <v>17.100000000000001</v>
      </c>
      <c r="J24" s="6">
        <v>40.200000000000003</v>
      </c>
      <c r="K24" s="6">
        <v>19.8</v>
      </c>
      <c r="L24" s="6">
        <v>46.8</v>
      </c>
      <c r="M24" s="6">
        <v>23</v>
      </c>
      <c r="N24" s="6">
        <v>54</v>
      </c>
      <c r="O24" s="6">
        <v>26.6</v>
      </c>
    </row>
    <row r="25" spans="1:15" x14ac:dyDescent="0.3">
      <c r="A25" t="s">
        <v>103</v>
      </c>
      <c r="B25" s="6">
        <v>2</v>
      </c>
      <c r="C25" s="6">
        <v>1.1000000000000001</v>
      </c>
      <c r="D25" s="6">
        <v>2.4</v>
      </c>
      <c r="E25" s="6">
        <v>1.2</v>
      </c>
      <c r="F25" s="6">
        <v>2.9</v>
      </c>
      <c r="G25" s="6">
        <v>1.5</v>
      </c>
      <c r="H25" s="6">
        <v>3.4</v>
      </c>
      <c r="I25" s="6">
        <v>1.7</v>
      </c>
      <c r="J25" s="6">
        <v>4.4000000000000004</v>
      </c>
      <c r="K25" s="6">
        <v>2.2000000000000002</v>
      </c>
      <c r="L25" s="6">
        <v>5.7</v>
      </c>
      <c r="M25" s="6">
        <v>2.8</v>
      </c>
      <c r="N25" s="6">
        <v>7.5</v>
      </c>
      <c r="O25" s="6">
        <v>3.7</v>
      </c>
    </row>
    <row r="26" spans="1:15" x14ac:dyDescent="0.3">
      <c r="A26" t="s">
        <v>201</v>
      </c>
      <c r="B26" s="6">
        <v>189.5</v>
      </c>
      <c r="C26" s="6">
        <v>100</v>
      </c>
      <c r="D26" s="6">
        <v>194.4</v>
      </c>
      <c r="E26" s="6">
        <v>100</v>
      </c>
      <c r="F26" s="6">
        <v>198.3</v>
      </c>
      <c r="G26" s="6">
        <v>100</v>
      </c>
      <c r="H26" s="6">
        <v>201.2</v>
      </c>
      <c r="I26" s="6">
        <v>100</v>
      </c>
      <c r="J26" s="6">
        <v>203</v>
      </c>
      <c r="K26" s="6">
        <v>100</v>
      </c>
      <c r="L26" s="6">
        <v>203.5</v>
      </c>
      <c r="M26" s="6">
        <v>100</v>
      </c>
      <c r="N26" s="6">
        <v>202.6</v>
      </c>
      <c r="O26" s="6">
        <v>100</v>
      </c>
    </row>
    <row r="27" spans="1:15" s="7" customFormat="1" x14ac:dyDescent="0.3">
      <c r="A27" s="7" t="s">
        <v>196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3">
      <c r="A28" t="s">
        <v>177</v>
      </c>
      <c r="B28" s="6">
        <v>55</v>
      </c>
      <c r="C28" s="6">
        <v>20.399999999999999</v>
      </c>
      <c r="D28" s="6">
        <v>51.6</v>
      </c>
      <c r="E28" s="6">
        <v>18.8</v>
      </c>
      <c r="F28" s="6">
        <v>46.8</v>
      </c>
      <c r="G28" s="6">
        <v>16.8</v>
      </c>
      <c r="H28" s="6">
        <v>43.5</v>
      </c>
      <c r="I28" s="6">
        <v>15.5</v>
      </c>
      <c r="J28" s="6">
        <v>40.700000000000003</v>
      </c>
      <c r="K28" s="6">
        <v>14.5</v>
      </c>
      <c r="L28" s="6">
        <v>38.299999999999997</v>
      </c>
      <c r="M28" s="6">
        <v>13.7</v>
      </c>
      <c r="N28" s="6">
        <v>35.9</v>
      </c>
      <c r="O28" s="6">
        <v>13</v>
      </c>
    </row>
    <row r="29" spans="1:15" x14ac:dyDescent="0.3">
      <c r="A29" t="s">
        <v>178</v>
      </c>
      <c r="B29" s="6">
        <v>180.7</v>
      </c>
      <c r="C29" s="6">
        <v>67</v>
      </c>
      <c r="D29" s="6">
        <v>183.2</v>
      </c>
      <c r="E29" s="6">
        <v>66.7</v>
      </c>
      <c r="F29" s="6">
        <v>184.9</v>
      </c>
      <c r="G29" s="6">
        <v>66.5</v>
      </c>
      <c r="H29" s="6">
        <v>181.9</v>
      </c>
      <c r="I29" s="6">
        <v>65</v>
      </c>
      <c r="J29" s="6">
        <v>177.9</v>
      </c>
      <c r="K29" s="6">
        <v>63.5</v>
      </c>
      <c r="L29" s="6">
        <v>169.8</v>
      </c>
      <c r="M29" s="6">
        <v>60.9</v>
      </c>
      <c r="N29" s="6">
        <v>160.69999999999999</v>
      </c>
      <c r="O29" s="6">
        <v>58.2</v>
      </c>
    </row>
    <row r="30" spans="1:15" x14ac:dyDescent="0.3">
      <c r="A30" t="s">
        <v>179</v>
      </c>
      <c r="B30" s="6">
        <v>34</v>
      </c>
      <c r="C30" s="6">
        <v>12.6</v>
      </c>
      <c r="D30" s="6">
        <v>40</v>
      </c>
      <c r="E30" s="6">
        <v>14.5</v>
      </c>
      <c r="F30" s="6">
        <v>46.3</v>
      </c>
      <c r="G30" s="6">
        <v>16.7</v>
      </c>
      <c r="H30" s="6">
        <v>54.5</v>
      </c>
      <c r="I30" s="6">
        <v>19.5</v>
      </c>
      <c r="J30" s="6">
        <v>61.6</v>
      </c>
      <c r="K30" s="6">
        <v>22</v>
      </c>
      <c r="L30" s="6">
        <v>70.8</v>
      </c>
      <c r="M30" s="6">
        <v>25.4</v>
      </c>
      <c r="N30" s="6">
        <v>79.599999999999994</v>
      </c>
      <c r="O30" s="6">
        <v>28.8</v>
      </c>
    </row>
    <row r="31" spans="1:15" x14ac:dyDescent="0.3">
      <c r="A31" t="s">
        <v>103</v>
      </c>
      <c r="B31" s="6">
        <v>3.1</v>
      </c>
      <c r="C31" s="6">
        <v>1.1000000000000001</v>
      </c>
      <c r="D31" s="6">
        <v>3.8</v>
      </c>
      <c r="E31" s="6">
        <v>1.4</v>
      </c>
      <c r="F31" s="6">
        <v>5</v>
      </c>
      <c r="G31" s="6">
        <v>1.8</v>
      </c>
      <c r="H31" s="6">
        <v>5.8</v>
      </c>
      <c r="I31" s="6">
        <v>2.1</v>
      </c>
      <c r="J31" s="6">
        <v>7.2</v>
      </c>
      <c r="K31" s="6">
        <v>2.6</v>
      </c>
      <c r="L31" s="6">
        <v>9.5</v>
      </c>
      <c r="M31" s="6">
        <v>3.4</v>
      </c>
      <c r="N31" s="6">
        <v>11.9</v>
      </c>
      <c r="O31" s="6">
        <v>4.3</v>
      </c>
    </row>
    <row r="32" spans="1:15" x14ac:dyDescent="0.3">
      <c r="A32" t="s">
        <v>201</v>
      </c>
      <c r="B32" s="6">
        <v>269.8</v>
      </c>
      <c r="C32" s="6">
        <v>100</v>
      </c>
      <c r="D32" s="6">
        <v>274.7</v>
      </c>
      <c r="E32" s="6">
        <v>100</v>
      </c>
      <c r="F32" s="6">
        <v>278</v>
      </c>
      <c r="G32" s="6">
        <v>100</v>
      </c>
      <c r="H32" s="6">
        <v>280</v>
      </c>
      <c r="I32" s="6">
        <v>100</v>
      </c>
      <c r="J32" s="6">
        <v>280.2</v>
      </c>
      <c r="K32" s="6">
        <v>100</v>
      </c>
      <c r="L32" s="6">
        <v>278.89999999999998</v>
      </c>
      <c r="M32" s="6">
        <v>100</v>
      </c>
      <c r="N32" s="6">
        <v>276.2</v>
      </c>
      <c r="O32" s="6">
        <v>100</v>
      </c>
    </row>
  </sheetData>
  <mergeCells count="7">
    <mergeCell ref="N2:O2"/>
    <mergeCell ref="B2:C2"/>
    <mergeCell ref="D2:E2"/>
    <mergeCell ref="F2:G2"/>
    <mergeCell ref="H2:I2"/>
    <mergeCell ref="J2:K2"/>
    <mergeCell ref="L2:M2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S21"/>
  <sheetViews>
    <sheetView workbookViewId="0">
      <selection activeCell="B2" sqref="B2:S2"/>
    </sheetView>
  </sheetViews>
  <sheetFormatPr defaultRowHeight="14.4" x14ac:dyDescent="0.3"/>
  <sheetData>
    <row r="1" spans="1:19" x14ac:dyDescent="0.3">
      <c r="A1" s="2" t="s">
        <v>164</v>
      </c>
      <c r="B1" s="1"/>
      <c r="C1" s="1"/>
      <c r="D1" s="1"/>
      <c r="E1" s="1"/>
      <c r="F1" s="1"/>
      <c r="G1" s="1"/>
      <c r="H1" s="1"/>
      <c r="I1" s="1"/>
      <c r="J1" s="1"/>
    </row>
    <row r="2" spans="1:19" x14ac:dyDescent="0.3">
      <c r="A2" t="s">
        <v>93</v>
      </c>
      <c r="B2" s="34">
        <v>2026</v>
      </c>
      <c r="C2" s="34"/>
      <c r="D2" s="34"/>
      <c r="E2" s="34">
        <v>2031</v>
      </c>
      <c r="F2" s="34"/>
      <c r="G2" s="34"/>
      <c r="H2" s="34">
        <v>2036</v>
      </c>
      <c r="I2" s="34"/>
      <c r="J2" s="34"/>
      <c r="K2" s="37">
        <v>2041</v>
      </c>
      <c r="L2" s="37"/>
      <c r="M2" s="37"/>
      <c r="N2" s="37">
        <v>2046</v>
      </c>
      <c r="O2" s="37"/>
      <c r="P2" s="37"/>
      <c r="Q2" s="37">
        <v>2051</v>
      </c>
      <c r="R2" s="37"/>
      <c r="S2" s="37"/>
    </row>
    <row r="3" spans="1:19" x14ac:dyDescent="0.3">
      <c r="B3" t="s">
        <v>16</v>
      </c>
      <c r="C3" t="s">
        <v>46</v>
      </c>
      <c r="D3" t="s">
        <v>91</v>
      </c>
      <c r="E3" t="s">
        <v>16</v>
      </c>
      <c r="F3" t="s">
        <v>46</v>
      </c>
      <c r="G3" t="s">
        <v>91</v>
      </c>
      <c r="H3" t="s">
        <v>16</v>
      </c>
      <c r="I3" t="s">
        <v>46</v>
      </c>
      <c r="J3" t="s">
        <v>91</v>
      </c>
      <c r="K3" t="s">
        <v>16</v>
      </c>
      <c r="L3" t="s">
        <v>46</v>
      </c>
      <c r="M3" t="s">
        <v>91</v>
      </c>
      <c r="N3" t="s">
        <v>16</v>
      </c>
      <c r="O3" t="s">
        <v>46</v>
      </c>
      <c r="P3" t="s">
        <v>91</v>
      </c>
      <c r="Q3" t="s">
        <v>16</v>
      </c>
      <c r="R3" t="s">
        <v>46</v>
      </c>
      <c r="S3" t="s">
        <v>91</v>
      </c>
    </row>
    <row r="4" spans="1:19" x14ac:dyDescent="0.3">
      <c r="A4" t="s">
        <v>94</v>
      </c>
      <c r="B4">
        <v>7.47</v>
      </c>
      <c r="C4">
        <v>7</v>
      </c>
      <c r="D4">
        <v>7.24</v>
      </c>
      <c r="E4">
        <v>6.66</v>
      </c>
      <c r="F4">
        <v>6.23</v>
      </c>
      <c r="G4">
        <v>6.45</v>
      </c>
      <c r="H4">
        <v>5.82</v>
      </c>
      <c r="I4">
        <v>5.47</v>
      </c>
      <c r="J4">
        <v>5.65</v>
      </c>
      <c r="K4">
        <v>5.3</v>
      </c>
      <c r="L4">
        <v>4.9800000000000004</v>
      </c>
      <c r="M4">
        <v>5.14</v>
      </c>
      <c r="N4">
        <v>5.08</v>
      </c>
      <c r="O4">
        <v>4.74</v>
      </c>
      <c r="P4">
        <v>4.91</v>
      </c>
      <c r="Q4">
        <v>4.8600000000000003</v>
      </c>
      <c r="R4">
        <v>4.5199999999999996</v>
      </c>
      <c r="S4">
        <v>4.6900000000000004</v>
      </c>
    </row>
    <row r="5" spans="1:19" x14ac:dyDescent="0.3">
      <c r="A5" t="s">
        <v>95</v>
      </c>
      <c r="B5">
        <v>7.9</v>
      </c>
      <c r="C5">
        <v>7.42</v>
      </c>
      <c r="D5">
        <v>7.66</v>
      </c>
      <c r="E5">
        <v>7.21</v>
      </c>
      <c r="F5">
        <v>6.77</v>
      </c>
      <c r="G5">
        <v>7</v>
      </c>
      <c r="H5">
        <v>6.5</v>
      </c>
      <c r="I5">
        <v>6.09</v>
      </c>
      <c r="J5">
        <v>6.3</v>
      </c>
      <c r="K5">
        <v>5.73</v>
      </c>
      <c r="L5">
        <v>5.37</v>
      </c>
      <c r="M5">
        <v>5.56</v>
      </c>
      <c r="N5">
        <v>5.25</v>
      </c>
      <c r="O5">
        <v>4.91</v>
      </c>
      <c r="P5">
        <v>5.08</v>
      </c>
      <c r="Q5">
        <v>5.0599999999999996</v>
      </c>
      <c r="R5">
        <v>4.71</v>
      </c>
      <c r="S5">
        <v>4.88</v>
      </c>
    </row>
    <row r="6" spans="1:19" x14ac:dyDescent="0.3">
      <c r="A6" t="s">
        <v>96</v>
      </c>
      <c r="B6">
        <v>7.65</v>
      </c>
      <c r="C6">
        <v>7.13</v>
      </c>
      <c r="D6">
        <v>7.39</v>
      </c>
      <c r="E6">
        <v>7.65</v>
      </c>
      <c r="F6">
        <v>7.19</v>
      </c>
      <c r="G6">
        <v>7.43</v>
      </c>
      <c r="H6">
        <v>7.06</v>
      </c>
      <c r="I6">
        <v>6.62</v>
      </c>
      <c r="J6">
        <v>6.85</v>
      </c>
      <c r="K6">
        <v>6.41</v>
      </c>
      <c r="L6">
        <v>5.99</v>
      </c>
      <c r="M6">
        <v>6.2</v>
      </c>
      <c r="N6">
        <v>5.68</v>
      </c>
      <c r="O6">
        <v>5.31</v>
      </c>
      <c r="P6">
        <v>5.5</v>
      </c>
      <c r="Q6">
        <v>5.23</v>
      </c>
      <c r="R6">
        <v>4.88</v>
      </c>
      <c r="S6">
        <v>5.0599999999999996</v>
      </c>
    </row>
    <row r="7" spans="1:19" x14ac:dyDescent="0.3">
      <c r="A7" t="s">
        <v>35</v>
      </c>
      <c r="B7">
        <v>8.17</v>
      </c>
      <c r="C7">
        <v>7.6</v>
      </c>
      <c r="D7">
        <v>7.89</v>
      </c>
      <c r="E7">
        <v>7.4</v>
      </c>
      <c r="F7">
        <v>6.91</v>
      </c>
      <c r="G7">
        <v>7.16</v>
      </c>
      <c r="H7">
        <v>7.48</v>
      </c>
      <c r="I7">
        <v>7.04</v>
      </c>
      <c r="J7">
        <v>7.26</v>
      </c>
      <c r="K7">
        <v>6.95</v>
      </c>
      <c r="L7">
        <v>6.52</v>
      </c>
      <c r="M7">
        <v>6.74</v>
      </c>
      <c r="N7">
        <v>6.35</v>
      </c>
      <c r="O7">
        <v>5.92</v>
      </c>
      <c r="P7">
        <v>6.14</v>
      </c>
      <c r="Q7">
        <v>5.65</v>
      </c>
      <c r="R7">
        <v>5.27</v>
      </c>
      <c r="S7">
        <v>5.47</v>
      </c>
    </row>
    <row r="8" spans="1:19" x14ac:dyDescent="0.3">
      <c r="A8" t="s">
        <v>36</v>
      </c>
      <c r="B8">
        <v>9.3800000000000008</v>
      </c>
      <c r="C8">
        <v>8.7200000000000006</v>
      </c>
      <c r="D8">
        <v>9.06</v>
      </c>
      <c r="E8">
        <v>7.89</v>
      </c>
      <c r="F8">
        <v>7.36</v>
      </c>
      <c r="G8">
        <v>7.63</v>
      </c>
      <c r="H8">
        <v>7.22</v>
      </c>
      <c r="I8">
        <v>6.75</v>
      </c>
      <c r="J8">
        <v>6.99</v>
      </c>
      <c r="K8">
        <v>7.36</v>
      </c>
      <c r="L8">
        <v>6.91</v>
      </c>
      <c r="M8">
        <v>7.14</v>
      </c>
      <c r="N8">
        <v>6.87</v>
      </c>
      <c r="O8">
        <v>6.43</v>
      </c>
      <c r="P8">
        <v>6.66</v>
      </c>
      <c r="Q8">
        <v>6.31</v>
      </c>
      <c r="R8">
        <v>5.87</v>
      </c>
      <c r="S8">
        <v>6.09</v>
      </c>
    </row>
    <row r="9" spans="1:19" x14ac:dyDescent="0.3">
      <c r="A9" t="s">
        <v>37</v>
      </c>
      <c r="B9">
        <v>10.06</v>
      </c>
      <c r="C9">
        <v>9.4499999999999993</v>
      </c>
      <c r="D9">
        <v>9.76</v>
      </c>
      <c r="E9">
        <v>9.0500000000000007</v>
      </c>
      <c r="F9">
        <v>8.43</v>
      </c>
      <c r="G9">
        <v>8.75</v>
      </c>
      <c r="H9">
        <v>7.7</v>
      </c>
      <c r="I9">
        <v>7.18</v>
      </c>
      <c r="J9">
        <v>7.44</v>
      </c>
      <c r="K9">
        <v>7.1</v>
      </c>
      <c r="L9">
        <v>6.63</v>
      </c>
      <c r="M9">
        <v>6.87</v>
      </c>
      <c r="N9">
        <v>7.27</v>
      </c>
      <c r="O9">
        <v>6.82</v>
      </c>
      <c r="P9">
        <v>7.05</v>
      </c>
      <c r="Q9">
        <v>6.83</v>
      </c>
      <c r="R9">
        <v>6.37</v>
      </c>
      <c r="S9">
        <v>6.6</v>
      </c>
    </row>
    <row r="10" spans="1:19" x14ac:dyDescent="0.3">
      <c r="A10" t="s">
        <v>38</v>
      </c>
      <c r="B10">
        <v>9.77</v>
      </c>
      <c r="C10">
        <v>9.3000000000000007</v>
      </c>
      <c r="D10">
        <v>9.5399999999999991</v>
      </c>
      <c r="E10">
        <v>9.6999999999999993</v>
      </c>
      <c r="F10">
        <v>9.1300000000000008</v>
      </c>
      <c r="G10">
        <v>9.42</v>
      </c>
      <c r="H10">
        <v>8.83</v>
      </c>
      <c r="I10">
        <v>8.2200000000000006</v>
      </c>
      <c r="J10">
        <v>8.5299999999999994</v>
      </c>
      <c r="K10">
        <v>7.56</v>
      </c>
      <c r="L10">
        <v>7.04</v>
      </c>
      <c r="M10">
        <v>7.31</v>
      </c>
      <c r="N10">
        <v>7.01</v>
      </c>
      <c r="O10">
        <v>6.53</v>
      </c>
      <c r="P10">
        <v>6.78</v>
      </c>
      <c r="Q10">
        <v>7.22</v>
      </c>
      <c r="R10">
        <v>6.75</v>
      </c>
      <c r="S10">
        <v>6.99</v>
      </c>
    </row>
    <row r="11" spans="1:19" x14ac:dyDescent="0.3">
      <c r="A11" t="s">
        <v>39</v>
      </c>
      <c r="B11">
        <v>8.01</v>
      </c>
      <c r="C11">
        <v>8.39</v>
      </c>
      <c r="D11">
        <v>8.1999999999999993</v>
      </c>
      <c r="E11">
        <v>9.4</v>
      </c>
      <c r="F11">
        <v>8.9700000000000006</v>
      </c>
      <c r="G11">
        <v>9.19</v>
      </c>
      <c r="H11">
        <v>9.44</v>
      </c>
      <c r="I11">
        <v>8.89</v>
      </c>
      <c r="J11">
        <v>9.17</v>
      </c>
      <c r="K11">
        <v>8.66</v>
      </c>
      <c r="L11">
        <v>8.06</v>
      </c>
      <c r="M11">
        <v>8.3699999999999992</v>
      </c>
      <c r="N11">
        <v>7.46</v>
      </c>
      <c r="O11">
        <v>6.93</v>
      </c>
      <c r="P11">
        <v>7.2</v>
      </c>
      <c r="Q11">
        <v>6.96</v>
      </c>
      <c r="R11">
        <v>6.46</v>
      </c>
      <c r="S11">
        <v>6.72</v>
      </c>
    </row>
    <row r="12" spans="1:19" x14ac:dyDescent="0.3">
      <c r="A12" t="s">
        <v>40</v>
      </c>
      <c r="B12">
        <v>6.53</v>
      </c>
      <c r="C12">
        <v>7.1</v>
      </c>
      <c r="D12">
        <v>6.81</v>
      </c>
      <c r="E12">
        <v>7.69</v>
      </c>
      <c r="F12">
        <v>8.08</v>
      </c>
      <c r="G12">
        <v>7.88</v>
      </c>
      <c r="H12">
        <v>9.1300000000000008</v>
      </c>
      <c r="I12">
        <v>8.7200000000000006</v>
      </c>
      <c r="J12">
        <v>8.93</v>
      </c>
      <c r="K12">
        <v>9.24</v>
      </c>
      <c r="L12">
        <v>8.6999999999999993</v>
      </c>
      <c r="M12">
        <v>8.98</v>
      </c>
      <c r="N12">
        <v>8.5299999999999994</v>
      </c>
      <c r="O12">
        <v>7.93</v>
      </c>
      <c r="P12">
        <v>8.23</v>
      </c>
      <c r="Q12">
        <v>7.4</v>
      </c>
      <c r="R12">
        <v>6.86</v>
      </c>
      <c r="S12">
        <v>7.13</v>
      </c>
    </row>
    <row r="13" spans="1:19" x14ac:dyDescent="0.3">
      <c r="A13" t="s">
        <v>41</v>
      </c>
      <c r="B13">
        <v>5.6</v>
      </c>
      <c r="C13">
        <v>6.01</v>
      </c>
      <c r="D13">
        <v>5.8</v>
      </c>
      <c r="E13">
        <v>6.23</v>
      </c>
      <c r="F13">
        <v>6.8</v>
      </c>
      <c r="G13">
        <v>6.51</v>
      </c>
      <c r="H13">
        <v>7.42</v>
      </c>
      <c r="I13">
        <v>7.82</v>
      </c>
      <c r="J13">
        <v>7.62</v>
      </c>
      <c r="K13">
        <v>8.8800000000000008</v>
      </c>
      <c r="L13">
        <v>8.5</v>
      </c>
      <c r="M13">
        <v>8.6999999999999993</v>
      </c>
      <c r="N13">
        <v>9.0500000000000007</v>
      </c>
      <c r="O13">
        <v>8.5299999999999994</v>
      </c>
      <c r="P13">
        <v>8.8000000000000007</v>
      </c>
      <c r="Q13">
        <v>8.41</v>
      </c>
      <c r="R13">
        <v>7.82</v>
      </c>
      <c r="S13">
        <v>8.1199999999999992</v>
      </c>
    </row>
    <row r="14" spans="1:19" x14ac:dyDescent="0.3">
      <c r="A14" t="s">
        <v>97</v>
      </c>
      <c r="B14">
        <v>5.23</v>
      </c>
      <c r="C14">
        <v>5.61</v>
      </c>
      <c r="D14">
        <v>5.42</v>
      </c>
      <c r="E14">
        <v>5.27</v>
      </c>
      <c r="F14">
        <v>5.72</v>
      </c>
      <c r="G14">
        <v>5.49</v>
      </c>
      <c r="H14">
        <v>5.94</v>
      </c>
      <c r="I14">
        <v>6.54</v>
      </c>
      <c r="J14">
        <v>6.23</v>
      </c>
      <c r="K14">
        <v>7.14</v>
      </c>
      <c r="L14">
        <v>7.58</v>
      </c>
      <c r="M14">
        <v>7.36</v>
      </c>
      <c r="N14">
        <v>8.6199999999999992</v>
      </c>
      <c r="O14">
        <v>8.3000000000000007</v>
      </c>
      <c r="P14">
        <v>8.4600000000000009</v>
      </c>
      <c r="Q14">
        <v>8.86</v>
      </c>
      <c r="R14">
        <v>8.3800000000000008</v>
      </c>
      <c r="S14">
        <v>8.6199999999999992</v>
      </c>
    </row>
    <row r="15" spans="1:19" x14ac:dyDescent="0.3">
      <c r="A15" t="s">
        <v>98</v>
      </c>
      <c r="B15">
        <v>4.33</v>
      </c>
      <c r="C15">
        <v>4.59</v>
      </c>
      <c r="D15">
        <v>4.46</v>
      </c>
      <c r="E15">
        <v>4.82</v>
      </c>
      <c r="F15">
        <v>5.27</v>
      </c>
      <c r="G15">
        <v>5.05</v>
      </c>
      <c r="H15">
        <v>4.93</v>
      </c>
      <c r="I15">
        <v>5.44</v>
      </c>
      <c r="J15">
        <v>5.18</v>
      </c>
      <c r="K15">
        <v>5.62</v>
      </c>
      <c r="L15">
        <v>6.29</v>
      </c>
      <c r="M15">
        <v>5.95</v>
      </c>
      <c r="N15">
        <v>6.82</v>
      </c>
      <c r="O15">
        <v>7.35</v>
      </c>
      <c r="P15">
        <v>7.08</v>
      </c>
      <c r="Q15">
        <v>8.31</v>
      </c>
      <c r="R15">
        <v>8.11</v>
      </c>
      <c r="S15">
        <v>8.2100000000000009</v>
      </c>
    </row>
    <row r="16" spans="1:19" x14ac:dyDescent="0.3">
      <c r="A16" t="s">
        <v>99</v>
      </c>
      <c r="B16">
        <v>3.51</v>
      </c>
      <c r="C16">
        <v>3.79</v>
      </c>
      <c r="D16">
        <v>3.65</v>
      </c>
      <c r="E16">
        <v>3.87</v>
      </c>
      <c r="F16">
        <v>4.24</v>
      </c>
      <c r="G16">
        <v>4.05</v>
      </c>
      <c r="H16">
        <v>4.38</v>
      </c>
      <c r="I16">
        <v>4.9400000000000004</v>
      </c>
      <c r="J16">
        <v>4.6500000000000004</v>
      </c>
      <c r="K16">
        <v>4.53</v>
      </c>
      <c r="L16">
        <v>5.16</v>
      </c>
      <c r="M16">
        <v>4.84</v>
      </c>
      <c r="N16">
        <v>5.23</v>
      </c>
      <c r="O16">
        <v>6.02</v>
      </c>
      <c r="P16">
        <v>5.62</v>
      </c>
      <c r="Q16">
        <v>6.43</v>
      </c>
      <c r="R16">
        <v>7.11</v>
      </c>
      <c r="S16">
        <v>6.76</v>
      </c>
    </row>
    <row r="17" spans="1:19" x14ac:dyDescent="0.3">
      <c r="A17" t="s">
        <v>100</v>
      </c>
      <c r="B17">
        <v>2.57</v>
      </c>
      <c r="C17">
        <v>2.86</v>
      </c>
      <c r="D17">
        <v>2.71</v>
      </c>
      <c r="E17">
        <v>2.98</v>
      </c>
      <c r="F17">
        <v>3.38</v>
      </c>
      <c r="G17">
        <v>3.18</v>
      </c>
      <c r="H17">
        <v>3.35</v>
      </c>
      <c r="I17">
        <v>3.86</v>
      </c>
      <c r="J17">
        <v>3.6</v>
      </c>
      <c r="K17">
        <v>3.85</v>
      </c>
      <c r="L17">
        <v>4.5599999999999996</v>
      </c>
      <c r="M17">
        <v>4.2</v>
      </c>
      <c r="N17">
        <v>4.05</v>
      </c>
      <c r="O17">
        <v>4.83</v>
      </c>
      <c r="P17">
        <v>4.43</v>
      </c>
      <c r="Q17">
        <v>4.74</v>
      </c>
      <c r="R17">
        <v>5.72</v>
      </c>
      <c r="S17">
        <v>5.22</v>
      </c>
    </row>
    <row r="18" spans="1:19" x14ac:dyDescent="0.3">
      <c r="A18" t="s">
        <v>101</v>
      </c>
      <c r="B18">
        <v>1.63</v>
      </c>
      <c r="C18">
        <v>2.15</v>
      </c>
      <c r="D18">
        <v>1.89</v>
      </c>
      <c r="E18">
        <v>2.02</v>
      </c>
      <c r="F18">
        <v>2.4</v>
      </c>
      <c r="G18">
        <v>2.21</v>
      </c>
      <c r="H18">
        <v>2.39</v>
      </c>
      <c r="I18">
        <v>2.91</v>
      </c>
      <c r="J18">
        <v>2.64</v>
      </c>
      <c r="K18">
        <v>2.74</v>
      </c>
      <c r="L18">
        <v>3.39</v>
      </c>
      <c r="M18">
        <v>3.06</v>
      </c>
      <c r="N18">
        <v>3.21</v>
      </c>
      <c r="O18">
        <v>4.09</v>
      </c>
      <c r="P18">
        <v>3.64</v>
      </c>
      <c r="Q18">
        <v>3.43</v>
      </c>
      <c r="R18">
        <v>4.41</v>
      </c>
      <c r="S18">
        <v>3.92</v>
      </c>
    </row>
    <row r="19" spans="1:19" x14ac:dyDescent="0.3">
      <c r="A19" t="s">
        <v>102</v>
      </c>
      <c r="B19">
        <v>1.34</v>
      </c>
      <c r="C19">
        <v>1.73</v>
      </c>
      <c r="D19">
        <v>1.53</v>
      </c>
      <c r="E19">
        <v>1.1200000000000001</v>
      </c>
      <c r="F19">
        <v>1.62</v>
      </c>
      <c r="G19">
        <v>1.37</v>
      </c>
      <c r="H19">
        <v>1.43</v>
      </c>
      <c r="I19">
        <v>1.87</v>
      </c>
      <c r="J19">
        <v>1.64</v>
      </c>
      <c r="K19">
        <v>1.73</v>
      </c>
      <c r="L19">
        <v>2.34</v>
      </c>
      <c r="M19">
        <v>2.0299999999999998</v>
      </c>
      <c r="N19">
        <v>2.04</v>
      </c>
      <c r="O19">
        <v>2.81</v>
      </c>
      <c r="P19">
        <v>2.42</v>
      </c>
      <c r="Q19">
        <v>2.44</v>
      </c>
      <c r="R19">
        <v>3.49</v>
      </c>
      <c r="S19">
        <v>2.96</v>
      </c>
    </row>
    <row r="20" spans="1:19" x14ac:dyDescent="0.3">
      <c r="A20" t="s">
        <v>103</v>
      </c>
      <c r="B20">
        <v>0.84</v>
      </c>
      <c r="C20">
        <v>1.18</v>
      </c>
      <c r="D20">
        <v>1</v>
      </c>
      <c r="E20">
        <v>1</v>
      </c>
      <c r="F20">
        <v>1.5</v>
      </c>
      <c r="G20">
        <v>1.25</v>
      </c>
      <c r="H20">
        <v>0.99</v>
      </c>
      <c r="I20">
        <v>1.64</v>
      </c>
      <c r="J20">
        <v>1.31</v>
      </c>
      <c r="K20">
        <v>1.19</v>
      </c>
      <c r="L20">
        <v>1.96</v>
      </c>
      <c r="M20">
        <v>1.57</v>
      </c>
      <c r="N20">
        <v>1.49</v>
      </c>
      <c r="O20">
        <v>2.54</v>
      </c>
      <c r="P20">
        <v>2</v>
      </c>
      <c r="Q20">
        <v>1.84</v>
      </c>
      <c r="R20">
        <v>3.28</v>
      </c>
      <c r="S20">
        <v>2.5499999999999998</v>
      </c>
    </row>
    <row r="21" spans="1:19" x14ac:dyDescent="0.3">
      <c r="A21" t="s">
        <v>73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</row>
  </sheetData>
  <mergeCells count="6">
    <mergeCell ref="Q2:S2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G38"/>
  <sheetViews>
    <sheetView workbookViewId="0">
      <selection activeCell="Q23" sqref="Q23"/>
    </sheetView>
  </sheetViews>
  <sheetFormatPr defaultRowHeight="14.4" x14ac:dyDescent="0.3"/>
  <cols>
    <col min="1" max="1" width="32.5546875" customWidth="1"/>
  </cols>
  <sheetData>
    <row r="1" spans="1:7" x14ac:dyDescent="0.3">
      <c r="A1" s="2" t="s">
        <v>165</v>
      </c>
      <c r="B1" s="1"/>
      <c r="C1" s="1"/>
      <c r="D1" s="1"/>
      <c r="E1" s="1"/>
      <c r="F1" s="1"/>
      <c r="G1" s="1"/>
    </row>
    <row r="2" spans="1:7" x14ac:dyDescent="0.3">
      <c r="A2" t="s">
        <v>52</v>
      </c>
      <c r="B2">
        <v>2026</v>
      </c>
      <c r="C2">
        <v>2031</v>
      </c>
      <c r="D2">
        <v>2036</v>
      </c>
      <c r="E2">
        <v>2041</v>
      </c>
      <c r="F2">
        <v>2046</v>
      </c>
      <c r="G2">
        <v>2051</v>
      </c>
    </row>
    <row r="3" spans="1:7" x14ac:dyDescent="0.3">
      <c r="A3" t="s">
        <v>166</v>
      </c>
      <c r="B3">
        <v>1.4</v>
      </c>
      <c r="C3">
        <v>1.4</v>
      </c>
      <c r="D3">
        <v>1.4</v>
      </c>
      <c r="E3">
        <v>1.4</v>
      </c>
      <c r="F3">
        <v>1.4</v>
      </c>
      <c r="G3">
        <v>1.4</v>
      </c>
    </row>
    <row r="4" spans="1:7" x14ac:dyDescent="0.3">
      <c r="A4" t="s">
        <v>55</v>
      </c>
      <c r="B4">
        <v>0.68</v>
      </c>
      <c r="C4">
        <v>0.68</v>
      </c>
      <c r="D4">
        <v>0.68</v>
      </c>
      <c r="E4">
        <v>0.68</v>
      </c>
      <c r="F4">
        <v>0.68</v>
      </c>
      <c r="G4">
        <v>0.68</v>
      </c>
    </row>
    <row r="5" spans="1:7" x14ac:dyDescent="0.3">
      <c r="A5" t="s">
        <v>56</v>
      </c>
      <c r="B5">
        <v>0.66</v>
      </c>
      <c r="C5">
        <v>0.66</v>
      </c>
      <c r="D5">
        <v>0.67</v>
      </c>
      <c r="E5">
        <v>0.67</v>
      </c>
      <c r="F5">
        <v>0.67</v>
      </c>
      <c r="G5">
        <v>0.67</v>
      </c>
    </row>
    <row r="6" spans="1:7" x14ac:dyDescent="0.3">
      <c r="A6" t="s">
        <v>57</v>
      </c>
      <c r="B6">
        <v>25.6</v>
      </c>
      <c r="C6">
        <v>25.9</v>
      </c>
      <c r="D6">
        <v>26.2</v>
      </c>
      <c r="E6">
        <v>26.5</v>
      </c>
      <c r="F6">
        <v>26.8</v>
      </c>
      <c r="G6">
        <v>27.1</v>
      </c>
    </row>
    <row r="7" spans="1:7" x14ac:dyDescent="0.3">
      <c r="A7" t="s">
        <v>58</v>
      </c>
      <c r="B7">
        <v>0.21</v>
      </c>
      <c r="C7">
        <v>0.2</v>
      </c>
      <c r="D7">
        <v>0.19</v>
      </c>
      <c r="E7">
        <v>0.18</v>
      </c>
      <c r="F7">
        <v>0.18</v>
      </c>
      <c r="G7">
        <v>0.19</v>
      </c>
    </row>
    <row r="8" spans="1:7" x14ac:dyDescent="0.3">
      <c r="A8" t="s">
        <v>59</v>
      </c>
    </row>
    <row r="9" spans="1:7" x14ac:dyDescent="0.3">
      <c r="A9" t="s">
        <v>60</v>
      </c>
      <c r="B9">
        <v>71</v>
      </c>
      <c r="C9">
        <v>72.7</v>
      </c>
      <c r="D9">
        <v>74.400000000000006</v>
      </c>
      <c r="E9">
        <v>75.8</v>
      </c>
      <c r="F9">
        <v>77.2</v>
      </c>
      <c r="G9">
        <v>78.5</v>
      </c>
    </row>
    <row r="10" spans="1:7" x14ac:dyDescent="0.3">
      <c r="A10" t="s">
        <v>61</v>
      </c>
      <c r="B10">
        <v>74.400000000000006</v>
      </c>
      <c r="C10">
        <v>76.2</v>
      </c>
      <c r="D10">
        <v>77.8</v>
      </c>
      <c r="E10">
        <v>79.7</v>
      </c>
      <c r="F10">
        <v>81</v>
      </c>
      <c r="G10">
        <v>82.3</v>
      </c>
    </row>
    <row r="11" spans="1:7" x14ac:dyDescent="0.3">
      <c r="A11" t="s">
        <v>62</v>
      </c>
      <c r="B11">
        <v>72.7</v>
      </c>
      <c r="C11">
        <v>74.400000000000006</v>
      </c>
      <c r="D11">
        <v>76.099999999999994</v>
      </c>
      <c r="E11">
        <v>77.7</v>
      </c>
      <c r="F11">
        <v>79.099999999999994</v>
      </c>
      <c r="G11">
        <v>80.400000000000006</v>
      </c>
    </row>
    <row r="12" spans="1:7" x14ac:dyDescent="0.3">
      <c r="A12" t="s">
        <v>63</v>
      </c>
      <c r="B12">
        <v>21.1</v>
      </c>
      <c r="C12">
        <v>16.899999999999999</v>
      </c>
      <c r="D12">
        <v>13.6</v>
      </c>
      <c r="E12">
        <v>11</v>
      </c>
      <c r="F12">
        <v>9.4</v>
      </c>
      <c r="G12">
        <v>8.1</v>
      </c>
    </row>
    <row r="13" spans="1:7" x14ac:dyDescent="0.3">
      <c r="A13" t="s">
        <v>64</v>
      </c>
      <c r="B13">
        <v>24.7</v>
      </c>
      <c r="C13">
        <v>19.7</v>
      </c>
      <c r="D13">
        <v>15.7</v>
      </c>
      <c r="E13">
        <v>12.7</v>
      </c>
      <c r="F13">
        <v>10.9</v>
      </c>
      <c r="G13">
        <v>9.4</v>
      </c>
    </row>
    <row r="14" spans="1:7" x14ac:dyDescent="0.3">
      <c r="A14" t="s">
        <v>108</v>
      </c>
    </row>
    <row r="15" spans="1:7" x14ac:dyDescent="0.3">
      <c r="A15" t="s">
        <v>74</v>
      </c>
      <c r="B15">
        <v>6344</v>
      </c>
      <c r="C15">
        <v>7546</v>
      </c>
      <c r="D15">
        <v>8635</v>
      </c>
      <c r="E15">
        <v>9554</v>
      </c>
      <c r="F15">
        <v>10282</v>
      </c>
      <c r="G15">
        <v>10831</v>
      </c>
    </row>
    <row r="16" spans="1:7" x14ac:dyDescent="0.3">
      <c r="A16" t="s">
        <v>75</v>
      </c>
      <c r="B16">
        <v>1932</v>
      </c>
      <c r="C16">
        <v>1892</v>
      </c>
      <c r="D16">
        <v>1875</v>
      </c>
      <c r="E16">
        <v>1868</v>
      </c>
      <c r="F16">
        <v>1865</v>
      </c>
      <c r="G16">
        <v>1863</v>
      </c>
    </row>
    <row r="17" spans="1:7" x14ac:dyDescent="0.3">
      <c r="A17" t="s">
        <v>73</v>
      </c>
      <c r="B17">
        <v>8276</v>
      </c>
      <c r="C17">
        <v>9438</v>
      </c>
      <c r="D17">
        <v>10510</v>
      </c>
      <c r="E17">
        <v>11422</v>
      </c>
      <c r="F17">
        <v>12147</v>
      </c>
      <c r="G17">
        <v>12694</v>
      </c>
    </row>
    <row r="18" spans="1:7" x14ac:dyDescent="0.3">
      <c r="A18" t="s">
        <v>65</v>
      </c>
    </row>
    <row r="19" spans="1:7" x14ac:dyDescent="0.3">
      <c r="A19" t="s">
        <v>66</v>
      </c>
      <c r="B19">
        <v>11.6</v>
      </c>
      <c r="C19">
        <v>10.6</v>
      </c>
      <c r="D19">
        <v>9.5</v>
      </c>
      <c r="E19">
        <v>8.6999999999999993</v>
      </c>
      <c r="F19">
        <v>8.1</v>
      </c>
      <c r="G19">
        <v>7.7</v>
      </c>
    </row>
    <row r="20" spans="1:7" x14ac:dyDescent="0.3">
      <c r="A20" t="s">
        <v>167</v>
      </c>
      <c r="B20">
        <v>7.4</v>
      </c>
      <c r="C20">
        <v>7.6</v>
      </c>
      <c r="D20">
        <v>7.9</v>
      </c>
      <c r="E20">
        <v>8.4</v>
      </c>
      <c r="F20">
        <v>9.1</v>
      </c>
      <c r="G20">
        <v>9.9</v>
      </c>
    </row>
    <row r="21" spans="1:7" x14ac:dyDescent="0.3">
      <c r="A21" t="s">
        <v>145</v>
      </c>
      <c r="B21">
        <v>0.41</v>
      </c>
      <c r="C21">
        <v>0.28999999999999998</v>
      </c>
      <c r="D21">
        <v>0.16</v>
      </c>
      <c r="E21">
        <v>0.03</v>
      </c>
      <c r="F21">
        <v>-0.1</v>
      </c>
      <c r="G21">
        <v>-0.22</v>
      </c>
    </row>
    <row r="22" spans="1:7" x14ac:dyDescent="0.3">
      <c r="A22" t="s">
        <v>69</v>
      </c>
    </row>
    <row r="23" spans="1:7" x14ac:dyDescent="0.3">
      <c r="A23" t="s">
        <v>70</v>
      </c>
      <c r="B23">
        <v>1.1599999999999999</v>
      </c>
      <c r="C23">
        <v>1.08</v>
      </c>
      <c r="D23">
        <v>0.98</v>
      </c>
      <c r="E23">
        <v>0.9</v>
      </c>
      <c r="F23">
        <v>0.84</v>
      </c>
      <c r="G23">
        <v>0.79</v>
      </c>
    </row>
    <row r="24" spans="1:7" x14ac:dyDescent="0.3">
      <c r="A24" t="s">
        <v>71</v>
      </c>
      <c r="B24">
        <v>0.75</v>
      </c>
      <c r="C24">
        <v>0.78</v>
      </c>
      <c r="D24">
        <v>0.82</v>
      </c>
      <c r="E24">
        <v>0.87</v>
      </c>
      <c r="F24">
        <v>0.94</v>
      </c>
      <c r="G24">
        <v>1.02</v>
      </c>
    </row>
    <row r="25" spans="1:7" x14ac:dyDescent="0.3">
      <c r="A25" t="s">
        <v>72</v>
      </c>
    </row>
    <row r="26" spans="1:7" x14ac:dyDescent="0.3">
      <c r="A26" t="s">
        <v>73</v>
      </c>
      <c r="B26">
        <v>100.5</v>
      </c>
      <c r="C26">
        <v>102.3</v>
      </c>
      <c r="D26">
        <v>103.5</v>
      </c>
      <c r="E26">
        <v>103.9</v>
      </c>
      <c r="F26">
        <v>103.7</v>
      </c>
      <c r="G26">
        <v>102.9</v>
      </c>
    </row>
    <row r="27" spans="1:7" x14ac:dyDescent="0.3">
      <c r="A27" t="s">
        <v>74</v>
      </c>
      <c r="B27">
        <v>51.2</v>
      </c>
      <c r="C27">
        <v>52</v>
      </c>
      <c r="D27">
        <v>52.4</v>
      </c>
      <c r="E27">
        <v>52.4</v>
      </c>
      <c r="F27">
        <v>52.1</v>
      </c>
      <c r="G27">
        <v>51.6</v>
      </c>
    </row>
    <row r="28" spans="1:7" x14ac:dyDescent="0.3">
      <c r="A28" t="s">
        <v>75</v>
      </c>
      <c r="B28">
        <v>49.3</v>
      </c>
      <c r="C28">
        <v>50.3</v>
      </c>
      <c r="D28">
        <v>51.1</v>
      </c>
      <c r="E28">
        <v>51.5</v>
      </c>
      <c r="F28">
        <v>51.6</v>
      </c>
      <c r="G28">
        <v>51.3</v>
      </c>
    </row>
    <row r="29" spans="1:7" x14ac:dyDescent="0.3">
      <c r="A29" t="s">
        <v>76</v>
      </c>
      <c r="B29">
        <v>5.8</v>
      </c>
      <c r="C29">
        <v>5.3</v>
      </c>
      <c r="D29">
        <v>4.9000000000000004</v>
      </c>
      <c r="E29">
        <v>4.5</v>
      </c>
      <c r="F29">
        <v>4.0999999999999996</v>
      </c>
      <c r="G29">
        <v>3.9</v>
      </c>
    </row>
    <row r="30" spans="1:7" x14ac:dyDescent="0.3">
      <c r="A30" t="s">
        <v>77</v>
      </c>
      <c r="B30">
        <v>12.7</v>
      </c>
      <c r="C30">
        <v>11.7</v>
      </c>
      <c r="D30">
        <v>10.9</v>
      </c>
      <c r="E30">
        <v>10.1</v>
      </c>
      <c r="F30">
        <v>9.3000000000000007</v>
      </c>
      <c r="G30">
        <v>8.6999999999999993</v>
      </c>
    </row>
    <row r="31" spans="1:7" x14ac:dyDescent="0.3">
      <c r="A31" t="s">
        <v>78</v>
      </c>
      <c r="B31">
        <v>15.4</v>
      </c>
      <c r="C31">
        <v>13.5</v>
      </c>
      <c r="D31">
        <v>12.3</v>
      </c>
      <c r="E31">
        <v>11.5</v>
      </c>
      <c r="F31">
        <v>10.8</v>
      </c>
      <c r="G31">
        <v>10.199999999999999</v>
      </c>
    </row>
    <row r="32" spans="1:7" x14ac:dyDescent="0.3">
      <c r="A32" t="s">
        <v>79</v>
      </c>
      <c r="B32">
        <v>56.3</v>
      </c>
      <c r="C32">
        <v>54.9</v>
      </c>
      <c r="D32">
        <v>52.6</v>
      </c>
      <c r="E32">
        <v>49.6</v>
      </c>
      <c r="F32">
        <v>46.3</v>
      </c>
      <c r="G32">
        <v>42.8</v>
      </c>
    </row>
    <row r="33" spans="1:7" x14ac:dyDescent="0.3">
      <c r="A33" t="s">
        <v>80</v>
      </c>
      <c r="B33">
        <v>68.599999999999994</v>
      </c>
      <c r="C33">
        <v>67.599999999999994</v>
      </c>
      <c r="D33">
        <v>66</v>
      </c>
      <c r="E33">
        <v>64.7</v>
      </c>
      <c r="F33">
        <v>62.5</v>
      </c>
      <c r="G33">
        <v>59.7</v>
      </c>
    </row>
    <row r="34" spans="1:7" x14ac:dyDescent="0.3">
      <c r="A34" t="s">
        <v>81</v>
      </c>
      <c r="B34">
        <v>13</v>
      </c>
      <c r="C34">
        <v>15.4</v>
      </c>
      <c r="D34">
        <v>18.3</v>
      </c>
      <c r="E34">
        <v>20.7</v>
      </c>
      <c r="F34">
        <v>24</v>
      </c>
      <c r="G34">
        <v>27.8</v>
      </c>
    </row>
    <row r="35" spans="1:7" x14ac:dyDescent="0.3">
      <c r="A35" t="s">
        <v>82</v>
      </c>
      <c r="B35">
        <v>56.2</v>
      </c>
      <c r="C35">
        <v>54.6</v>
      </c>
      <c r="D35">
        <v>52</v>
      </c>
      <c r="E35">
        <v>48.7</v>
      </c>
      <c r="F35">
        <v>45.5</v>
      </c>
      <c r="G35">
        <v>41.9</v>
      </c>
    </row>
    <row r="36" spans="1:7" x14ac:dyDescent="0.3">
      <c r="A36" t="s">
        <v>83</v>
      </c>
      <c r="B36">
        <v>103.9</v>
      </c>
      <c r="C36">
        <v>103.2</v>
      </c>
      <c r="D36">
        <v>102.5</v>
      </c>
      <c r="E36">
        <v>101.8</v>
      </c>
      <c r="F36">
        <v>101</v>
      </c>
      <c r="G36">
        <v>100.5</v>
      </c>
    </row>
    <row r="37" spans="1:7" x14ac:dyDescent="0.3">
      <c r="A37" t="s">
        <v>84</v>
      </c>
      <c r="B37">
        <v>45.8</v>
      </c>
      <c r="C37">
        <v>45.9</v>
      </c>
      <c r="D37">
        <v>48</v>
      </c>
      <c r="E37">
        <v>51.5</v>
      </c>
      <c r="F37">
        <v>54.5</v>
      </c>
      <c r="G37">
        <v>59.9</v>
      </c>
    </row>
    <row r="38" spans="1:7" x14ac:dyDescent="0.3">
      <c r="A38" t="s">
        <v>85</v>
      </c>
      <c r="B38">
        <v>34</v>
      </c>
      <c r="C38">
        <v>37</v>
      </c>
      <c r="D38">
        <v>39</v>
      </c>
      <c r="E38">
        <v>42</v>
      </c>
      <c r="F38">
        <v>44</v>
      </c>
      <c r="G38">
        <v>47</v>
      </c>
    </row>
  </sheetData>
  <phoneticPr fontId="2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S21"/>
  <sheetViews>
    <sheetView workbookViewId="0">
      <selection activeCell="L22" sqref="L22"/>
    </sheetView>
  </sheetViews>
  <sheetFormatPr defaultRowHeight="14.4" x14ac:dyDescent="0.3"/>
  <sheetData>
    <row r="1" spans="1:19" x14ac:dyDescent="0.3">
      <c r="A1" s="2" t="s">
        <v>168</v>
      </c>
      <c r="B1" s="1"/>
      <c r="C1" s="1"/>
      <c r="D1" s="1"/>
      <c r="E1" s="1"/>
      <c r="F1" s="1"/>
      <c r="G1" s="1"/>
      <c r="H1" s="1"/>
      <c r="I1" s="1"/>
      <c r="J1" s="1"/>
    </row>
    <row r="2" spans="1:19" x14ac:dyDescent="0.3">
      <c r="A2" t="s">
        <v>93</v>
      </c>
      <c r="B2" s="34">
        <v>2026</v>
      </c>
      <c r="C2" s="34"/>
      <c r="D2" s="34"/>
      <c r="E2" s="34">
        <v>2031</v>
      </c>
      <c r="F2" s="34"/>
      <c r="G2" s="34"/>
      <c r="H2" s="34">
        <v>2036</v>
      </c>
      <c r="I2" s="34"/>
      <c r="J2" s="34"/>
      <c r="K2" s="37">
        <v>2041</v>
      </c>
      <c r="L2" s="37"/>
      <c r="M2" s="37"/>
      <c r="N2" s="37">
        <v>2046</v>
      </c>
      <c r="O2" s="37"/>
      <c r="P2" s="37"/>
      <c r="Q2" s="37">
        <v>2051</v>
      </c>
      <c r="R2" s="37"/>
      <c r="S2" s="37"/>
    </row>
    <row r="3" spans="1:19" x14ac:dyDescent="0.3">
      <c r="B3" t="s">
        <v>16</v>
      </c>
      <c r="C3" t="s">
        <v>46</v>
      </c>
      <c r="D3" t="s">
        <v>91</v>
      </c>
      <c r="E3" t="s">
        <v>16</v>
      </c>
      <c r="F3" t="s">
        <v>46</v>
      </c>
      <c r="G3" t="s">
        <v>91</v>
      </c>
      <c r="H3" t="s">
        <v>16</v>
      </c>
      <c r="I3" t="s">
        <v>46</v>
      </c>
      <c r="J3" t="s">
        <v>91</v>
      </c>
      <c r="K3" t="s">
        <v>16</v>
      </c>
      <c r="L3" t="s">
        <v>46</v>
      </c>
      <c r="M3" t="s">
        <v>91</v>
      </c>
      <c r="N3" t="s">
        <v>16</v>
      </c>
      <c r="O3" t="s">
        <v>46</v>
      </c>
      <c r="P3" t="s">
        <v>91</v>
      </c>
      <c r="Q3" t="s">
        <v>16</v>
      </c>
      <c r="R3" t="s">
        <v>46</v>
      </c>
      <c r="S3" t="s">
        <v>91</v>
      </c>
    </row>
    <row r="4" spans="1:19" x14ac:dyDescent="0.3">
      <c r="A4" t="s">
        <v>94</v>
      </c>
      <c r="B4">
        <v>5.79</v>
      </c>
      <c r="C4">
        <v>5.74</v>
      </c>
      <c r="D4">
        <v>5.76</v>
      </c>
      <c r="E4">
        <v>5.38</v>
      </c>
      <c r="F4">
        <v>5.31</v>
      </c>
      <c r="G4">
        <v>5.34</v>
      </c>
      <c r="H4">
        <v>4.92</v>
      </c>
      <c r="I4">
        <v>4.8099999999999996</v>
      </c>
      <c r="J4">
        <v>4.8600000000000003</v>
      </c>
      <c r="K4">
        <v>4.5199999999999996</v>
      </c>
      <c r="L4">
        <v>4.38</v>
      </c>
      <c r="M4">
        <v>4.45</v>
      </c>
      <c r="N4">
        <v>4.21</v>
      </c>
      <c r="O4">
        <v>4.0599999999999996</v>
      </c>
      <c r="P4">
        <v>4.1399999999999997</v>
      </c>
      <c r="Q4">
        <v>3.99</v>
      </c>
      <c r="R4">
        <v>3.82</v>
      </c>
      <c r="S4">
        <v>3.9</v>
      </c>
    </row>
    <row r="5" spans="1:19" x14ac:dyDescent="0.3">
      <c r="A5" t="s">
        <v>95</v>
      </c>
      <c r="B5">
        <v>6.16</v>
      </c>
      <c r="C5">
        <v>6.11</v>
      </c>
      <c r="D5">
        <v>6.14</v>
      </c>
      <c r="E5">
        <v>5.68</v>
      </c>
      <c r="F5">
        <v>5.61</v>
      </c>
      <c r="G5">
        <v>5.65</v>
      </c>
      <c r="H5">
        <v>5.33</v>
      </c>
      <c r="I5">
        <v>5.22</v>
      </c>
      <c r="J5">
        <v>5.27</v>
      </c>
      <c r="K5">
        <v>4.91</v>
      </c>
      <c r="L5">
        <v>4.76</v>
      </c>
      <c r="M5">
        <v>4.83</v>
      </c>
      <c r="N5">
        <v>4.53</v>
      </c>
      <c r="O5">
        <v>4.3600000000000003</v>
      </c>
      <c r="P5">
        <v>4.45</v>
      </c>
      <c r="Q5">
        <v>4.26</v>
      </c>
      <c r="R5">
        <v>4.07</v>
      </c>
      <c r="S5">
        <v>4.16</v>
      </c>
    </row>
    <row r="6" spans="1:19" x14ac:dyDescent="0.3">
      <c r="A6" t="s">
        <v>96</v>
      </c>
      <c r="B6">
        <v>6.56</v>
      </c>
      <c r="C6">
        <v>6.49</v>
      </c>
      <c r="D6">
        <v>6.53</v>
      </c>
      <c r="E6">
        <v>6.06</v>
      </c>
      <c r="F6">
        <v>5.98</v>
      </c>
      <c r="G6">
        <v>6.02</v>
      </c>
      <c r="H6">
        <v>5.63</v>
      </c>
      <c r="I6">
        <v>5.52</v>
      </c>
      <c r="J6">
        <v>5.58</v>
      </c>
      <c r="K6">
        <v>5.32</v>
      </c>
      <c r="L6">
        <v>5.17</v>
      </c>
      <c r="M6">
        <v>5.25</v>
      </c>
      <c r="N6">
        <v>4.93</v>
      </c>
      <c r="O6">
        <v>4.75</v>
      </c>
      <c r="P6">
        <v>4.84</v>
      </c>
      <c r="Q6">
        <v>4.58</v>
      </c>
      <c r="R6">
        <v>4.38</v>
      </c>
      <c r="S6">
        <v>4.4800000000000004</v>
      </c>
    </row>
    <row r="7" spans="1:19" x14ac:dyDescent="0.3">
      <c r="A7" t="s">
        <v>35</v>
      </c>
      <c r="B7">
        <v>7.25</v>
      </c>
      <c r="C7">
        <v>7.22</v>
      </c>
      <c r="D7">
        <v>7.24</v>
      </c>
      <c r="E7">
        <v>6.45</v>
      </c>
      <c r="F7">
        <v>6.35</v>
      </c>
      <c r="G7">
        <v>6.4</v>
      </c>
      <c r="H7">
        <v>6.01</v>
      </c>
      <c r="I7">
        <v>5.88</v>
      </c>
      <c r="J7">
        <v>5.95</v>
      </c>
      <c r="K7">
        <v>5.62</v>
      </c>
      <c r="L7">
        <v>5.47</v>
      </c>
      <c r="M7">
        <v>5.55</v>
      </c>
      <c r="N7">
        <v>5.34</v>
      </c>
      <c r="O7">
        <v>5.16</v>
      </c>
      <c r="P7">
        <v>5.25</v>
      </c>
      <c r="Q7">
        <v>4.9800000000000004</v>
      </c>
      <c r="R7">
        <v>4.7699999999999996</v>
      </c>
      <c r="S7">
        <v>4.88</v>
      </c>
    </row>
    <row r="8" spans="1:19" x14ac:dyDescent="0.3">
      <c r="A8" t="s">
        <v>36</v>
      </c>
      <c r="B8">
        <v>8.16</v>
      </c>
      <c r="C8">
        <v>8.1199999999999992</v>
      </c>
      <c r="D8">
        <v>8.14</v>
      </c>
      <c r="E8">
        <v>7.12</v>
      </c>
      <c r="F8">
        <v>7.06</v>
      </c>
      <c r="G8">
        <v>7.09</v>
      </c>
      <c r="H8">
        <v>6.39</v>
      </c>
      <c r="I8">
        <v>6.24</v>
      </c>
      <c r="J8">
        <v>6.32</v>
      </c>
      <c r="K8">
        <v>5.99</v>
      </c>
      <c r="L8">
        <v>5.83</v>
      </c>
      <c r="M8">
        <v>5.91</v>
      </c>
      <c r="N8">
        <v>5.65</v>
      </c>
      <c r="O8">
        <v>5.45</v>
      </c>
      <c r="P8">
        <v>5.55</v>
      </c>
      <c r="Q8">
        <v>5.4</v>
      </c>
      <c r="R8">
        <v>5.18</v>
      </c>
      <c r="S8">
        <v>5.29</v>
      </c>
    </row>
    <row r="9" spans="1:19" x14ac:dyDescent="0.3">
      <c r="A9" t="s">
        <v>37</v>
      </c>
      <c r="B9">
        <v>9.0299999999999994</v>
      </c>
      <c r="C9">
        <v>9</v>
      </c>
      <c r="D9">
        <v>9.02</v>
      </c>
      <c r="E9">
        <v>8.02</v>
      </c>
      <c r="F9">
        <v>7.93</v>
      </c>
      <c r="G9">
        <v>7.97</v>
      </c>
      <c r="H9">
        <v>7.05</v>
      </c>
      <c r="I9">
        <v>6.94</v>
      </c>
      <c r="J9">
        <v>6.99</v>
      </c>
      <c r="K9">
        <v>6.37</v>
      </c>
      <c r="L9">
        <v>6.18</v>
      </c>
      <c r="M9">
        <v>6.28</v>
      </c>
      <c r="N9">
        <v>6.02</v>
      </c>
      <c r="O9">
        <v>5.81</v>
      </c>
      <c r="P9">
        <v>5.91</v>
      </c>
      <c r="Q9">
        <v>5.71</v>
      </c>
      <c r="R9">
        <v>5.48</v>
      </c>
      <c r="S9">
        <v>5.59</v>
      </c>
    </row>
    <row r="10" spans="1:19" x14ac:dyDescent="0.3">
      <c r="A10" t="s">
        <v>38</v>
      </c>
      <c r="B10">
        <v>9.06</v>
      </c>
      <c r="C10">
        <v>8.7200000000000006</v>
      </c>
      <c r="D10">
        <v>8.89</v>
      </c>
      <c r="E10">
        <v>8.8699999999999992</v>
      </c>
      <c r="F10">
        <v>8.7799999999999994</v>
      </c>
      <c r="G10">
        <v>8.82</v>
      </c>
      <c r="H10">
        <v>7.94</v>
      </c>
      <c r="I10">
        <v>7.79</v>
      </c>
      <c r="J10">
        <v>7.86</v>
      </c>
      <c r="K10">
        <v>7.03</v>
      </c>
      <c r="L10">
        <v>6.86</v>
      </c>
      <c r="M10">
        <v>6.95</v>
      </c>
      <c r="N10">
        <v>6.4</v>
      </c>
      <c r="O10">
        <v>6.16</v>
      </c>
      <c r="P10">
        <v>6.28</v>
      </c>
      <c r="Q10">
        <v>6.09</v>
      </c>
      <c r="R10">
        <v>5.83</v>
      </c>
      <c r="S10">
        <v>5.96</v>
      </c>
    </row>
    <row r="11" spans="1:19" x14ac:dyDescent="0.3">
      <c r="A11" t="s">
        <v>39</v>
      </c>
      <c r="B11">
        <v>8.5</v>
      </c>
      <c r="C11">
        <v>8.65</v>
      </c>
      <c r="D11">
        <v>8.58</v>
      </c>
      <c r="E11">
        <v>8.8800000000000008</v>
      </c>
      <c r="F11">
        <v>8.5</v>
      </c>
      <c r="G11">
        <v>8.69</v>
      </c>
      <c r="H11">
        <v>8.77</v>
      </c>
      <c r="I11">
        <v>8.6199999999999992</v>
      </c>
      <c r="J11">
        <v>8.69</v>
      </c>
      <c r="K11">
        <v>7.91</v>
      </c>
      <c r="L11">
        <v>7.7</v>
      </c>
      <c r="M11">
        <v>7.81</v>
      </c>
      <c r="N11">
        <v>7.06</v>
      </c>
      <c r="O11">
        <v>6.83</v>
      </c>
      <c r="P11">
        <v>6.95</v>
      </c>
      <c r="Q11">
        <v>6.47</v>
      </c>
      <c r="R11">
        <v>6.18</v>
      </c>
      <c r="S11">
        <v>6.32</v>
      </c>
    </row>
    <row r="12" spans="1:19" x14ac:dyDescent="0.3">
      <c r="A12" t="s">
        <v>40</v>
      </c>
      <c r="B12">
        <v>7.74</v>
      </c>
      <c r="C12">
        <v>7.85</v>
      </c>
      <c r="D12">
        <v>7.79</v>
      </c>
      <c r="E12">
        <v>8.32</v>
      </c>
      <c r="F12">
        <v>8.41</v>
      </c>
      <c r="G12">
        <v>8.36</v>
      </c>
      <c r="H12">
        <v>8.76</v>
      </c>
      <c r="I12">
        <v>8.33</v>
      </c>
      <c r="J12">
        <v>8.5500000000000007</v>
      </c>
      <c r="K12">
        <v>8.7200000000000006</v>
      </c>
      <c r="L12">
        <v>8.5</v>
      </c>
      <c r="M12">
        <v>8.61</v>
      </c>
      <c r="N12">
        <v>7.93</v>
      </c>
      <c r="O12">
        <v>7.66</v>
      </c>
      <c r="P12">
        <v>7.79</v>
      </c>
      <c r="Q12">
        <v>7.12</v>
      </c>
      <c r="R12">
        <v>6.85</v>
      </c>
      <c r="S12">
        <v>6.98</v>
      </c>
    </row>
    <row r="13" spans="1:19" x14ac:dyDescent="0.3">
      <c r="A13" t="s">
        <v>41</v>
      </c>
      <c r="B13">
        <v>6.56</v>
      </c>
      <c r="C13">
        <v>6.65</v>
      </c>
      <c r="D13">
        <v>6.6</v>
      </c>
      <c r="E13">
        <v>7.53</v>
      </c>
      <c r="F13">
        <v>7.6</v>
      </c>
      <c r="G13">
        <v>7.57</v>
      </c>
      <c r="H13">
        <v>8.16</v>
      </c>
      <c r="I13">
        <v>8.2100000000000009</v>
      </c>
      <c r="J13">
        <v>8.19</v>
      </c>
      <c r="K13">
        <v>8.68</v>
      </c>
      <c r="L13">
        <v>8.1999999999999993</v>
      </c>
      <c r="M13">
        <v>8.44</v>
      </c>
      <c r="N13">
        <v>8.7100000000000009</v>
      </c>
      <c r="O13">
        <v>8.44</v>
      </c>
      <c r="P13">
        <v>8.57</v>
      </c>
      <c r="Q13">
        <v>7.97</v>
      </c>
      <c r="R13">
        <v>7.66</v>
      </c>
      <c r="S13">
        <v>7.81</v>
      </c>
    </row>
    <row r="14" spans="1:19" x14ac:dyDescent="0.3">
      <c r="A14" t="s">
        <v>97</v>
      </c>
      <c r="B14">
        <v>6.53</v>
      </c>
      <c r="C14">
        <v>6.76</v>
      </c>
      <c r="D14">
        <v>6.64</v>
      </c>
      <c r="E14">
        <v>6.32</v>
      </c>
      <c r="F14">
        <v>6.4</v>
      </c>
      <c r="G14">
        <v>6.35</v>
      </c>
      <c r="H14">
        <v>7.33</v>
      </c>
      <c r="I14">
        <v>7.38</v>
      </c>
      <c r="J14">
        <v>7.35</v>
      </c>
      <c r="K14">
        <v>8.0299999999999994</v>
      </c>
      <c r="L14">
        <v>8.0500000000000007</v>
      </c>
      <c r="M14">
        <v>8.0399999999999991</v>
      </c>
      <c r="N14">
        <v>8.61</v>
      </c>
      <c r="O14">
        <v>8.1</v>
      </c>
      <c r="P14">
        <v>8.35</v>
      </c>
      <c r="Q14">
        <v>8.6999999999999993</v>
      </c>
      <c r="R14">
        <v>8.41</v>
      </c>
      <c r="S14">
        <v>8.5500000000000007</v>
      </c>
    </row>
    <row r="15" spans="1:19" x14ac:dyDescent="0.3">
      <c r="A15" t="s">
        <v>98</v>
      </c>
      <c r="B15">
        <v>5.74</v>
      </c>
      <c r="C15">
        <v>5.55</v>
      </c>
      <c r="D15">
        <v>5.65</v>
      </c>
      <c r="E15">
        <v>6.17</v>
      </c>
      <c r="F15">
        <v>6.45</v>
      </c>
      <c r="G15">
        <v>6.31</v>
      </c>
      <c r="H15">
        <v>6.05</v>
      </c>
      <c r="I15">
        <v>6.16</v>
      </c>
      <c r="J15">
        <v>6.1</v>
      </c>
      <c r="K15">
        <v>7.11</v>
      </c>
      <c r="L15">
        <v>7.18</v>
      </c>
      <c r="M15">
        <v>7.14</v>
      </c>
      <c r="N15">
        <v>7.86</v>
      </c>
      <c r="O15">
        <v>7.91</v>
      </c>
      <c r="P15">
        <v>7.89</v>
      </c>
      <c r="Q15">
        <v>8.51</v>
      </c>
      <c r="R15">
        <v>8.0299999999999994</v>
      </c>
      <c r="S15">
        <v>8.27</v>
      </c>
    </row>
    <row r="16" spans="1:19" x14ac:dyDescent="0.3">
      <c r="A16" t="s">
        <v>99</v>
      </c>
      <c r="B16">
        <v>4.72</v>
      </c>
      <c r="C16">
        <v>4.5999999999999996</v>
      </c>
      <c r="D16">
        <v>4.66</v>
      </c>
      <c r="E16">
        <v>5.29</v>
      </c>
      <c r="F16">
        <v>5.21</v>
      </c>
      <c r="G16">
        <v>5.25</v>
      </c>
      <c r="H16">
        <v>5.77</v>
      </c>
      <c r="I16">
        <v>6.13</v>
      </c>
      <c r="J16">
        <v>5.95</v>
      </c>
      <c r="K16">
        <v>5.74</v>
      </c>
      <c r="L16">
        <v>5.93</v>
      </c>
      <c r="M16">
        <v>5.83</v>
      </c>
      <c r="N16">
        <v>6.83</v>
      </c>
      <c r="O16">
        <v>7</v>
      </c>
      <c r="P16">
        <v>6.91</v>
      </c>
      <c r="Q16">
        <v>7.64</v>
      </c>
      <c r="R16">
        <v>7.78</v>
      </c>
      <c r="S16">
        <v>7.71</v>
      </c>
    </row>
    <row r="17" spans="1:19" x14ac:dyDescent="0.3">
      <c r="A17" t="s">
        <v>100</v>
      </c>
      <c r="B17">
        <v>3.53</v>
      </c>
      <c r="C17">
        <v>3.32</v>
      </c>
      <c r="D17">
        <v>3.43</v>
      </c>
      <c r="E17">
        <v>4.17</v>
      </c>
      <c r="F17">
        <v>4.1900000000000004</v>
      </c>
      <c r="G17">
        <v>4.18</v>
      </c>
      <c r="H17">
        <v>4.75</v>
      </c>
      <c r="I17">
        <v>4.83</v>
      </c>
      <c r="J17">
        <v>4.79</v>
      </c>
      <c r="K17">
        <v>5.27</v>
      </c>
      <c r="L17">
        <v>5.77</v>
      </c>
      <c r="M17">
        <v>5.52</v>
      </c>
      <c r="N17">
        <v>5.34</v>
      </c>
      <c r="O17">
        <v>5.67</v>
      </c>
      <c r="P17">
        <v>5.5</v>
      </c>
      <c r="Q17">
        <v>6.46</v>
      </c>
      <c r="R17">
        <v>6.78</v>
      </c>
      <c r="S17">
        <v>6.62</v>
      </c>
    </row>
    <row r="18" spans="1:19" x14ac:dyDescent="0.3">
      <c r="A18" t="s">
        <v>101</v>
      </c>
      <c r="B18">
        <v>2.2799999999999998</v>
      </c>
      <c r="C18">
        <v>2.31</v>
      </c>
      <c r="D18">
        <v>2.2999999999999998</v>
      </c>
      <c r="E18">
        <v>2.9</v>
      </c>
      <c r="F18">
        <v>2.86</v>
      </c>
      <c r="G18">
        <v>2.88</v>
      </c>
      <c r="H18">
        <v>3.5</v>
      </c>
      <c r="I18">
        <v>3.7</v>
      </c>
      <c r="J18">
        <v>3.6</v>
      </c>
      <c r="K18">
        <v>4.08</v>
      </c>
      <c r="L18">
        <v>4.37</v>
      </c>
      <c r="M18">
        <v>4.22</v>
      </c>
      <c r="N18">
        <v>4.6399999999999997</v>
      </c>
      <c r="O18">
        <v>5.32</v>
      </c>
      <c r="P18">
        <v>4.9800000000000004</v>
      </c>
      <c r="Q18">
        <v>4.8</v>
      </c>
      <c r="R18">
        <v>5.32</v>
      </c>
      <c r="S18">
        <v>5.0599999999999996</v>
      </c>
    </row>
    <row r="19" spans="1:19" x14ac:dyDescent="0.3">
      <c r="A19" t="s">
        <v>102</v>
      </c>
      <c r="B19">
        <v>1.43</v>
      </c>
      <c r="C19">
        <v>1.65</v>
      </c>
      <c r="D19">
        <v>1.54</v>
      </c>
      <c r="E19">
        <v>1.67</v>
      </c>
      <c r="F19">
        <v>1.81</v>
      </c>
      <c r="G19">
        <v>1.74</v>
      </c>
      <c r="H19">
        <v>2.1800000000000002</v>
      </c>
      <c r="I19">
        <v>2.3199999999999998</v>
      </c>
      <c r="J19">
        <v>2.25</v>
      </c>
      <c r="K19">
        <v>2.72</v>
      </c>
      <c r="L19">
        <v>3.1</v>
      </c>
      <c r="M19">
        <v>2.91</v>
      </c>
      <c r="N19">
        <v>3.28</v>
      </c>
      <c r="O19">
        <v>3.77</v>
      </c>
      <c r="P19">
        <v>3.53</v>
      </c>
      <c r="Q19">
        <v>3.84</v>
      </c>
      <c r="R19">
        <v>4.71</v>
      </c>
      <c r="S19">
        <v>4.28</v>
      </c>
    </row>
    <row r="20" spans="1:19" x14ac:dyDescent="0.3">
      <c r="A20" t="s">
        <v>103</v>
      </c>
      <c r="B20">
        <v>0.94</v>
      </c>
      <c r="C20">
        <v>1.24</v>
      </c>
      <c r="D20">
        <v>1.0900000000000001</v>
      </c>
      <c r="E20">
        <v>1.18</v>
      </c>
      <c r="F20">
        <v>1.57</v>
      </c>
      <c r="G20">
        <v>1.37</v>
      </c>
      <c r="H20">
        <v>1.47</v>
      </c>
      <c r="I20">
        <v>1.91</v>
      </c>
      <c r="J20">
        <v>1.69</v>
      </c>
      <c r="K20">
        <v>1.97</v>
      </c>
      <c r="L20">
        <v>2.5499999999999998</v>
      </c>
      <c r="M20">
        <v>2.2599999999999998</v>
      </c>
      <c r="N20">
        <v>2.65</v>
      </c>
      <c r="O20">
        <v>3.56</v>
      </c>
      <c r="P20">
        <v>3.1</v>
      </c>
      <c r="Q20">
        <v>3.49</v>
      </c>
      <c r="R20">
        <v>4.7699999999999996</v>
      </c>
      <c r="S20">
        <v>4.12</v>
      </c>
    </row>
    <row r="21" spans="1:19" x14ac:dyDescent="0.3">
      <c r="A21" t="s">
        <v>73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</row>
  </sheetData>
  <mergeCells count="6">
    <mergeCell ref="Q2:S2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AN11"/>
  <sheetViews>
    <sheetView workbookViewId="0">
      <selection activeCell="R21" sqref="R21"/>
    </sheetView>
  </sheetViews>
  <sheetFormatPr defaultRowHeight="14.4" x14ac:dyDescent="0.3"/>
  <cols>
    <col min="1" max="1" width="8.88671875" style="3"/>
    <col min="2" max="2" width="12.21875" customWidth="1"/>
    <col min="4" max="4" width="9.33203125" customWidth="1"/>
  </cols>
  <sheetData>
    <row r="1" spans="1:40" x14ac:dyDescent="0.3">
      <c r="A1" s="2" t="s">
        <v>206</v>
      </c>
      <c r="B1" s="1"/>
      <c r="C1" s="1"/>
      <c r="D1" s="1"/>
      <c r="E1" s="1"/>
      <c r="F1" s="1"/>
      <c r="G1" s="1"/>
      <c r="H1" s="1"/>
      <c r="I1" s="1"/>
      <c r="J1" s="1"/>
    </row>
    <row r="2" spans="1:40" x14ac:dyDescent="0.3">
      <c r="B2" s="35" t="s">
        <v>207</v>
      </c>
      <c r="C2" s="35"/>
      <c r="D2" s="35"/>
      <c r="E2" s="35" t="s">
        <v>210</v>
      </c>
      <c r="F2" s="35"/>
      <c r="G2" s="35"/>
      <c r="H2" s="35" t="s">
        <v>213</v>
      </c>
      <c r="I2" s="35"/>
      <c r="J2" s="35"/>
      <c r="K2" t="s">
        <v>208</v>
      </c>
      <c r="N2" t="s">
        <v>211</v>
      </c>
      <c r="Q2" t="s">
        <v>214</v>
      </c>
      <c r="T2" t="s">
        <v>209</v>
      </c>
      <c r="W2" t="s">
        <v>212</v>
      </c>
      <c r="Z2" t="s">
        <v>215</v>
      </c>
      <c r="AC2" t="s">
        <v>216</v>
      </c>
      <c r="AF2" t="s">
        <v>218</v>
      </c>
      <c r="AI2" t="s">
        <v>219</v>
      </c>
      <c r="AL2" t="s">
        <v>217</v>
      </c>
    </row>
    <row r="3" spans="1:40" x14ac:dyDescent="0.3">
      <c r="A3" s="3" t="s">
        <v>199</v>
      </c>
      <c r="B3" t="s">
        <v>16</v>
      </c>
      <c r="C3" t="s">
        <v>46</v>
      </c>
      <c r="D3" t="s">
        <v>91</v>
      </c>
      <c r="E3" t="s">
        <v>16</v>
      </c>
      <c r="F3" t="s">
        <v>46</v>
      </c>
      <c r="G3" t="s">
        <v>91</v>
      </c>
      <c r="H3" t="s">
        <v>16</v>
      </c>
      <c r="I3" t="s">
        <v>46</v>
      </c>
      <c r="J3" t="s">
        <v>91</v>
      </c>
      <c r="K3" t="s">
        <v>16</v>
      </c>
      <c r="L3" t="s">
        <v>46</v>
      </c>
      <c r="M3" t="s">
        <v>91</v>
      </c>
      <c r="N3" t="s">
        <v>16</v>
      </c>
      <c r="O3" t="s">
        <v>46</v>
      </c>
      <c r="P3" t="s">
        <v>91</v>
      </c>
      <c r="Q3" t="s">
        <v>16</v>
      </c>
      <c r="R3" t="s">
        <v>46</v>
      </c>
      <c r="S3" t="s">
        <v>91</v>
      </c>
      <c r="T3" t="s">
        <v>16</v>
      </c>
      <c r="U3" t="s">
        <v>46</v>
      </c>
      <c r="V3" t="s">
        <v>91</v>
      </c>
      <c r="W3" t="s">
        <v>16</v>
      </c>
      <c r="X3" t="s">
        <v>46</v>
      </c>
      <c r="Y3" t="s">
        <v>91</v>
      </c>
      <c r="Z3" t="s">
        <v>16</v>
      </c>
      <c r="AA3" t="s">
        <v>46</v>
      </c>
      <c r="AB3" t="s">
        <v>91</v>
      </c>
      <c r="AC3" t="s">
        <v>16</v>
      </c>
      <c r="AD3" t="s">
        <v>46</v>
      </c>
      <c r="AE3" t="s">
        <v>91</v>
      </c>
      <c r="AF3" t="s">
        <v>16</v>
      </c>
      <c r="AG3" t="s">
        <v>46</v>
      </c>
      <c r="AH3" t="s">
        <v>91</v>
      </c>
      <c r="AI3" t="s">
        <v>16</v>
      </c>
      <c r="AJ3" t="s">
        <v>46</v>
      </c>
      <c r="AK3" t="s">
        <v>91</v>
      </c>
      <c r="AL3" t="s">
        <v>16</v>
      </c>
      <c r="AM3" t="s">
        <v>46</v>
      </c>
      <c r="AN3" t="s">
        <v>91</v>
      </c>
    </row>
    <row r="4" spans="1:40" x14ac:dyDescent="0.3">
      <c r="A4" s="3">
        <v>2016</v>
      </c>
      <c r="B4">
        <v>213467</v>
      </c>
      <c r="C4">
        <v>184843</v>
      </c>
      <c r="D4">
        <v>398310</v>
      </c>
      <c r="E4">
        <v>767987</v>
      </c>
      <c r="F4">
        <v>746328</v>
      </c>
      <c r="G4">
        <v>1514315</v>
      </c>
      <c r="H4">
        <v>625150</v>
      </c>
      <c r="I4">
        <v>507830</v>
      </c>
      <c r="J4">
        <v>1132980</v>
      </c>
      <c r="K4">
        <v>377310</v>
      </c>
      <c r="L4">
        <v>259923</v>
      </c>
      <c r="M4">
        <v>637233</v>
      </c>
      <c r="N4">
        <v>766984</v>
      </c>
      <c r="O4">
        <v>745039</v>
      </c>
      <c r="P4">
        <v>1512023</v>
      </c>
      <c r="Q4">
        <v>34716</v>
      </c>
      <c r="R4">
        <v>32926</v>
      </c>
      <c r="S4">
        <v>67642</v>
      </c>
      <c r="T4">
        <v>1559895</v>
      </c>
      <c r="U4">
        <v>1562885</v>
      </c>
      <c r="V4">
        <v>3122780</v>
      </c>
      <c r="W4">
        <v>1668017</v>
      </c>
      <c r="X4">
        <v>1669462</v>
      </c>
      <c r="Y4">
        <v>3337479</v>
      </c>
      <c r="Z4">
        <v>589647</v>
      </c>
      <c r="AA4">
        <v>587561</v>
      </c>
      <c r="AB4">
        <v>1177208</v>
      </c>
      <c r="AC4">
        <v>1166494</v>
      </c>
      <c r="AD4">
        <v>1083001</v>
      </c>
      <c r="AE4">
        <v>2249495</v>
      </c>
      <c r="AF4">
        <v>658008</v>
      </c>
      <c r="AG4">
        <v>702564</v>
      </c>
      <c r="AH4">
        <v>1360572</v>
      </c>
      <c r="AI4">
        <v>347290</v>
      </c>
      <c r="AJ4">
        <v>309691</v>
      </c>
      <c r="AK4">
        <v>656981</v>
      </c>
      <c r="AL4">
        <v>1938825</v>
      </c>
      <c r="AM4">
        <v>1864256</v>
      </c>
      <c r="AN4">
        <v>3803081</v>
      </c>
    </row>
    <row r="5" spans="1:40" x14ac:dyDescent="0.3">
      <c r="A5" s="3">
        <v>2021</v>
      </c>
      <c r="B5">
        <v>217793</v>
      </c>
      <c r="C5">
        <v>188600</v>
      </c>
      <c r="D5">
        <v>406393</v>
      </c>
      <c r="E5">
        <v>823836</v>
      </c>
      <c r="F5">
        <v>829460</v>
      </c>
      <c r="G5">
        <v>1653296</v>
      </c>
      <c r="H5">
        <v>654516</v>
      </c>
      <c r="I5">
        <v>535321</v>
      </c>
      <c r="J5">
        <v>1189837</v>
      </c>
      <c r="K5">
        <v>451453</v>
      </c>
      <c r="L5">
        <v>299044</v>
      </c>
      <c r="M5">
        <v>750497</v>
      </c>
      <c r="N5">
        <v>787951</v>
      </c>
      <c r="O5">
        <v>767437</v>
      </c>
      <c r="P5">
        <v>1555388</v>
      </c>
      <c r="Q5">
        <v>35585</v>
      </c>
      <c r="R5">
        <v>33812</v>
      </c>
      <c r="S5">
        <v>69397</v>
      </c>
      <c r="T5">
        <v>1691345</v>
      </c>
      <c r="U5">
        <v>1721192</v>
      </c>
      <c r="V5">
        <v>3412537</v>
      </c>
      <c r="W5">
        <v>1854715</v>
      </c>
      <c r="X5">
        <v>1880231</v>
      </c>
      <c r="Y5">
        <v>3734946</v>
      </c>
      <c r="Z5">
        <v>622935</v>
      </c>
      <c r="AA5">
        <v>634645</v>
      </c>
      <c r="AB5">
        <v>1257580</v>
      </c>
      <c r="AC5">
        <v>1207291</v>
      </c>
      <c r="AD5">
        <v>1126154</v>
      </c>
      <c r="AE5">
        <v>2333445</v>
      </c>
      <c r="AF5">
        <v>712380</v>
      </c>
      <c r="AG5">
        <v>784233</v>
      </c>
      <c r="AH5">
        <v>1496613</v>
      </c>
      <c r="AI5">
        <v>364063</v>
      </c>
      <c r="AJ5">
        <v>325730</v>
      </c>
      <c r="AK5">
        <v>689793</v>
      </c>
      <c r="AL5">
        <v>2004116</v>
      </c>
      <c r="AM5">
        <v>1933995</v>
      </c>
      <c r="AN5">
        <v>3938111</v>
      </c>
    </row>
    <row r="6" spans="1:40" x14ac:dyDescent="0.3">
      <c r="A6" s="3">
        <v>2026</v>
      </c>
      <c r="B6">
        <v>220773</v>
      </c>
      <c r="C6">
        <v>191059</v>
      </c>
      <c r="D6">
        <v>411832</v>
      </c>
      <c r="E6">
        <v>875070</v>
      </c>
      <c r="F6">
        <v>914547</v>
      </c>
      <c r="G6">
        <v>1789617</v>
      </c>
      <c r="H6">
        <v>677113</v>
      </c>
      <c r="I6">
        <v>556927</v>
      </c>
      <c r="J6">
        <v>1234040</v>
      </c>
      <c r="K6">
        <v>535360</v>
      </c>
      <c r="L6">
        <v>342893</v>
      </c>
      <c r="M6">
        <v>878253</v>
      </c>
      <c r="N6">
        <v>805414</v>
      </c>
      <c r="O6">
        <v>786565</v>
      </c>
      <c r="P6">
        <v>1591979</v>
      </c>
      <c r="Q6">
        <v>36260</v>
      </c>
      <c r="R6">
        <v>34518</v>
      </c>
      <c r="S6">
        <v>70778</v>
      </c>
      <c r="T6">
        <v>1819982</v>
      </c>
      <c r="U6">
        <v>1885032</v>
      </c>
      <c r="V6">
        <v>3705014</v>
      </c>
      <c r="W6">
        <v>2049604</v>
      </c>
      <c r="X6">
        <v>2107255</v>
      </c>
      <c r="Y6">
        <v>4156859</v>
      </c>
      <c r="Z6">
        <v>650806</v>
      </c>
      <c r="AA6">
        <v>677485</v>
      </c>
      <c r="AB6">
        <v>1328291</v>
      </c>
      <c r="AC6">
        <v>1235762</v>
      </c>
      <c r="AD6">
        <v>1156622</v>
      </c>
      <c r="AE6">
        <v>2392384</v>
      </c>
      <c r="AF6">
        <v>765628</v>
      </c>
      <c r="AG6">
        <v>872579</v>
      </c>
      <c r="AH6">
        <v>1638207</v>
      </c>
      <c r="AI6">
        <v>377998</v>
      </c>
      <c r="AJ6">
        <v>339093</v>
      </c>
      <c r="AK6">
        <v>717091</v>
      </c>
      <c r="AL6">
        <v>2056608</v>
      </c>
      <c r="AM6">
        <v>1991119</v>
      </c>
      <c r="AN6">
        <v>4047727</v>
      </c>
    </row>
    <row r="7" spans="1:40" x14ac:dyDescent="0.3">
      <c r="A7" s="3">
        <v>2031</v>
      </c>
      <c r="B7">
        <v>222805</v>
      </c>
      <c r="C7">
        <v>192648</v>
      </c>
      <c r="D7">
        <v>415453</v>
      </c>
      <c r="E7">
        <v>921195</v>
      </c>
      <c r="F7">
        <v>1000252</v>
      </c>
      <c r="G7">
        <v>1921447</v>
      </c>
      <c r="H7">
        <v>694139</v>
      </c>
      <c r="I7">
        <v>573515</v>
      </c>
      <c r="J7">
        <v>1267654</v>
      </c>
      <c r="K7">
        <v>628531</v>
      </c>
      <c r="L7">
        <v>391692</v>
      </c>
      <c r="M7">
        <v>1020223</v>
      </c>
      <c r="N7">
        <v>819825</v>
      </c>
      <c r="O7">
        <v>802751</v>
      </c>
      <c r="P7">
        <v>1622576</v>
      </c>
      <c r="Q7">
        <v>36780</v>
      </c>
      <c r="R7">
        <v>35076</v>
      </c>
      <c r="S7">
        <v>71856</v>
      </c>
      <c r="T7">
        <v>1943993</v>
      </c>
      <c r="U7">
        <v>2052697</v>
      </c>
      <c r="V7">
        <v>3996690</v>
      </c>
      <c r="W7">
        <v>2250498</v>
      </c>
      <c r="X7">
        <v>2349317</v>
      </c>
      <c r="Y7">
        <v>4599815</v>
      </c>
      <c r="Z7">
        <v>673671</v>
      </c>
      <c r="AA7">
        <v>715603</v>
      </c>
      <c r="AB7">
        <v>1389274</v>
      </c>
      <c r="AC7">
        <v>1255264</v>
      </c>
      <c r="AD7">
        <v>1177686</v>
      </c>
      <c r="AE7">
        <v>2432950</v>
      </c>
      <c r="AF7">
        <v>817027</v>
      </c>
      <c r="AG7">
        <v>967509</v>
      </c>
      <c r="AH7">
        <v>1784536</v>
      </c>
      <c r="AI7">
        <v>389375</v>
      </c>
      <c r="AJ7">
        <v>350018</v>
      </c>
      <c r="AK7">
        <v>739393</v>
      </c>
      <c r="AL7">
        <v>2098262</v>
      </c>
      <c r="AM7">
        <v>2037270</v>
      </c>
      <c r="AN7">
        <v>4135532</v>
      </c>
    </row>
    <row r="8" spans="1:40" x14ac:dyDescent="0.3">
      <c r="A8" s="3">
        <v>2036</v>
      </c>
      <c r="B8">
        <v>224179</v>
      </c>
      <c r="C8">
        <v>193668</v>
      </c>
      <c r="D8">
        <v>417847</v>
      </c>
      <c r="E8">
        <v>962021</v>
      </c>
      <c r="F8">
        <v>1085195</v>
      </c>
      <c r="G8">
        <v>2047216</v>
      </c>
      <c r="H8">
        <v>706766</v>
      </c>
      <c r="I8">
        <v>586023</v>
      </c>
      <c r="J8">
        <v>1292789</v>
      </c>
      <c r="K8">
        <v>729837</v>
      </c>
      <c r="L8">
        <v>445567</v>
      </c>
      <c r="M8">
        <v>1175404</v>
      </c>
      <c r="N8">
        <v>831627</v>
      </c>
      <c r="O8">
        <v>816340</v>
      </c>
      <c r="P8">
        <v>1647967</v>
      </c>
      <c r="Q8">
        <v>37177</v>
      </c>
      <c r="R8">
        <v>35513</v>
      </c>
      <c r="S8">
        <v>72690</v>
      </c>
      <c r="T8">
        <v>2061829</v>
      </c>
      <c r="U8">
        <v>2222308</v>
      </c>
      <c r="V8">
        <v>4284137</v>
      </c>
      <c r="W8">
        <v>2454912</v>
      </c>
      <c r="X8">
        <v>2604634</v>
      </c>
      <c r="Y8">
        <v>5059546</v>
      </c>
      <c r="Z8">
        <v>692116</v>
      </c>
      <c r="AA8">
        <v>748851</v>
      </c>
      <c r="AB8">
        <v>1440967</v>
      </c>
      <c r="AC8">
        <v>1268450</v>
      </c>
      <c r="AD8">
        <v>1192038</v>
      </c>
      <c r="AE8">
        <v>2460488</v>
      </c>
      <c r="AF8">
        <v>865956</v>
      </c>
      <c r="AG8">
        <v>1068782</v>
      </c>
      <c r="AH8">
        <v>1934738</v>
      </c>
      <c r="AI8">
        <v>398532</v>
      </c>
      <c r="AJ8">
        <v>358815</v>
      </c>
      <c r="AK8">
        <v>757347</v>
      </c>
      <c r="AL8">
        <v>2130974</v>
      </c>
      <c r="AM8">
        <v>2074140</v>
      </c>
      <c r="AN8">
        <v>4205114</v>
      </c>
    </row>
    <row r="9" spans="1:40" x14ac:dyDescent="0.3">
      <c r="A9" s="3">
        <v>2041</v>
      </c>
      <c r="B9">
        <v>225103</v>
      </c>
      <c r="C9">
        <v>194319</v>
      </c>
      <c r="D9">
        <v>419422</v>
      </c>
      <c r="E9">
        <v>997618</v>
      </c>
      <c r="F9">
        <v>1168047</v>
      </c>
      <c r="G9">
        <v>2165665</v>
      </c>
      <c r="H9">
        <v>716019</v>
      </c>
      <c r="I9">
        <v>595328</v>
      </c>
      <c r="J9">
        <v>1311347</v>
      </c>
      <c r="K9">
        <v>837500</v>
      </c>
      <c r="L9">
        <v>504529</v>
      </c>
      <c r="M9">
        <v>1342029</v>
      </c>
      <c r="N9">
        <v>841233</v>
      </c>
      <c r="O9">
        <v>827673</v>
      </c>
      <c r="P9">
        <v>1668906</v>
      </c>
      <c r="Q9">
        <v>37477</v>
      </c>
      <c r="R9">
        <v>35853</v>
      </c>
      <c r="S9">
        <v>73330</v>
      </c>
      <c r="T9">
        <v>2172271</v>
      </c>
      <c r="U9">
        <v>2391898</v>
      </c>
      <c r="V9">
        <v>4564169</v>
      </c>
      <c r="W9">
        <v>2660181</v>
      </c>
      <c r="X9">
        <v>2870877</v>
      </c>
      <c r="Y9">
        <v>5531058</v>
      </c>
      <c r="Z9">
        <v>706796</v>
      </c>
      <c r="AA9">
        <v>777351</v>
      </c>
      <c r="AB9">
        <v>1484147</v>
      </c>
      <c r="AC9">
        <v>1277289</v>
      </c>
      <c r="AD9">
        <v>1201720</v>
      </c>
      <c r="AE9">
        <v>2479009</v>
      </c>
      <c r="AF9">
        <v>911921</v>
      </c>
      <c r="AG9">
        <v>1175998</v>
      </c>
      <c r="AH9">
        <v>2087919</v>
      </c>
      <c r="AI9">
        <v>405816</v>
      </c>
      <c r="AJ9">
        <v>365810</v>
      </c>
      <c r="AK9">
        <v>771626</v>
      </c>
      <c r="AL9">
        <v>2156455</v>
      </c>
      <c r="AM9">
        <v>2103334</v>
      </c>
      <c r="AN9">
        <v>4259789</v>
      </c>
    </row>
    <row r="10" spans="1:40" x14ac:dyDescent="0.3">
      <c r="A10" s="3">
        <v>2046</v>
      </c>
      <c r="B10">
        <v>225724</v>
      </c>
      <c r="C10">
        <v>194733</v>
      </c>
      <c r="D10">
        <v>420457</v>
      </c>
      <c r="E10">
        <v>1028251</v>
      </c>
      <c r="F10">
        <v>1247607</v>
      </c>
      <c r="G10">
        <v>2275858</v>
      </c>
      <c r="H10">
        <v>722742</v>
      </c>
      <c r="I10">
        <v>602180</v>
      </c>
      <c r="J10">
        <v>1324922</v>
      </c>
      <c r="K10">
        <v>949178</v>
      </c>
      <c r="L10">
        <v>568439</v>
      </c>
      <c r="M10">
        <v>1517617</v>
      </c>
      <c r="N10">
        <v>849010</v>
      </c>
      <c r="O10">
        <v>837075</v>
      </c>
      <c r="P10">
        <v>1686085</v>
      </c>
      <c r="Q10">
        <v>37704</v>
      </c>
      <c r="R10">
        <v>36116</v>
      </c>
      <c r="S10">
        <v>73820</v>
      </c>
      <c r="T10">
        <v>2274456</v>
      </c>
      <c r="U10">
        <v>2559499</v>
      </c>
      <c r="V10">
        <v>4833955</v>
      </c>
      <c r="W10">
        <v>2863592</v>
      </c>
      <c r="X10">
        <v>3145228</v>
      </c>
      <c r="Y10">
        <v>6008820</v>
      </c>
      <c r="Z10">
        <v>718354</v>
      </c>
      <c r="AA10">
        <v>801419</v>
      </c>
      <c r="AB10">
        <v>1519773</v>
      </c>
      <c r="AC10">
        <v>1283180</v>
      </c>
      <c r="AD10">
        <v>1208208</v>
      </c>
      <c r="AE10">
        <v>2491388</v>
      </c>
      <c r="AF10">
        <v>954566</v>
      </c>
      <c r="AG10">
        <v>1288585</v>
      </c>
      <c r="AH10">
        <v>2243151</v>
      </c>
      <c r="AI10">
        <v>411559</v>
      </c>
      <c r="AJ10">
        <v>371319</v>
      </c>
      <c r="AK10">
        <v>782878</v>
      </c>
      <c r="AL10">
        <v>2176177</v>
      </c>
      <c r="AM10">
        <v>2126287</v>
      </c>
      <c r="AN10">
        <v>4302464</v>
      </c>
    </row>
    <row r="11" spans="1:40" x14ac:dyDescent="0.3">
      <c r="A11" s="3">
        <v>2051</v>
      </c>
      <c r="B11">
        <v>226139</v>
      </c>
      <c r="C11">
        <v>194996</v>
      </c>
      <c r="D11">
        <v>421135</v>
      </c>
      <c r="E11">
        <v>1054315</v>
      </c>
      <c r="F11">
        <v>1322868</v>
      </c>
      <c r="G11">
        <v>2377183</v>
      </c>
      <c r="H11">
        <v>727595</v>
      </c>
      <c r="I11">
        <v>607187</v>
      </c>
      <c r="J11">
        <v>1334782</v>
      </c>
      <c r="K11">
        <v>1062140</v>
      </c>
      <c r="L11">
        <v>636997</v>
      </c>
      <c r="M11">
        <v>1699137</v>
      </c>
      <c r="N11">
        <v>855282</v>
      </c>
      <c r="O11">
        <v>844838</v>
      </c>
      <c r="P11">
        <v>1700120</v>
      </c>
      <c r="Q11">
        <v>37875</v>
      </c>
      <c r="R11">
        <v>36319</v>
      </c>
      <c r="S11">
        <v>74194</v>
      </c>
      <c r="T11">
        <v>2367882</v>
      </c>
      <c r="U11">
        <v>2723236</v>
      </c>
      <c r="V11">
        <v>5091118</v>
      </c>
      <c r="W11">
        <v>3062533</v>
      </c>
      <c r="X11">
        <v>3424492</v>
      </c>
      <c r="Y11">
        <v>6487025</v>
      </c>
      <c r="Z11">
        <v>727377</v>
      </c>
      <c r="AA11">
        <v>821490</v>
      </c>
      <c r="AB11">
        <v>1548867</v>
      </c>
      <c r="AC11">
        <v>1287090</v>
      </c>
      <c r="AD11">
        <v>1212535</v>
      </c>
      <c r="AE11">
        <v>2499625</v>
      </c>
      <c r="AF11">
        <v>993676</v>
      </c>
      <c r="AG11">
        <v>1405809</v>
      </c>
      <c r="AH11">
        <v>2399485</v>
      </c>
      <c r="AI11">
        <v>416053</v>
      </c>
      <c r="AJ11">
        <v>375622</v>
      </c>
      <c r="AK11">
        <v>791675</v>
      </c>
      <c r="AL11">
        <v>2191368</v>
      </c>
      <c r="AM11">
        <v>2144232</v>
      </c>
      <c r="AN11">
        <v>4335600</v>
      </c>
    </row>
  </sheetData>
  <mergeCells count="3">
    <mergeCell ref="B2:D2"/>
    <mergeCell ref="E2:G2"/>
    <mergeCell ref="H2:J2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AC9FE-187C-4248-B400-EC29C3905F3F}">
  <dimension ref="A1"/>
  <sheetViews>
    <sheetView workbookViewId="0">
      <selection activeCell="L16" sqref="L1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56</vt:i4>
      </vt:variant>
    </vt:vector>
  </HeadingPairs>
  <TitlesOfParts>
    <vt:vector size="56" baseType="lpstr">
      <vt:lpstr>Pop</vt:lpstr>
      <vt:lpstr>St. Rank</vt:lpstr>
      <vt:lpstr>Ru_Ub</vt:lpstr>
      <vt:lpstr>Dep. Ratio.</vt:lpstr>
      <vt:lpstr>Region</vt:lpstr>
      <vt:lpstr>TFR</vt:lpstr>
      <vt:lpstr>LEB</vt:lpstr>
      <vt:lpstr>SRB</vt:lpstr>
      <vt:lpstr>AP</vt:lpstr>
      <vt:lpstr>AP2</vt:lpstr>
      <vt:lpstr>Assam</vt:lpstr>
      <vt:lpstr>Assam2</vt:lpstr>
      <vt:lpstr>Bihar</vt:lpstr>
      <vt:lpstr>Bihar2</vt:lpstr>
      <vt:lpstr>Chhattisgarh</vt:lpstr>
      <vt:lpstr>Chhattisgarh2</vt:lpstr>
      <vt:lpstr>Delhi</vt:lpstr>
      <vt:lpstr>Delhi2</vt:lpstr>
      <vt:lpstr>Guj</vt:lpstr>
      <vt:lpstr>Guj2</vt:lpstr>
      <vt:lpstr>Haryana</vt:lpstr>
      <vt:lpstr>Haryana2</vt:lpstr>
      <vt:lpstr>HP</vt:lpstr>
      <vt:lpstr>HP2</vt:lpstr>
      <vt:lpstr>JK</vt:lpstr>
      <vt:lpstr>JK2</vt:lpstr>
      <vt:lpstr>JKUT</vt:lpstr>
      <vt:lpstr>Jharkhand</vt:lpstr>
      <vt:lpstr>Jharkhand2</vt:lpstr>
      <vt:lpstr>Karnataka</vt:lpstr>
      <vt:lpstr>Karnataka2</vt:lpstr>
      <vt:lpstr>Keralam</vt:lpstr>
      <vt:lpstr>Keralam2</vt:lpstr>
      <vt:lpstr>MP</vt:lpstr>
      <vt:lpstr>MP2</vt:lpstr>
      <vt:lpstr>Maharashtra</vt:lpstr>
      <vt:lpstr>Maharashtra2</vt:lpstr>
      <vt:lpstr>Odisha</vt:lpstr>
      <vt:lpstr>Odisha2</vt:lpstr>
      <vt:lpstr>Punjab</vt:lpstr>
      <vt:lpstr>Punjab2</vt:lpstr>
      <vt:lpstr>Rajasthan</vt:lpstr>
      <vt:lpstr>Rajasthan2</vt:lpstr>
      <vt:lpstr>TN</vt:lpstr>
      <vt:lpstr>TN2</vt:lpstr>
      <vt:lpstr>Telangana</vt:lpstr>
      <vt:lpstr>Telangana2</vt:lpstr>
      <vt:lpstr>UP</vt:lpstr>
      <vt:lpstr>UP2</vt:lpstr>
      <vt:lpstr>Uttarakhand</vt:lpstr>
      <vt:lpstr>Region_Age</vt:lpstr>
      <vt:lpstr>Uttarakhand2</vt:lpstr>
      <vt:lpstr>WB</vt:lpstr>
      <vt:lpstr>WB2</vt:lpstr>
      <vt:lpstr>Small States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CYSD .</dc:creator>
  <cp:lastModifiedBy>CYSD .</cp:lastModifiedBy>
  <dcterms:created xsi:type="dcterms:W3CDTF">2026-05-03T23:35:10Z</dcterms:created>
  <dcterms:modified xsi:type="dcterms:W3CDTF">2026-05-17T12:46:31Z</dcterms:modified>
</cp:coreProperties>
</file>