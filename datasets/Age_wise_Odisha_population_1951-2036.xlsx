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IU_2025\Not Frequently use Folders\Demographic Data &amp; Reports\Previous Year Data\"/>
    </mc:Choice>
  </mc:AlternateContent>
  <xr:revisionPtr revIDLastSave="0" documentId="13_ncr:1_{FFCD4B37-0600-4FB1-B3E2-B8027322B23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mpiled" sheetId="13" r:id="rId1"/>
    <sheet name="worksheet" sheetId="1" r:id="rId2"/>
    <sheet name="1951" sheetId="12" r:id="rId3"/>
    <sheet name="1961" sheetId="11" r:id="rId4"/>
    <sheet name="1971" sheetId="6" r:id="rId5"/>
    <sheet name="1981" sheetId="5" r:id="rId6"/>
    <sheet name="1991" sheetId="4" r:id="rId7"/>
    <sheet name="2001" sheetId="3" r:id="rId8"/>
    <sheet name="2011" sheetId="2" r:id="rId9"/>
    <sheet name="2021" sheetId="7" r:id="rId10"/>
    <sheet name="2026" sheetId="8" r:id="rId11"/>
    <sheet name="2031" sheetId="9" r:id="rId12"/>
    <sheet name="2036" sheetId="10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1" l="1"/>
  <c r="AB28" i="13"/>
  <c r="AD28" i="13"/>
  <c r="AC28" i="13"/>
  <c r="AR6" i="13"/>
  <c r="AS6" i="13"/>
  <c r="AT6" i="13"/>
  <c r="AU6" i="13"/>
  <c r="AV6" i="13"/>
  <c r="AW6" i="13"/>
  <c r="AX6" i="13"/>
  <c r="AY6" i="13"/>
  <c r="AR7" i="13"/>
  <c r="AS7" i="13"/>
  <c r="AT7" i="13"/>
  <c r="AU7" i="13"/>
  <c r="AV7" i="13"/>
  <c r="AW7" i="13"/>
  <c r="AX7" i="13"/>
  <c r="AY7" i="13"/>
  <c r="AR8" i="13"/>
  <c r="AS8" i="13"/>
  <c r="AT8" i="13"/>
  <c r="AU8" i="13"/>
  <c r="AV8" i="13"/>
  <c r="AW8" i="13"/>
  <c r="AX8" i="13"/>
  <c r="AY8" i="13"/>
  <c r="AR9" i="13"/>
  <c r="AS9" i="13"/>
  <c r="AT9" i="13"/>
  <c r="AU9" i="13"/>
  <c r="AV9" i="13"/>
  <c r="AW9" i="13"/>
  <c r="AX9" i="13"/>
  <c r="AY9" i="13"/>
  <c r="AQ9" i="13"/>
  <c r="AQ8" i="13"/>
  <c r="AQ7" i="13"/>
  <c r="AQ6" i="13"/>
  <c r="AO7" i="13"/>
  <c r="AP7" i="13"/>
  <c r="AN7" i="13"/>
  <c r="AO8" i="13"/>
  <c r="AP8" i="13"/>
  <c r="AO9" i="13"/>
  <c r="AP9" i="13"/>
  <c r="AN9" i="13"/>
  <c r="AN8" i="13"/>
  <c r="AO6" i="13"/>
  <c r="AP6" i="13"/>
  <c r="AN6" i="13"/>
  <c r="AV4" i="13"/>
  <c r="AR4" i="13"/>
  <c r="AS4" i="13"/>
  <c r="AS10" i="13" s="1"/>
  <c r="AT4" i="13"/>
  <c r="AU4" i="13"/>
  <c r="AW4" i="13"/>
  <c r="AX4" i="13"/>
  <c r="AY4" i="13"/>
  <c r="AQ4" i="13"/>
  <c r="BC7" i="13"/>
  <c r="BC9" i="13"/>
  <c r="BC10" i="13"/>
  <c r="BC11" i="13"/>
  <c r="BC12" i="13"/>
  <c r="BC13" i="13"/>
  <c r="BC14" i="13"/>
  <c r="BC15" i="13"/>
  <c r="BC16" i="13"/>
  <c r="BC17" i="13"/>
  <c r="BC18" i="13"/>
  <c r="BC19" i="13"/>
  <c r="BC20" i="13"/>
  <c r="BC4" i="13"/>
  <c r="BD4" i="13"/>
  <c r="BC5" i="13"/>
  <c r="BD5" i="13"/>
  <c r="BC6" i="13"/>
  <c r="BD6" i="13"/>
  <c r="BD7" i="13"/>
  <c r="BC8" i="13"/>
  <c r="BD8" i="13"/>
  <c r="BD9" i="13"/>
  <c r="BD10" i="13"/>
  <c r="BD11" i="13"/>
  <c r="BD12" i="13"/>
  <c r="BD13" i="13"/>
  <c r="BD14" i="13"/>
  <c r="BD15" i="13"/>
  <c r="BD16" i="13"/>
  <c r="BD17" i="13"/>
  <c r="BD18" i="13"/>
  <c r="BD19" i="13"/>
  <c r="BD20" i="13"/>
  <c r="BE20" i="13"/>
  <c r="BE19" i="13"/>
  <c r="BE18" i="13"/>
  <c r="BE17" i="13"/>
  <c r="BE16" i="13"/>
  <c r="BE15" i="13"/>
  <c r="BE14" i="13"/>
  <c r="BE13" i="13"/>
  <c r="BE12" i="13"/>
  <c r="BE11" i="13"/>
  <c r="BE10" i="13"/>
  <c r="BE9" i="13"/>
  <c r="BE8" i="13"/>
  <c r="BE7" i="13"/>
  <c r="BE6" i="13"/>
  <c r="BE5" i="13"/>
  <c r="BE4" i="13"/>
  <c r="AM43" i="1"/>
  <c r="AM42" i="1"/>
  <c r="AM41" i="1"/>
  <c r="AM40" i="1"/>
  <c r="AM39" i="1"/>
  <c r="AK43" i="1"/>
  <c r="AK42" i="1"/>
  <c r="AK41" i="1"/>
  <c r="AK40" i="1"/>
  <c r="AK39" i="1"/>
  <c r="AI43" i="1"/>
  <c r="AI42" i="1"/>
  <c r="AI41" i="1"/>
  <c r="AI40" i="1"/>
  <c r="AI39" i="1"/>
  <c r="AG40" i="1"/>
  <c r="AG41" i="1"/>
  <c r="AG42" i="1"/>
  <c r="AG43" i="1"/>
  <c r="AG39" i="1"/>
  <c r="P4" i="6"/>
  <c r="Q4" i="6"/>
  <c r="P5" i="6"/>
  <c r="Q5" i="6"/>
  <c r="P6" i="6"/>
  <c r="Q6" i="6"/>
  <c r="P7" i="6"/>
  <c r="Q7" i="6"/>
  <c r="O7" i="6"/>
  <c r="O6" i="6"/>
  <c r="O5" i="6"/>
  <c r="O4" i="6"/>
  <c r="L25" i="10"/>
  <c r="M25" i="10"/>
  <c r="L26" i="10"/>
  <c r="M26" i="10"/>
  <c r="L27" i="10"/>
  <c r="M27" i="10"/>
  <c r="K27" i="10"/>
  <c r="K26" i="10"/>
  <c r="K25" i="10"/>
  <c r="D78" i="1"/>
  <c r="D79" i="1"/>
  <c r="D80" i="1"/>
  <c r="D81" i="1"/>
  <c r="D82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C79" i="1"/>
  <c r="K79" i="1"/>
  <c r="C80" i="1"/>
  <c r="K80" i="1"/>
  <c r="C81" i="1"/>
  <c r="K81" i="1"/>
  <c r="C82" i="1"/>
  <c r="K82" i="1"/>
  <c r="K78" i="1"/>
  <c r="C78" i="1"/>
  <c r="C56" i="1"/>
  <c r="F56" i="1" s="1"/>
  <c r="T30" i="3"/>
  <c r="T28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3" i="5"/>
  <c r="H4" i="6"/>
  <c r="H5" i="6"/>
  <c r="H6" i="6"/>
  <c r="H7" i="6"/>
  <c r="H8" i="6"/>
  <c r="H9" i="6"/>
  <c r="H10" i="6"/>
  <c r="H13" i="6"/>
  <c r="H14" i="6"/>
  <c r="H15" i="6"/>
  <c r="H3" i="6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3" i="1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5" i="10"/>
  <c r="H64" i="1"/>
  <c r="I64" i="1" s="1"/>
  <c r="H61" i="1"/>
  <c r="I61" i="1" s="1"/>
  <c r="H63" i="1"/>
  <c r="I63" i="1" s="1"/>
  <c r="H62" i="1"/>
  <c r="I62" i="1" s="1"/>
  <c r="R7" i="10"/>
  <c r="T7" i="10" s="1"/>
  <c r="Q7" i="10"/>
  <c r="P7" i="10"/>
  <c r="S7" i="10" s="1"/>
  <c r="V8" i="2"/>
  <c r="U8" i="2"/>
  <c r="T8" i="2"/>
  <c r="R29" i="3"/>
  <c r="T29" i="3" s="1"/>
  <c r="S29" i="3"/>
  <c r="R30" i="3"/>
  <c r="S30" i="3"/>
  <c r="R31" i="3"/>
  <c r="T31" i="3" s="1"/>
  <c r="S31" i="3"/>
  <c r="Q31" i="3"/>
  <c r="Q30" i="3"/>
  <c r="Q29" i="3"/>
  <c r="G21" i="10"/>
  <c r="M20" i="10"/>
  <c r="S107" i="13"/>
  <c r="S106" i="13"/>
  <c r="S105" i="13"/>
  <c r="S104" i="13"/>
  <c r="S103" i="13"/>
  <c r="S102" i="13"/>
  <c r="S101" i="13"/>
  <c r="S100" i="13"/>
  <c r="S99" i="13"/>
  <c r="S98" i="13"/>
  <c r="S97" i="13"/>
  <c r="S96" i="13"/>
  <c r="S95" i="13"/>
  <c r="S94" i="13"/>
  <c r="S93" i="13"/>
  <c r="S92" i="13"/>
  <c r="S91" i="13"/>
  <c r="S90" i="13"/>
  <c r="S89" i="13"/>
  <c r="S88" i="13"/>
  <c r="S87" i="13"/>
  <c r="S86" i="13"/>
  <c r="S85" i="13"/>
  <c r="S84" i="13"/>
  <c r="S83" i="13"/>
  <c r="S82" i="13"/>
  <c r="S81" i="13"/>
  <c r="S80" i="13"/>
  <c r="S79" i="13"/>
  <c r="S78" i="13"/>
  <c r="S77" i="13"/>
  <c r="S76" i="13"/>
  <c r="S75" i="13"/>
  <c r="S74" i="13"/>
  <c r="S73" i="13"/>
  <c r="S72" i="13"/>
  <c r="S71" i="13"/>
  <c r="S70" i="13"/>
  <c r="S69" i="13"/>
  <c r="S68" i="13"/>
  <c r="S67" i="13"/>
  <c r="S66" i="13"/>
  <c r="S65" i="13"/>
  <c r="S64" i="13"/>
  <c r="S63" i="13"/>
  <c r="S62" i="13"/>
  <c r="S61" i="13"/>
  <c r="S60" i="13"/>
  <c r="S59" i="13"/>
  <c r="S58" i="13"/>
  <c r="S57" i="13"/>
  <c r="S56" i="13"/>
  <c r="S55" i="13"/>
  <c r="S54" i="13"/>
  <c r="S53" i="13"/>
  <c r="S52" i="13"/>
  <c r="S51" i="13"/>
  <c r="S50" i="13"/>
  <c r="S49" i="13"/>
  <c r="S48" i="13"/>
  <c r="S47" i="13"/>
  <c r="S46" i="13"/>
  <c r="S45" i="13"/>
  <c r="S44" i="13"/>
  <c r="S43" i="13"/>
  <c r="S42" i="13"/>
  <c r="S41" i="13"/>
  <c r="S40" i="13"/>
  <c r="S39" i="13"/>
  <c r="S38" i="13"/>
  <c r="S37" i="13"/>
  <c r="S36" i="13"/>
  <c r="S35" i="13"/>
  <c r="S34" i="13"/>
  <c r="S33" i="13"/>
  <c r="S32" i="13"/>
  <c r="S31" i="13"/>
  <c r="S30" i="13"/>
  <c r="S29" i="13"/>
  <c r="S28" i="13"/>
  <c r="S27" i="13"/>
  <c r="S26" i="13"/>
  <c r="S25" i="13"/>
  <c r="S24" i="13"/>
  <c r="S23" i="13"/>
  <c r="S22" i="13"/>
  <c r="S21" i="13"/>
  <c r="S20" i="13"/>
  <c r="S19" i="13"/>
  <c r="S18" i="13"/>
  <c r="S17" i="13"/>
  <c r="S16" i="13"/>
  <c r="S15" i="13"/>
  <c r="S14" i="13"/>
  <c r="S13" i="13"/>
  <c r="S12" i="13"/>
  <c r="S11" i="13"/>
  <c r="S10" i="13"/>
  <c r="S9" i="13"/>
  <c r="S8" i="13"/>
  <c r="S7" i="13"/>
  <c r="S6" i="13"/>
  <c r="S4" i="13"/>
  <c r="F57" i="1"/>
  <c r="F60" i="1"/>
  <c r="F61" i="1"/>
  <c r="F62" i="1"/>
  <c r="F63" i="1"/>
  <c r="F64" i="1"/>
  <c r="F55" i="1"/>
  <c r="C59" i="1"/>
  <c r="F59" i="1" s="1"/>
  <c r="C58" i="1"/>
  <c r="F58" i="1" s="1"/>
  <c r="AW10" i="13" l="1"/>
  <c r="AV10" i="13"/>
  <c r="AT10" i="13"/>
  <c r="AU10" i="13"/>
  <c r="AY10" i="13"/>
  <c r="AR10" i="13"/>
  <c r="AX10" i="13"/>
  <c r="AQ10" i="13"/>
  <c r="K83" i="1"/>
  <c r="F83" i="1"/>
  <c r="G83" i="1"/>
  <c r="E83" i="1"/>
  <c r="C83" i="1"/>
  <c r="J83" i="1"/>
  <c r="I83" i="1"/>
  <c r="I84" i="1" s="1"/>
  <c r="H83" i="1"/>
  <c r="D83" i="1"/>
  <c r="W8" i="2"/>
  <c r="X8" i="2"/>
  <c r="Y8" i="2"/>
  <c r="Z8" i="2" s="1"/>
  <c r="U7" i="10"/>
  <c r="V7" i="10" s="1"/>
  <c r="G6" i="10"/>
  <c r="N6" i="10" s="1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N16" i="10" s="1"/>
  <c r="G22" i="10"/>
  <c r="G23" i="10"/>
  <c r="G5" i="10"/>
  <c r="F6" i="9"/>
  <c r="L5" i="9" s="1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L15" i="9" s="1"/>
  <c r="F21" i="9"/>
  <c r="F22" i="9"/>
  <c r="F23" i="9"/>
  <c r="F5" i="9"/>
  <c r="M16" i="8"/>
  <c r="M6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5" i="8"/>
  <c r="M15" i="7"/>
  <c r="M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5" i="7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8" i="2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8" i="3"/>
  <c r="C104" i="4"/>
  <c r="D104" i="4"/>
  <c r="B18" i="5"/>
  <c r="C18" i="5"/>
  <c r="L8" i="6"/>
  <c r="M5" i="11"/>
  <c r="G3" i="11"/>
  <c r="D5" i="12"/>
  <c r="D6" i="12"/>
  <c r="D7" i="12"/>
  <c r="D8" i="12"/>
  <c r="D9" i="12"/>
  <c r="D10" i="12"/>
  <c r="K84" i="1" l="1"/>
  <c r="J84" i="1"/>
  <c r="G84" i="1"/>
  <c r="H84" i="1"/>
  <c r="S18" i="2"/>
  <c r="S8" i="2"/>
  <c r="U9" i="3"/>
  <c r="U19" i="3"/>
  <c r="F4" i="11"/>
  <c r="E5" i="11"/>
  <c r="F5" i="11"/>
  <c r="E6" i="11"/>
  <c r="F6" i="11"/>
  <c r="E7" i="11"/>
  <c r="F7" i="11"/>
  <c r="E8" i="11"/>
  <c r="G8" i="11" s="1"/>
  <c r="I8" i="11" s="1"/>
  <c r="F8" i="11"/>
  <c r="E9" i="11"/>
  <c r="F9" i="11"/>
  <c r="E10" i="11"/>
  <c r="F10" i="11"/>
  <c r="E11" i="11"/>
  <c r="F11" i="11"/>
  <c r="E12" i="11"/>
  <c r="G12" i="11" s="1"/>
  <c r="I12" i="11" s="1"/>
  <c r="F12" i="11"/>
  <c r="E13" i="11"/>
  <c r="F13" i="11"/>
  <c r="E14" i="11"/>
  <c r="F14" i="11"/>
  <c r="E15" i="11"/>
  <c r="F15" i="11"/>
  <c r="E16" i="11"/>
  <c r="G16" i="11" s="1"/>
  <c r="I16" i="11" s="1"/>
  <c r="F16" i="11"/>
  <c r="E17" i="11"/>
  <c r="F17" i="11"/>
  <c r="E18" i="11"/>
  <c r="F18" i="11"/>
  <c r="E19" i="11"/>
  <c r="F19" i="11"/>
  <c r="E20" i="11"/>
  <c r="G20" i="11" s="1"/>
  <c r="I20" i="11" s="1"/>
  <c r="F20" i="11"/>
  <c r="E21" i="11"/>
  <c r="F21" i="11"/>
  <c r="E22" i="11"/>
  <c r="F22" i="11"/>
  <c r="E23" i="11"/>
  <c r="F23" i="11"/>
  <c r="E4" i="11"/>
  <c r="G4" i="11" s="1"/>
  <c r="I4" i="11" s="1"/>
  <c r="G23" i="11" l="1"/>
  <c r="I23" i="11" s="1"/>
  <c r="G19" i="11"/>
  <c r="I19" i="11" s="1"/>
  <c r="G15" i="11"/>
  <c r="I15" i="11" s="1"/>
  <c r="G11" i="11"/>
  <c r="I11" i="11" s="1"/>
  <c r="G7" i="11"/>
  <c r="I7" i="11" s="1"/>
  <c r="G22" i="11"/>
  <c r="I22" i="11" s="1"/>
  <c r="G18" i="11"/>
  <c r="I18" i="11" s="1"/>
  <c r="G14" i="11"/>
  <c r="G10" i="11"/>
  <c r="I10" i="11" s="1"/>
  <c r="G6" i="11"/>
  <c r="I6" i="11" s="1"/>
  <c r="L20" i="11" s="1"/>
  <c r="G21" i="11"/>
  <c r="G17" i="11"/>
  <c r="I17" i="11" s="1"/>
  <c r="G13" i="11"/>
  <c r="I13" i="11" s="1"/>
  <c r="G9" i="11"/>
  <c r="I9" i="11" s="1"/>
  <c r="G5" i="11"/>
  <c r="I5" i="11" s="1"/>
  <c r="F5" i="6"/>
  <c r="F6" i="6"/>
  <c r="F7" i="6"/>
  <c r="F8" i="6"/>
  <c r="F9" i="6"/>
  <c r="F10" i="6"/>
  <c r="F11" i="6"/>
  <c r="F12" i="6"/>
  <c r="F13" i="6"/>
  <c r="F14" i="6"/>
  <c r="F15" i="6"/>
  <c r="F4" i="6"/>
  <c r="G5" i="6"/>
  <c r="I5" i="6" s="1"/>
  <c r="G6" i="6"/>
  <c r="I6" i="6" s="1"/>
  <c r="G7" i="6"/>
  <c r="I7" i="6" s="1"/>
  <c r="G8" i="6"/>
  <c r="I8" i="6" s="1"/>
  <c r="G9" i="6"/>
  <c r="I9" i="6" s="1"/>
  <c r="G10" i="6"/>
  <c r="I10" i="6" s="1"/>
  <c r="G11" i="6"/>
  <c r="I11" i="6" s="1"/>
  <c r="G12" i="6"/>
  <c r="I12" i="6" s="1"/>
  <c r="G13" i="6"/>
  <c r="I13" i="6" s="1"/>
  <c r="G14" i="6"/>
  <c r="I14" i="6" s="1"/>
  <c r="G15" i="6"/>
  <c r="I15" i="6" s="1"/>
  <c r="G4" i="6"/>
  <c r="I4" i="6" s="1"/>
  <c r="E15" i="6"/>
  <c r="E5" i="6"/>
  <c r="E6" i="6"/>
  <c r="E7" i="6"/>
  <c r="E8" i="6"/>
  <c r="E9" i="6"/>
  <c r="E10" i="6"/>
  <c r="E11" i="6"/>
  <c r="H11" i="6" s="1"/>
  <c r="E12" i="6"/>
  <c r="H12" i="6" s="1"/>
  <c r="E13" i="6"/>
  <c r="E14" i="6"/>
  <c r="E4" i="6"/>
  <c r="L9" i="11" l="1"/>
  <c r="M9" i="11" s="1"/>
  <c r="I21" i="11"/>
  <c r="L30" i="11" s="1"/>
  <c r="L8" i="11"/>
  <c r="M8" i="11" s="1"/>
  <c r="I14" i="11"/>
  <c r="P8" i="11"/>
  <c r="Q8" i="11" s="1"/>
  <c r="L6" i="11"/>
  <c r="M6" i="11" s="1"/>
  <c r="P9" i="11"/>
  <c r="Q9" i="11" s="1"/>
  <c r="P7" i="11"/>
  <c r="Q7" i="11" s="1"/>
  <c r="L7" i="11"/>
  <c r="P6" i="11"/>
  <c r="D4" i="5"/>
  <c r="F4" i="5" s="1"/>
  <c r="D5" i="5"/>
  <c r="F5" i="5" s="1"/>
  <c r="D6" i="5"/>
  <c r="F6" i="5" s="1"/>
  <c r="D7" i="5"/>
  <c r="F7" i="5" s="1"/>
  <c r="D8" i="5"/>
  <c r="F8" i="5" s="1"/>
  <c r="D9" i="5"/>
  <c r="F9" i="5" s="1"/>
  <c r="D10" i="5"/>
  <c r="F10" i="5" s="1"/>
  <c r="D11" i="5"/>
  <c r="F11" i="5" s="1"/>
  <c r="D12" i="5"/>
  <c r="F12" i="5" s="1"/>
  <c r="D13" i="5"/>
  <c r="F13" i="5" s="1"/>
  <c r="D14" i="5"/>
  <c r="F14" i="5" s="1"/>
  <c r="D15" i="5"/>
  <c r="F15" i="5" s="1"/>
  <c r="D16" i="5"/>
  <c r="F16" i="5" s="1"/>
  <c r="D17" i="5"/>
  <c r="F17" i="5" s="1"/>
  <c r="D3" i="5"/>
  <c r="C19" i="5"/>
  <c r="B19" i="5"/>
  <c r="E105" i="4"/>
  <c r="E103" i="4"/>
  <c r="G103" i="4" s="1"/>
  <c r="E102" i="4"/>
  <c r="G102" i="4" s="1"/>
  <c r="E101" i="4"/>
  <c r="G101" i="4" s="1"/>
  <c r="E100" i="4"/>
  <c r="G100" i="4" s="1"/>
  <c r="E99" i="4"/>
  <c r="G99" i="4" s="1"/>
  <c r="E98" i="4"/>
  <c r="G98" i="4" s="1"/>
  <c r="E97" i="4"/>
  <c r="G97" i="4" s="1"/>
  <c r="E96" i="4"/>
  <c r="G96" i="4" s="1"/>
  <c r="E95" i="4"/>
  <c r="G95" i="4" s="1"/>
  <c r="E94" i="4"/>
  <c r="G94" i="4" s="1"/>
  <c r="E93" i="4"/>
  <c r="G93" i="4" s="1"/>
  <c r="E92" i="4"/>
  <c r="G92" i="4" s="1"/>
  <c r="E91" i="4"/>
  <c r="G91" i="4" s="1"/>
  <c r="E90" i="4"/>
  <c r="G90" i="4" s="1"/>
  <c r="E89" i="4"/>
  <c r="G89" i="4" s="1"/>
  <c r="E88" i="4"/>
  <c r="G88" i="4" s="1"/>
  <c r="E87" i="4"/>
  <c r="G87" i="4" s="1"/>
  <c r="E86" i="4"/>
  <c r="G86" i="4" s="1"/>
  <c r="E85" i="4"/>
  <c r="G85" i="4" s="1"/>
  <c r="E84" i="4"/>
  <c r="G84" i="4" s="1"/>
  <c r="E83" i="4"/>
  <c r="G83" i="4" s="1"/>
  <c r="E82" i="4"/>
  <c r="G82" i="4" s="1"/>
  <c r="E81" i="4"/>
  <c r="G81" i="4" s="1"/>
  <c r="E80" i="4"/>
  <c r="G80" i="4" s="1"/>
  <c r="E79" i="4"/>
  <c r="G79" i="4" s="1"/>
  <c r="E78" i="4"/>
  <c r="G78" i="4" s="1"/>
  <c r="E77" i="4"/>
  <c r="G77" i="4" s="1"/>
  <c r="E76" i="4"/>
  <c r="G76" i="4" s="1"/>
  <c r="E75" i="4"/>
  <c r="G75" i="4" s="1"/>
  <c r="E74" i="4"/>
  <c r="G74" i="4" s="1"/>
  <c r="E73" i="4"/>
  <c r="G73" i="4" s="1"/>
  <c r="E72" i="4"/>
  <c r="G72" i="4" s="1"/>
  <c r="E71" i="4"/>
  <c r="G71" i="4" s="1"/>
  <c r="E70" i="4"/>
  <c r="G70" i="4" s="1"/>
  <c r="E69" i="4"/>
  <c r="G69" i="4" s="1"/>
  <c r="E68" i="4"/>
  <c r="G68" i="4" s="1"/>
  <c r="E67" i="4"/>
  <c r="G67" i="4" s="1"/>
  <c r="E66" i="4"/>
  <c r="G66" i="4" s="1"/>
  <c r="E65" i="4"/>
  <c r="G65" i="4" s="1"/>
  <c r="E64" i="4"/>
  <c r="G64" i="4" s="1"/>
  <c r="E63" i="4"/>
  <c r="G63" i="4" s="1"/>
  <c r="E62" i="4"/>
  <c r="G62" i="4" s="1"/>
  <c r="E61" i="4"/>
  <c r="G61" i="4" s="1"/>
  <c r="E60" i="4"/>
  <c r="G60" i="4" s="1"/>
  <c r="E59" i="4"/>
  <c r="G59" i="4" s="1"/>
  <c r="E58" i="4"/>
  <c r="G58" i="4" s="1"/>
  <c r="E57" i="4"/>
  <c r="G57" i="4" s="1"/>
  <c r="E56" i="4"/>
  <c r="G56" i="4" s="1"/>
  <c r="E55" i="4"/>
  <c r="G55" i="4" s="1"/>
  <c r="E54" i="4"/>
  <c r="G54" i="4" s="1"/>
  <c r="E53" i="4"/>
  <c r="G53" i="4" s="1"/>
  <c r="E52" i="4"/>
  <c r="G52" i="4" s="1"/>
  <c r="E51" i="4"/>
  <c r="G51" i="4" s="1"/>
  <c r="E50" i="4"/>
  <c r="G50" i="4" s="1"/>
  <c r="E49" i="4"/>
  <c r="G49" i="4" s="1"/>
  <c r="E48" i="4"/>
  <c r="G48" i="4" s="1"/>
  <c r="E47" i="4"/>
  <c r="G47" i="4" s="1"/>
  <c r="E46" i="4"/>
  <c r="G46" i="4" s="1"/>
  <c r="E45" i="4"/>
  <c r="G45" i="4" s="1"/>
  <c r="E44" i="4"/>
  <c r="G44" i="4" s="1"/>
  <c r="E43" i="4"/>
  <c r="G43" i="4" s="1"/>
  <c r="E42" i="4"/>
  <c r="G42" i="4" s="1"/>
  <c r="E41" i="4"/>
  <c r="G41" i="4" s="1"/>
  <c r="E40" i="4"/>
  <c r="G40" i="4" s="1"/>
  <c r="E39" i="4"/>
  <c r="G39" i="4" s="1"/>
  <c r="E38" i="4"/>
  <c r="G38" i="4" s="1"/>
  <c r="E37" i="4"/>
  <c r="G37" i="4" s="1"/>
  <c r="E36" i="4"/>
  <c r="G36" i="4" s="1"/>
  <c r="E35" i="4"/>
  <c r="G35" i="4" s="1"/>
  <c r="E34" i="4"/>
  <c r="G34" i="4" s="1"/>
  <c r="E33" i="4"/>
  <c r="G33" i="4" s="1"/>
  <c r="E32" i="4"/>
  <c r="G32" i="4" s="1"/>
  <c r="E31" i="4"/>
  <c r="G31" i="4" s="1"/>
  <c r="E30" i="4"/>
  <c r="G30" i="4" s="1"/>
  <c r="E29" i="4"/>
  <c r="G29" i="4" s="1"/>
  <c r="E28" i="4"/>
  <c r="G28" i="4" s="1"/>
  <c r="E27" i="4"/>
  <c r="G27" i="4" s="1"/>
  <c r="E26" i="4"/>
  <c r="G26" i="4" s="1"/>
  <c r="E25" i="4"/>
  <c r="G25" i="4" s="1"/>
  <c r="E24" i="4"/>
  <c r="G24" i="4" s="1"/>
  <c r="E23" i="4"/>
  <c r="G23" i="4" s="1"/>
  <c r="E22" i="4"/>
  <c r="G22" i="4" s="1"/>
  <c r="E21" i="4"/>
  <c r="G21" i="4" s="1"/>
  <c r="E20" i="4"/>
  <c r="G20" i="4" s="1"/>
  <c r="E19" i="4"/>
  <c r="G19" i="4" s="1"/>
  <c r="E18" i="4"/>
  <c r="G18" i="4" s="1"/>
  <c r="E17" i="4"/>
  <c r="G17" i="4" s="1"/>
  <c r="E16" i="4"/>
  <c r="G16" i="4" s="1"/>
  <c r="E15" i="4"/>
  <c r="G15" i="4" s="1"/>
  <c r="E14" i="4"/>
  <c r="G14" i="4" s="1"/>
  <c r="E13" i="4"/>
  <c r="G13" i="4" s="1"/>
  <c r="E12" i="4"/>
  <c r="G12" i="4" s="1"/>
  <c r="E11" i="4"/>
  <c r="G11" i="4" s="1"/>
  <c r="E10" i="4"/>
  <c r="G10" i="4" s="1"/>
  <c r="E9" i="4"/>
  <c r="G9" i="4" s="1"/>
  <c r="E8" i="4"/>
  <c r="G8" i="4" s="1"/>
  <c r="E7" i="4"/>
  <c r="G7" i="4" s="1"/>
  <c r="E6" i="4"/>
  <c r="G6" i="4" s="1"/>
  <c r="E5" i="4"/>
  <c r="G5" i="4" s="1"/>
  <c r="E4" i="4"/>
  <c r="G4" i="4" s="1"/>
  <c r="E3" i="4"/>
  <c r="G3" i="4" s="1"/>
  <c r="E2" i="4"/>
  <c r="D11" i="12"/>
  <c r="N11" i="4" l="1"/>
  <c r="N8" i="4"/>
  <c r="N5" i="4"/>
  <c r="N13" i="4"/>
  <c r="N10" i="4"/>
  <c r="N4" i="4"/>
  <c r="N7" i="4"/>
  <c r="N12" i="4"/>
  <c r="N9" i="4"/>
  <c r="N6" i="4"/>
  <c r="I6" i="5"/>
  <c r="I16" i="5"/>
  <c r="Q6" i="11"/>
  <c r="P10" i="11"/>
  <c r="Q10" i="11" s="1"/>
  <c r="L10" i="11"/>
  <c r="M10" i="11" s="1"/>
  <c r="M7" i="11"/>
  <c r="E104" i="4"/>
  <c r="G104" i="4" s="1"/>
  <c r="D18" i="5"/>
  <c r="F18" i="5" s="1"/>
  <c r="D19" i="5"/>
</calcChain>
</file>

<file path=xl/sharedStrings.xml><?xml version="1.0" encoding="utf-8"?>
<sst xmlns="http://schemas.openxmlformats.org/spreadsheetml/2006/main" count="818" uniqueCount="123">
  <si>
    <t>Age</t>
  </si>
  <si>
    <t>Total</t>
  </si>
  <si>
    <t>Rural</t>
  </si>
  <si>
    <t>Urban</t>
  </si>
  <si>
    <t>Persons</t>
  </si>
  <si>
    <t>Males</t>
  </si>
  <si>
    <t>Females</t>
  </si>
  <si>
    <t>All ages</t>
  </si>
  <si>
    <t>100+</t>
  </si>
  <si>
    <t>Age not stated</t>
  </si>
  <si>
    <t>All Ages</t>
  </si>
  <si>
    <t>Female</t>
  </si>
  <si>
    <t>0-9</t>
  </si>
  <si>
    <t xml:space="preserve"> 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</si>
  <si>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</si>
  <si>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</si>
  <si>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</si>
  <si>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</si>
  <si>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</si>
  <si>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</si>
  <si>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</si>
  <si>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</si>
  <si>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</si>
  <si>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</si>
  <si>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</si>
  <si>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70+</t>
  </si>
  <si>
    <t>Male</t>
  </si>
  <si>
    <t>0-4</t>
  </si>
  <si>
    <t xml:space="preserve"> 5-9</t>
  </si>
  <si>
    <t xml:space="preserve"> 10-14</t>
  </si>
  <si>
    <t>60+</t>
  </si>
  <si>
    <t>Age Not Stated</t>
  </si>
  <si>
    <t>40-49</t>
  </si>
  <si>
    <t>50-59</t>
  </si>
  <si>
    <t>Given</t>
  </si>
  <si>
    <t>Computed</t>
  </si>
  <si>
    <r>
      <rPr>
        <b/>
        <sz val="10"/>
        <rFont val="Palatino Linotype"/>
        <family val="1"/>
      </rPr>
      <t>Age group</t>
    </r>
  </si>
  <si>
    <r>
      <rPr>
        <sz val="10"/>
        <rFont val="Trebuchet MS"/>
        <family val="2"/>
      </rPr>
      <t>0-1</t>
    </r>
  </si>
  <si>
    <r>
      <rPr>
        <sz val="10"/>
        <rFont val="Trebuchet MS"/>
        <family val="2"/>
      </rPr>
      <t>0-4</t>
    </r>
  </si>
  <si>
    <r>
      <rPr>
        <sz val="10"/>
        <rFont val="Trebuchet MS"/>
        <family val="2"/>
      </rPr>
      <t>5-9</t>
    </r>
  </si>
  <si>
    <r>
      <rPr>
        <sz val="10"/>
        <rFont val="Trebuchet MS"/>
        <family val="2"/>
      </rPr>
      <t>10-14</t>
    </r>
  </si>
  <si>
    <r>
      <rPr>
        <sz val="10"/>
        <rFont val="Trebuchet MS"/>
        <family val="2"/>
      </rPr>
      <t>15-19</t>
    </r>
  </si>
  <si>
    <r>
      <rPr>
        <sz val="10"/>
        <rFont val="Trebuchet MS"/>
        <family val="2"/>
      </rPr>
      <t>20-24</t>
    </r>
  </si>
  <si>
    <r>
      <rPr>
        <sz val="10"/>
        <rFont val="Trebuchet MS"/>
        <family val="2"/>
      </rPr>
      <t>25-29</t>
    </r>
  </si>
  <si>
    <r>
      <rPr>
        <sz val="10"/>
        <rFont val="Trebuchet MS"/>
        <family val="2"/>
      </rPr>
      <t>30-34</t>
    </r>
  </si>
  <si>
    <r>
      <rPr>
        <sz val="10"/>
        <rFont val="Trebuchet MS"/>
        <family val="2"/>
      </rPr>
      <t>35-39</t>
    </r>
  </si>
  <si>
    <r>
      <rPr>
        <sz val="10"/>
        <rFont val="Trebuchet MS"/>
        <family val="2"/>
      </rPr>
      <t>40-44</t>
    </r>
  </si>
  <si>
    <r>
      <rPr>
        <sz val="10"/>
        <rFont val="Trebuchet MS"/>
        <family val="2"/>
      </rPr>
      <t>45-49</t>
    </r>
  </si>
  <si>
    <r>
      <rPr>
        <sz val="10"/>
        <rFont val="Trebuchet MS"/>
        <family val="2"/>
      </rPr>
      <t>50-54</t>
    </r>
  </si>
  <si>
    <r>
      <rPr>
        <sz val="10"/>
        <rFont val="Trebuchet MS"/>
        <family val="2"/>
      </rPr>
      <t>55-59</t>
    </r>
  </si>
  <si>
    <r>
      <rPr>
        <sz val="10"/>
        <rFont val="Trebuchet MS"/>
        <family val="2"/>
      </rPr>
      <t>60-64</t>
    </r>
  </si>
  <si>
    <r>
      <rPr>
        <sz val="10"/>
        <rFont val="Trebuchet MS"/>
        <family val="2"/>
      </rPr>
      <t>65-69</t>
    </r>
  </si>
  <si>
    <r>
      <rPr>
        <sz val="10"/>
        <rFont val="Trebuchet MS"/>
        <family val="2"/>
      </rPr>
      <t>70-74</t>
    </r>
  </si>
  <si>
    <r>
      <rPr>
        <sz val="10"/>
        <rFont val="Trebuchet MS"/>
        <family val="2"/>
      </rPr>
      <t>75-79</t>
    </r>
  </si>
  <si>
    <r>
      <rPr>
        <sz val="10"/>
        <rFont val="Trebuchet MS"/>
        <family val="2"/>
      </rPr>
      <t>80+</t>
    </r>
  </si>
  <si>
    <r>
      <rPr>
        <b/>
        <sz val="10"/>
        <rFont val="Palatino Linotype"/>
        <family val="1"/>
      </rPr>
      <t>Total</t>
    </r>
  </si>
  <si>
    <r>
      <rPr>
        <b/>
        <sz val="10"/>
        <rFont val="Palatino Linotype"/>
        <family val="1"/>
      </rPr>
      <t>Person</t>
    </r>
  </si>
  <si>
    <r>
      <rPr>
        <b/>
        <sz val="10"/>
        <rFont val="Palatino Linotype"/>
        <family val="1"/>
      </rPr>
      <t>Male</t>
    </r>
  </si>
  <si>
    <r>
      <rPr>
        <b/>
        <sz val="10"/>
        <rFont val="Palatino Linotype"/>
        <family val="1"/>
      </rPr>
      <t>Female</t>
    </r>
  </si>
  <si>
    <t>5-9</t>
  </si>
  <si>
    <t>10-14</t>
  </si>
  <si>
    <t>70-74</t>
  </si>
  <si>
    <t>75-79</t>
  </si>
  <si>
    <t>80+</t>
  </si>
  <si>
    <t>M</t>
  </si>
  <si>
    <t>F</t>
  </si>
  <si>
    <t>ANS</t>
  </si>
  <si>
    <t xml:space="preserve"> 0-1</t>
  </si>
  <si>
    <t xml:space="preserve"> 1-4</t>
  </si>
  <si>
    <t xml:space="preserve"> 5-14</t>
  </si>
  <si>
    <t>55+</t>
  </si>
  <si>
    <t>45-54</t>
  </si>
  <si>
    <t>Percentage</t>
  </si>
  <si>
    <t>15-34</t>
  </si>
  <si>
    <t>35-44</t>
  </si>
  <si>
    <t xml:space="preserve"> 5-19</t>
  </si>
  <si>
    <t>Population in '000</t>
  </si>
  <si>
    <t>20-59</t>
  </si>
  <si>
    <t>Given percentage based on 10% sample size</t>
  </si>
  <si>
    <t>Population</t>
  </si>
  <si>
    <t>15-59</t>
  </si>
  <si>
    <t>0-14</t>
  </si>
  <si>
    <t>0-1</t>
  </si>
  <si>
    <t xml:space="preserve">Female share </t>
  </si>
  <si>
    <t>Person</t>
  </si>
  <si>
    <t>NA</t>
  </si>
  <si>
    <t>Odisha- Year wise Population Total- census and Projected figures</t>
  </si>
  <si>
    <t>ANS- Age Not States</t>
  </si>
  <si>
    <t>Projected Population, in 000'</t>
  </si>
  <si>
    <t>64+</t>
  </si>
  <si>
    <t>15-64</t>
  </si>
  <si>
    <t>youth dependency ratio</t>
  </si>
  <si>
    <t>old dependency ratio</t>
  </si>
  <si>
    <t>65+</t>
  </si>
  <si>
    <t>youth dr</t>
  </si>
  <si>
    <t>old dr</t>
  </si>
  <si>
    <t>dr</t>
  </si>
  <si>
    <t>tot pop 0-14 &amp; 64+</t>
  </si>
  <si>
    <t>Decadal growth rate in %</t>
  </si>
  <si>
    <t>15-24</t>
  </si>
  <si>
    <t>25-59</t>
  </si>
  <si>
    <t>Sex Ratio</t>
  </si>
  <si>
    <t>Distribution of 1,000 persons of each sex at different age groups according to their Marital status in 1951.</t>
  </si>
  <si>
    <t>25-34</t>
  </si>
  <si>
    <t>45+</t>
  </si>
  <si>
    <t>Unmarried</t>
  </si>
  <si>
    <t>Married</t>
  </si>
  <si>
    <t>Widowed</t>
  </si>
  <si>
    <t>15-44</t>
  </si>
  <si>
    <t>0-19</t>
  </si>
  <si>
    <t>20-34</t>
  </si>
  <si>
    <t>35-59</t>
  </si>
  <si>
    <t>Odisha</t>
  </si>
  <si>
    <t>Source- Technical expert committee, ORGI- 2021-2036</t>
  </si>
  <si>
    <t>5-9"</t>
  </si>
  <si>
    <t>10-14"</t>
  </si>
  <si>
    <t>15-29</t>
  </si>
  <si>
    <t>Increase in Number from Previous Decade</t>
  </si>
  <si>
    <t>Share of Total Popln</t>
  </si>
  <si>
    <t>30+</t>
  </si>
  <si>
    <t>Share</t>
  </si>
  <si>
    <t>30-59</t>
  </si>
  <si>
    <t>Change in Population Age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</si>
</sst>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_ * #,##0.0_ ;_ * \-#,##0.0_ ;_ * &quot;-&quot;??_ ;_ @_ "/>
    <numFmt numFmtId="167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Palatino Linotype"/>
      <family val="1"/>
    </font>
    <font>
      <b/>
      <sz val="10"/>
      <color rgb="FF000000"/>
      <name val="Palatino Linotype"/>
      <family val="2"/>
    </font>
    <font>
      <sz val="10"/>
      <name val="Trebuchet MS"/>
      <family val="2"/>
    </font>
    <font>
      <b/>
      <sz val="10"/>
      <color rgb="FFFFFFFF"/>
      <name val="Palatino Linotype"/>
      <family val="2"/>
    </font>
    <font>
      <sz val="10"/>
      <color rgb="FF000000"/>
      <name val="Trebuchet MS"/>
      <family val="2"/>
    </font>
    <font>
      <sz val="9.9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000000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251">
    <xf numFmtId="0" fontId="0" fillId="0" borderId="0" xfId="0"/>
    <xf numFmtId="3" fontId="3" fillId="0" borderId="1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/>
    <xf numFmtId="3" fontId="3" fillId="0" borderId="0" xfId="0" applyNumberFormat="1" applyFont="1" applyAlignment="1">
      <alignment horizontal="left"/>
    </xf>
    <xf numFmtId="0" fontId="4" fillId="0" borderId="0" xfId="2"/>
    <xf numFmtId="3" fontId="3" fillId="0" borderId="1" xfId="2" applyNumberFormat="1" applyFont="1" applyBorder="1" applyAlignment="1">
      <alignment horizontal="center"/>
    </xf>
    <xf numFmtId="3" fontId="3" fillId="0" borderId="0" xfId="2" applyNumberFormat="1" applyFont="1" applyAlignment="1">
      <alignment horizontal="left"/>
    </xf>
    <xf numFmtId="3" fontId="3" fillId="0" borderId="0" xfId="2" applyNumberFormat="1" applyFont="1" applyAlignment="1">
      <alignment horizontal="center"/>
    </xf>
    <xf numFmtId="0" fontId="6" fillId="0" borderId="0" xfId="0" applyFont="1"/>
    <xf numFmtId="17" fontId="0" fillId="0" borderId="0" xfId="0" applyNumberFormat="1"/>
    <xf numFmtId="16" fontId="0" fillId="0" borderId="0" xfId="0" applyNumberFormat="1"/>
    <xf numFmtId="164" fontId="7" fillId="0" borderId="4" xfId="1" applyNumberFormat="1" applyFont="1" applyFill="1" applyBorder="1" applyAlignment="1">
      <alignment horizontal="right" wrapText="1"/>
    </xf>
    <xf numFmtId="164" fontId="7" fillId="0" borderId="5" xfId="1" applyNumberFormat="1" applyFont="1" applyFill="1" applyBorder="1" applyAlignment="1">
      <alignment horizontal="right" wrapText="1"/>
    </xf>
    <xf numFmtId="164" fontId="7" fillId="0" borderId="6" xfId="1" applyNumberFormat="1" applyFont="1" applyFill="1" applyBorder="1" applyAlignment="1">
      <alignment horizontal="right" wrapText="1"/>
    </xf>
    <xf numFmtId="43" fontId="0" fillId="0" borderId="0" xfId="0" applyNumberFormat="1"/>
    <xf numFmtId="165" fontId="0" fillId="0" borderId="0" xfId="0" applyNumberFormat="1"/>
    <xf numFmtId="0" fontId="0" fillId="0" borderId="3" xfId="0" applyBorder="1" applyAlignment="1">
      <alignment horizontal="center"/>
    </xf>
    <xf numFmtId="1" fontId="9" fillId="2" borderId="8" xfId="0" applyNumberFormat="1" applyFont="1" applyFill="1" applyBorder="1" applyAlignment="1">
      <alignment horizontal="center" vertical="top" shrinkToFit="1"/>
    </xf>
    <xf numFmtId="0" fontId="10" fillId="0" borderId="9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8" fillId="2" borderId="7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wrapText="1"/>
    </xf>
    <xf numFmtId="1" fontId="11" fillId="3" borderId="0" xfId="0" applyNumberFormat="1" applyFont="1" applyFill="1" applyAlignment="1">
      <alignment horizontal="right" vertical="top" indent="1" shrinkToFit="1"/>
    </xf>
    <xf numFmtId="0" fontId="8" fillId="2" borderId="7" xfId="0" applyFont="1" applyFill="1" applyBorder="1" applyAlignment="1">
      <alignment horizontal="right" vertical="top" wrapText="1"/>
    </xf>
    <xf numFmtId="0" fontId="8" fillId="2" borderId="7" xfId="0" applyFont="1" applyFill="1" applyBorder="1" applyAlignment="1">
      <alignment horizontal="right" vertical="top" wrapText="1" indent="1"/>
    </xf>
    <xf numFmtId="1" fontId="12" fillId="0" borderId="9" xfId="0" applyNumberFormat="1" applyFont="1" applyBorder="1" applyAlignment="1">
      <alignment horizontal="right" vertical="top" shrinkToFit="1"/>
    </xf>
    <xf numFmtId="3" fontId="12" fillId="0" borderId="0" xfId="0" applyNumberFormat="1" applyFont="1" applyAlignment="1">
      <alignment horizontal="right" vertical="top" shrinkToFit="1"/>
    </xf>
    <xf numFmtId="1" fontId="12" fillId="0" borderId="0" xfId="0" applyNumberFormat="1" applyFont="1" applyAlignment="1">
      <alignment horizontal="right" vertical="top" shrinkToFit="1"/>
    </xf>
    <xf numFmtId="3" fontId="12" fillId="2" borderId="7" xfId="0" applyNumberFormat="1" applyFont="1" applyFill="1" applyBorder="1" applyAlignment="1">
      <alignment horizontal="right" vertical="top" shrinkToFit="1"/>
    </xf>
    <xf numFmtId="1" fontId="11" fillId="3" borderId="0" xfId="0" applyNumberFormat="1" applyFont="1" applyFill="1" applyAlignment="1">
      <alignment horizontal="left" vertical="top" indent="1" shrinkToFit="1"/>
    </xf>
    <xf numFmtId="0" fontId="2" fillId="0" borderId="10" xfId="0" applyFont="1" applyBorder="1" applyAlignment="1">
      <alignment horizontal="center"/>
    </xf>
    <xf numFmtId="0" fontId="0" fillId="0" borderId="10" xfId="0" applyBorder="1"/>
    <xf numFmtId="3" fontId="5" fillId="0" borderId="13" xfId="0" applyNumberFormat="1" applyFont="1" applyBorder="1" applyAlignment="1">
      <alignment horizontal="center"/>
    </xf>
    <xf numFmtId="3" fontId="5" fillId="0" borderId="14" xfId="0" applyNumberFormat="1" applyFont="1" applyBorder="1" applyAlignment="1">
      <alignment horizontal="center"/>
    </xf>
    <xf numFmtId="3" fontId="5" fillId="0" borderId="15" xfId="0" applyNumberFormat="1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3" fontId="5" fillId="0" borderId="16" xfId="0" applyNumberFormat="1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3" xfId="0" applyBorder="1"/>
    <xf numFmtId="164" fontId="7" fillId="0" borderId="3" xfId="1" applyNumberFormat="1" applyFont="1" applyFill="1" applyBorder="1" applyAlignment="1">
      <alignment horizontal="right" wrapText="1"/>
    </xf>
    <xf numFmtId="165" fontId="0" fillId="0" borderId="3" xfId="0" applyNumberFormat="1" applyBorder="1"/>
    <xf numFmtId="165" fontId="13" fillId="0" borderId="3" xfId="1" applyNumberFormat="1" applyFont="1" applyFill="1" applyBorder="1" applyAlignment="1">
      <alignment vertical="center" wrapText="1"/>
    </xf>
    <xf numFmtId="166" fontId="0" fillId="0" borderId="0" xfId="0" applyNumberFormat="1"/>
    <xf numFmtId="17" fontId="0" fillId="0" borderId="3" xfId="0" applyNumberFormat="1" applyBorder="1"/>
    <xf numFmtId="0" fontId="2" fillId="0" borderId="3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3" fontId="5" fillId="0" borderId="18" xfId="0" applyNumberFormat="1" applyFont="1" applyBorder="1" applyAlignment="1">
      <alignment horizontal="center"/>
    </xf>
    <xf numFmtId="167" fontId="0" fillId="0" borderId="0" xfId="0" applyNumberFormat="1"/>
    <xf numFmtId="0" fontId="10" fillId="0" borderId="10" xfId="0" applyFont="1" applyBorder="1" applyAlignment="1">
      <alignment vertical="top" wrapText="1"/>
    </xf>
    <xf numFmtId="167" fontId="0" fillId="0" borderId="12" xfId="0" applyNumberFormat="1" applyBorder="1"/>
    <xf numFmtId="167" fontId="0" fillId="0" borderId="17" xfId="0" applyNumberFormat="1" applyBorder="1"/>
    <xf numFmtId="17" fontId="0" fillId="0" borderId="16" xfId="0" applyNumberFormat="1" applyBorder="1"/>
    <xf numFmtId="167" fontId="0" fillId="0" borderId="15" xfId="0" applyNumberFormat="1" applyBorder="1"/>
    <xf numFmtId="0" fontId="0" fillId="0" borderId="12" xfId="0" applyBorder="1"/>
    <xf numFmtId="164" fontId="0" fillId="0" borderId="0" xfId="0" applyNumberFormat="1"/>
    <xf numFmtId="3" fontId="5" fillId="0" borderId="10" xfId="0" applyNumberFormat="1" applyFont="1" applyBorder="1" applyAlignment="1">
      <alignment horizontal="center"/>
    </xf>
    <xf numFmtId="166" fontId="0" fillId="0" borderId="17" xfId="0" applyNumberFormat="1" applyBorder="1"/>
    <xf numFmtId="166" fontId="0" fillId="0" borderId="15" xfId="0" applyNumberFormat="1" applyBorder="1"/>
    <xf numFmtId="166" fontId="0" fillId="0" borderId="3" xfId="0" applyNumberFormat="1" applyBorder="1"/>
    <xf numFmtId="167" fontId="0" fillId="0" borderId="3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167" fontId="0" fillId="0" borderId="22" xfId="0" applyNumberFormat="1" applyBorder="1"/>
    <xf numFmtId="0" fontId="0" fillId="0" borderId="23" xfId="0" applyBorder="1"/>
    <xf numFmtId="166" fontId="0" fillId="0" borderId="24" xfId="0" applyNumberFormat="1" applyBorder="1"/>
    <xf numFmtId="167" fontId="0" fillId="0" borderId="24" xfId="0" applyNumberFormat="1" applyBorder="1"/>
    <xf numFmtId="167" fontId="0" fillId="0" borderId="25" xfId="0" applyNumberFormat="1" applyBorder="1"/>
    <xf numFmtId="0" fontId="10" fillId="0" borderId="16" xfId="0" applyFont="1" applyBorder="1" applyAlignment="1">
      <alignment vertical="top" wrapText="1"/>
    </xf>
    <xf numFmtId="43" fontId="0" fillId="0" borderId="17" xfId="0" applyNumberFormat="1" applyBorder="1"/>
    <xf numFmtId="43" fontId="0" fillId="0" borderId="15" xfId="0" applyNumberFormat="1" applyBorder="1"/>
    <xf numFmtId="0" fontId="0" fillId="0" borderId="11" xfId="0" applyBorder="1"/>
    <xf numFmtId="164" fontId="0" fillId="0" borderId="14" xfId="0" applyNumberFormat="1" applyBorder="1"/>
    <xf numFmtId="0" fontId="0" fillId="0" borderId="28" xfId="0" applyBorder="1" applyAlignment="1">
      <alignment horizontal="center"/>
    </xf>
    <xf numFmtId="2" fontId="0" fillId="0" borderId="0" xfId="0" applyNumberFormat="1"/>
    <xf numFmtId="2" fontId="0" fillId="0" borderId="12" xfId="0" applyNumberFormat="1" applyBorder="1"/>
    <xf numFmtId="2" fontId="0" fillId="0" borderId="22" xfId="0" applyNumberFormat="1" applyBorder="1"/>
    <xf numFmtId="0" fontId="0" fillId="0" borderId="29" xfId="0" applyBorder="1"/>
    <xf numFmtId="2" fontId="0" fillId="0" borderId="15" xfId="0" applyNumberFormat="1" applyBorder="1"/>
    <xf numFmtId="2" fontId="6" fillId="0" borderId="17" xfId="0" applyNumberFormat="1" applyFont="1" applyBorder="1"/>
    <xf numFmtId="2" fontId="0" fillId="0" borderId="17" xfId="0" applyNumberFormat="1" applyBorder="1"/>
    <xf numFmtId="2" fontId="4" fillId="0" borderId="12" xfId="2" applyNumberFormat="1" applyBorder="1"/>
    <xf numFmtId="0" fontId="0" fillId="0" borderId="30" xfId="0" applyBorder="1"/>
    <xf numFmtId="0" fontId="0" fillId="0" borderId="31" xfId="0" applyBorder="1"/>
    <xf numFmtId="2" fontId="12" fillId="0" borderId="12" xfId="0" applyNumberFormat="1" applyFont="1" applyBorder="1" applyAlignment="1">
      <alignment horizontal="right" vertical="top" shrinkToFit="1"/>
    </xf>
    <xf numFmtId="4" fontId="12" fillId="0" borderId="17" xfId="0" applyNumberFormat="1" applyFont="1" applyBorder="1" applyAlignment="1">
      <alignment horizontal="right" vertical="top" shrinkToFit="1"/>
    </xf>
    <xf numFmtId="4" fontId="0" fillId="0" borderId="17" xfId="0" applyNumberFormat="1" applyBorder="1"/>
    <xf numFmtId="4" fontId="0" fillId="0" borderId="15" xfId="0" applyNumberFormat="1" applyBorder="1"/>
    <xf numFmtId="2" fontId="0" fillId="0" borderId="14" xfId="0" applyNumberFormat="1" applyBorder="1"/>
    <xf numFmtId="2" fontId="12" fillId="0" borderId="12" xfId="0" applyNumberFormat="1" applyFont="1" applyBorder="1" applyAlignment="1">
      <alignment vertical="top" shrinkToFit="1"/>
    </xf>
    <xf numFmtId="0" fontId="0" fillId="0" borderId="32" xfId="0" applyBorder="1"/>
    <xf numFmtId="0" fontId="0" fillId="0" borderId="26" xfId="0" applyBorder="1"/>
    <xf numFmtId="3" fontId="5" fillId="0" borderId="27" xfId="0" applyNumberFormat="1" applyFont="1" applyBorder="1" applyAlignment="1">
      <alignment horizontal="center"/>
    </xf>
    <xf numFmtId="0" fontId="0" fillId="0" borderId="33" xfId="0" applyBorder="1"/>
    <xf numFmtId="0" fontId="0" fillId="0" borderId="0" xfId="0" applyAlignment="1">
      <alignment horizontal="center"/>
    </xf>
    <xf numFmtId="43" fontId="0" fillId="0" borderId="14" xfId="0" applyNumberFormat="1" applyBorder="1"/>
    <xf numFmtId="167" fontId="0" fillId="0" borderId="14" xfId="0" applyNumberFormat="1" applyBorder="1"/>
    <xf numFmtId="0" fontId="2" fillId="0" borderId="32" xfId="0" applyFont="1" applyBorder="1"/>
    <xf numFmtId="3" fontId="14" fillId="0" borderId="32" xfId="0" applyNumberFormat="1" applyFont="1" applyBorder="1" applyAlignment="1">
      <alignment horizontal="right" vertical="top" shrinkToFit="1"/>
    </xf>
    <xf numFmtId="0" fontId="2" fillId="0" borderId="26" xfId="0" applyFont="1" applyBorder="1"/>
    <xf numFmtId="0" fontId="2" fillId="0" borderId="27" xfId="0" applyFont="1" applyBorder="1" applyAlignment="1">
      <alignment horizontal="left"/>
    </xf>
    <xf numFmtId="0" fontId="15" fillId="0" borderId="31" xfId="0" applyFont="1" applyBorder="1" applyAlignment="1">
      <alignment horizontal="left" vertical="top" wrapText="1"/>
    </xf>
    <xf numFmtId="0" fontId="2" fillId="0" borderId="31" xfId="0" applyFont="1" applyBorder="1" applyAlignment="1">
      <alignment horizontal="left"/>
    </xf>
    <xf numFmtId="17" fontId="2" fillId="0" borderId="31" xfId="0" applyNumberFormat="1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3" fontId="3" fillId="4" borderId="0" xfId="0" applyNumberFormat="1" applyFont="1" applyFill="1" applyAlignment="1">
      <alignment horizontal="left"/>
    </xf>
    <xf numFmtId="0" fontId="0" fillId="4" borderId="0" xfId="0" applyFill="1"/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3" fontId="3" fillId="4" borderId="0" xfId="0" applyNumberFormat="1" applyFont="1" applyFill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43" fontId="1" fillId="0" borderId="0" xfId="1" applyFont="1" applyFill="1" applyBorder="1"/>
    <xf numFmtId="43" fontId="1" fillId="0" borderId="10" xfId="1" applyFont="1" applyFill="1" applyBorder="1"/>
    <xf numFmtId="43" fontId="1" fillId="0" borderId="11" xfId="1" applyFont="1" applyFill="1" applyBorder="1"/>
    <xf numFmtId="43" fontId="1" fillId="0" borderId="12" xfId="1" applyFont="1" applyFill="1" applyBorder="1"/>
    <xf numFmtId="165" fontId="1" fillId="0" borderId="16" xfId="1" applyNumberFormat="1" applyFont="1" applyFill="1" applyBorder="1"/>
    <xf numFmtId="165" fontId="1" fillId="0" borderId="0" xfId="1" applyNumberFormat="1" applyFont="1" applyFill="1" applyBorder="1" applyAlignment="1">
      <alignment vertical="center" wrapText="1"/>
    </xf>
    <xf numFmtId="165" fontId="1" fillId="0" borderId="0" xfId="1" applyNumberFormat="1" applyFont="1" applyFill="1" applyBorder="1"/>
    <xf numFmtId="165" fontId="1" fillId="0" borderId="17" xfId="1" applyNumberFormat="1" applyFont="1" applyFill="1" applyBorder="1"/>
    <xf numFmtId="165" fontId="1" fillId="0" borderId="0" xfId="1" applyNumberFormat="1" applyFont="1" applyFill="1" applyBorder="1" applyAlignment="1">
      <alignment horizontal="right" wrapText="1"/>
    </xf>
    <xf numFmtId="165" fontId="1" fillId="0" borderId="17" xfId="1" applyNumberFormat="1" applyFont="1" applyFill="1" applyBorder="1" applyAlignment="1">
      <alignment horizontal="right" wrapText="1"/>
    </xf>
    <xf numFmtId="165" fontId="1" fillId="0" borderId="0" xfId="1" applyNumberFormat="1" applyFont="1" applyFill="1" applyBorder="1" applyAlignment="1">
      <alignment horizontal="right" vertical="top" shrinkToFit="1"/>
    </xf>
    <xf numFmtId="165" fontId="1" fillId="0" borderId="17" xfId="1" applyNumberFormat="1" applyFont="1" applyFill="1" applyBorder="1" applyAlignment="1">
      <alignment horizontal="right" vertical="top" shrinkToFit="1"/>
    </xf>
    <xf numFmtId="165" fontId="1" fillId="0" borderId="13" xfId="1" applyNumberFormat="1" applyFont="1" applyFill="1" applyBorder="1"/>
    <xf numFmtId="165" fontId="1" fillId="0" borderId="14" xfId="1" applyNumberFormat="1" applyFont="1" applyFill="1" applyBorder="1" applyAlignment="1">
      <alignment horizontal="right" vertical="top" shrinkToFit="1"/>
    </xf>
    <xf numFmtId="165" fontId="1" fillId="0" borderId="15" xfId="1" applyNumberFormat="1" applyFont="1" applyFill="1" applyBorder="1" applyAlignment="1">
      <alignment horizontal="right" vertical="top" shrinkToFit="1"/>
    </xf>
    <xf numFmtId="1" fontId="16" fillId="0" borderId="8" xfId="0" applyNumberFormat="1" applyFont="1" applyBorder="1" applyAlignment="1">
      <alignment horizontal="center" vertical="top" shrinkToFit="1"/>
    </xf>
    <xf numFmtId="0" fontId="6" fillId="0" borderId="14" xfId="0" applyFont="1" applyBorder="1"/>
    <xf numFmtId="0" fontId="4" fillId="0" borderId="14" xfId="2" applyBorder="1"/>
    <xf numFmtId="1" fontId="16" fillId="0" borderId="36" xfId="0" applyNumberFormat="1" applyFont="1" applyBorder="1" applyAlignment="1">
      <alignment horizontal="center" vertical="top" shrinkToFit="1"/>
    </xf>
    <xf numFmtId="1" fontId="16" fillId="0" borderId="37" xfId="0" applyNumberFormat="1" applyFont="1" applyBorder="1" applyAlignment="1">
      <alignment horizontal="center" vertical="top" shrinkToFit="1"/>
    </xf>
    <xf numFmtId="0" fontId="6" fillId="0" borderId="34" xfId="0" applyFont="1" applyBorder="1" applyAlignment="1">
      <alignment horizontal="center" vertical="top" wrapText="1"/>
    </xf>
    <xf numFmtId="0" fontId="6" fillId="0" borderId="38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0" xfId="0" applyFont="1" applyBorder="1"/>
    <xf numFmtId="0" fontId="2" fillId="0" borderId="16" xfId="0" applyFont="1" applyBorder="1"/>
    <xf numFmtId="3" fontId="5" fillId="0" borderId="0" xfId="2" applyNumberFormat="1" applyFont="1" applyAlignment="1">
      <alignment horizontal="center"/>
    </xf>
    <xf numFmtId="3" fontId="5" fillId="0" borderId="17" xfId="2" applyNumberFormat="1" applyFont="1" applyBorder="1" applyAlignment="1">
      <alignment horizontal="center"/>
    </xf>
    <xf numFmtId="0" fontId="15" fillId="0" borderId="34" xfId="0" applyFont="1" applyBorder="1" applyAlignment="1">
      <alignment vertical="top" wrapText="1"/>
    </xf>
    <xf numFmtId="0" fontId="15" fillId="0" borderId="34" xfId="0" applyFont="1" applyBorder="1" applyAlignment="1">
      <alignment horizontal="right" vertical="top" wrapText="1"/>
    </xf>
    <xf numFmtId="0" fontId="15" fillId="0" borderId="7" xfId="0" applyFont="1" applyBorder="1" applyAlignment="1">
      <alignment horizontal="right" vertical="top" wrapText="1" indent="1"/>
    </xf>
    <xf numFmtId="0" fontId="15" fillId="0" borderId="35" xfId="0" applyFont="1" applyBorder="1" applyAlignment="1">
      <alignment horizontal="right" vertical="top" wrapText="1"/>
    </xf>
    <xf numFmtId="0" fontId="2" fillId="0" borderId="1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3" fontId="18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6" fillId="0" borderId="17" xfId="0" applyFont="1" applyBorder="1"/>
    <xf numFmtId="0" fontId="6" fillId="0" borderId="15" xfId="0" applyFont="1" applyBorder="1"/>
    <xf numFmtId="3" fontId="5" fillId="0" borderId="16" xfId="2" applyNumberFormat="1" applyFont="1" applyBorder="1" applyAlignment="1">
      <alignment horizontal="center"/>
    </xf>
    <xf numFmtId="0" fontId="4" fillId="0" borderId="16" xfId="2" applyBorder="1"/>
    <xf numFmtId="0" fontId="4" fillId="0" borderId="17" xfId="2" applyBorder="1"/>
    <xf numFmtId="0" fontId="4" fillId="0" borderId="13" xfId="2" applyBorder="1"/>
    <xf numFmtId="0" fontId="4" fillId="0" borderId="15" xfId="2" applyBorder="1"/>
    <xf numFmtId="0" fontId="2" fillId="0" borderId="11" xfId="0" applyFont="1" applyBorder="1"/>
    <xf numFmtId="0" fontId="2" fillId="0" borderId="12" xfId="0" applyFont="1" applyBorder="1"/>
    <xf numFmtId="164" fontId="0" fillId="0" borderId="17" xfId="0" applyNumberFormat="1" applyBorder="1"/>
    <xf numFmtId="164" fontId="0" fillId="0" borderId="15" xfId="0" applyNumberFormat="1" applyBorder="1"/>
    <xf numFmtId="16" fontId="2" fillId="0" borderId="16" xfId="0" applyNumberFormat="1" applyFont="1" applyBorder="1" applyAlignment="1">
      <alignment horizontal="center"/>
    </xf>
    <xf numFmtId="17" fontId="2" fillId="0" borderId="16" xfId="0" applyNumberFormat="1" applyFont="1" applyBorder="1" applyAlignment="1">
      <alignment horizontal="center"/>
    </xf>
    <xf numFmtId="165" fontId="0" fillId="0" borderId="14" xfId="0" applyNumberFormat="1" applyBorder="1"/>
    <xf numFmtId="0" fontId="2" fillId="0" borderId="13" xfId="0" applyFont="1" applyBorder="1"/>
    <xf numFmtId="3" fontId="19" fillId="0" borderId="0" xfId="0" applyNumberFormat="1" applyFont="1" applyAlignment="1">
      <alignment horizontal="center"/>
    </xf>
    <xf numFmtId="3" fontId="19" fillId="0" borderId="16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164" fontId="7" fillId="0" borderId="0" xfId="1" applyNumberFormat="1" applyFont="1" applyFill="1" applyBorder="1" applyAlignment="1">
      <alignment horizontal="right" wrapText="1"/>
    </xf>
    <xf numFmtId="3" fontId="20" fillId="0" borderId="0" xfId="0" applyNumberFormat="1" applyFont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3" fontId="0" fillId="0" borderId="0" xfId="0" applyNumberFormat="1"/>
    <xf numFmtId="1" fontId="0" fillId="0" borderId="0" xfId="0" applyNumberFormat="1"/>
    <xf numFmtId="3" fontId="5" fillId="0" borderId="33" xfId="0" applyNumberFormat="1" applyFont="1" applyBorder="1" applyAlignment="1">
      <alignment horizontal="center"/>
    </xf>
    <xf numFmtId="0" fontId="8" fillId="2" borderId="0" xfId="0" applyFont="1" applyFill="1" applyAlignment="1">
      <alignment horizontal="right" vertical="top" wrapText="1"/>
    </xf>
    <xf numFmtId="1" fontId="9" fillId="2" borderId="0" xfId="0" applyNumberFormat="1" applyFont="1" applyFill="1" applyAlignment="1">
      <alignment horizontal="center" vertical="top" shrinkToFit="1"/>
    </xf>
    <xf numFmtId="3" fontId="5" fillId="0" borderId="17" xfId="0" applyNumberFormat="1" applyFont="1" applyBorder="1" applyAlignment="1">
      <alignment horizontal="center"/>
    </xf>
    <xf numFmtId="1" fontId="0" fillId="0" borderId="17" xfId="0" applyNumberFormat="1" applyBorder="1"/>
    <xf numFmtId="1" fontId="0" fillId="0" borderId="15" xfId="0" applyNumberFormat="1" applyBorder="1"/>
    <xf numFmtId="3" fontId="5" fillId="0" borderId="31" xfId="0" applyNumberFormat="1" applyFont="1" applyBorder="1" applyAlignment="1">
      <alignment horizontal="center"/>
    </xf>
    <xf numFmtId="1" fontId="0" fillId="0" borderId="12" xfId="0" applyNumberFormat="1" applyBorder="1"/>
    <xf numFmtId="3" fontId="5" fillId="0" borderId="32" xfId="0" applyNumberFormat="1" applyFont="1" applyBorder="1" applyAlignment="1">
      <alignment horizontal="center"/>
    </xf>
    <xf numFmtId="3" fontId="5" fillId="0" borderId="26" xfId="0" applyNumberFormat="1" applyFont="1" applyBorder="1" applyAlignment="1">
      <alignment horizontal="center"/>
    </xf>
    <xf numFmtId="3" fontId="5" fillId="0" borderId="12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1" xfId="0" applyBorder="1" applyAlignment="1">
      <alignment horizontal="center"/>
    </xf>
    <xf numFmtId="16" fontId="0" fillId="0" borderId="31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5" fontId="0" fillId="0" borderId="17" xfId="0" applyNumberFormat="1" applyBorder="1"/>
    <xf numFmtId="165" fontId="0" fillId="0" borderId="15" xfId="0" applyNumberFormat="1" applyBorder="1"/>
    <xf numFmtId="2" fontId="0" fillId="0" borderId="3" xfId="0" applyNumberFormat="1" applyBorder="1"/>
    <xf numFmtId="1" fontId="2" fillId="0" borderId="3" xfId="0" applyNumberFormat="1" applyFont="1" applyBorder="1"/>
    <xf numFmtId="0" fontId="0" fillId="0" borderId="40" xfId="0" applyBorder="1"/>
    <xf numFmtId="2" fontId="0" fillId="0" borderId="40" xfId="0" applyNumberFormat="1" applyBorder="1"/>
    <xf numFmtId="3" fontId="5" fillId="0" borderId="4" xfId="0" applyNumberFormat="1" applyFont="1" applyBorder="1" applyAlignment="1">
      <alignment horizontal="center"/>
    </xf>
    <xf numFmtId="0" fontId="2" fillId="0" borderId="5" xfId="0" applyFont="1" applyBorder="1"/>
    <xf numFmtId="1" fontId="2" fillId="0" borderId="5" xfId="0" applyNumberFormat="1" applyFont="1" applyBorder="1"/>
    <xf numFmtId="0" fontId="0" fillId="0" borderId="41" xfId="0" applyBorder="1"/>
    <xf numFmtId="2" fontId="0" fillId="0" borderId="24" xfId="0" applyNumberFormat="1" applyBorder="1"/>
    <xf numFmtId="0" fontId="0" fillId="0" borderId="24" xfId="0" applyBorder="1"/>
    <xf numFmtId="0" fontId="2" fillId="0" borderId="0" xfId="0" applyFont="1" applyAlignment="1">
      <alignment horizontal="center" vertical="center"/>
    </xf>
    <xf numFmtId="0" fontId="0" fillId="0" borderId="2" xfId="0" applyBorder="1"/>
    <xf numFmtId="0" fontId="15" fillId="0" borderId="0" xfId="0" applyFont="1" applyAlignment="1">
      <alignment horizontal="right" vertical="top" wrapText="1"/>
    </xf>
    <xf numFmtId="0" fontId="15" fillId="0" borderId="0" xfId="0" applyFont="1" applyAlignment="1">
      <alignment horizontal="right" vertical="top" wrapText="1" indent="1"/>
    </xf>
    <xf numFmtId="3" fontId="16" fillId="0" borderId="0" xfId="0" applyNumberFormat="1" applyFont="1" applyAlignment="1">
      <alignment horizontal="right" vertical="top" shrinkToFit="1"/>
    </xf>
    <xf numFmtId="1" fontId="16" fillId="0" borderId="0" xfId="0" applyNumberFormat="1" applyFont="1" applyAlignment="1">
      <alignment horizontal="center" vertical="top" shrinkToFit="1"/>
    </xf>
    <xf numFmtId="1" fontId="16" fillId="0" borderId="0" xfId="0" applyNumberFormat="1" applyFont="1" applyAlignment="1">
      <alignment horizontal="right" vertical="top" shrinkToFit="1"/>
    </xf>
    <xf numFmtId="0" fontId="15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6" fillId="0" borderId="3" xfId="0" applyFont="1" applyBorder="1" applyAlignment="1">
      <alignment horizontal="center" vertical="top" wrapText="1"/>
    </xf>
    <xf numFmtId="3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 wrapText="1"/>
    </xf>
    <xf numFmtId="1" fontId="0" fillId="0" borderId="3" xfId="0" applyNumberFormat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3" fontId="16" fillId="0" borderId="3" xfId="0" applyNumberFormat="1" applyFont="1" applyBorder="1" applyAlignment="1">
      <alignment horizontal="center" vertical="top" shrinkToFit="1"/>
    </xf>
    <xf numFmtId="16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6" fillId="0" borderId="33" xfId="0" applyFont="1" applyBorder="1" applyAlignment="1">
      <alignment horizontal="left" vertical="top" wrapText="1"/>
    </xf>
    <xf numFmtId="0" fontId="6" fillId="0" borderId="32" xfId="0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top" wrapText="1"/>
    </xf>
    <xf numFmtId="0" fontId="17" fillId="0" borderId="33" xfId="0" applyFont="1" applyBorder="1" applyAlignment="1">
      <alignment horizontal="center"/>
    </xf>
    <xf numFmtId="0" fontId="17" fillId="0" borderId="32" xfId="0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4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" xfId="0" applyBorder="1" applyAlignment="1">
      <alignment horizontal="center"/>
    </xf>
    <xf numFmtId="3" fontId="3" fillId="0" borderId="2" xfId="2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0" fontId="8" fillId="2" borderId="0" xfId="0" applyFont="1" applyFill="1" applyAlignment="1">
      <alignment horizontal="left" vertical="top" wrapText="1"/>
    </xf>
    <xf numFmtId="0" fontId="8" fillId="2" borderId="7" xfId="0" applyFont="1" applyFill="1" applyBorder="1" applyAlignment="1">
      <alignment horizontal="left" vertical="top" wrapText="1"/>
    </xf>
  </cellXfs>
  <cellStyles count="3">
    <cellStyle name="Comma" xfId="1" builtinId="3"/>
    <cellStyle name="Normal" xfId="0" builtinId="0"/>
    <cellStyle name="Normal 2" xfId="2" xr:uid="{C98BF485-39D3-4EC7-BBCF-A1ABF24307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compiled!$AE$36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compiled!$AF$34:$AI$35</c:f>
              <c:strCache>
                <c:ptCount val="4"/>
                <c:pt idx="0">
                  <c:v>2011</c:v>
                </c:pt>
                <c:pt idx="1">
                  <c:v>2021</c:v>
                </c:pt>
                <c:pt idx="2">
                  <c:v>2031</c:v>
                </c:pt>
                <c:pt idx="3">
                  <c:v>2036</c:v>
                </c:pt>
              </c:strCache>
            </c:strRef>
          </c:cat>
          <c:val>
            <c:numRef>
              <c:f>compiled!$AF$36:$AI$36</c:f>
              <c:numCache>
                <c:formatCode>0.0</c:formatCode>
                <c:ptCount val="4"/>
                <c:pt idx="0">
                  <c:v>28.77104702701072</c:v>
                </c:pt>
                <c:pt idx="1">
                  <c:v>23.643207282913163</c:v>
                </c:pt>
                <c:pt idx="2">
                  <c:v>20.276010692306098</c:v>
                </c:pt>
                <c:pt idx="3">
                  <c:v>18.8883222845487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0-42E1-AB62-A3D03641277B}"/>
            </c:ext>
          </c:extLst>
        </c:ser>
        <c:ser>
          <c:idx val="1"/>
          <c:order val="1"/>
          <c:tx>
            <c:strRef>
              <c:f>compiled!$AE$37</c:f>
              <c:strCache>
                <c:ptCount val="1"/>
                <c:pt idx="0">
                  <c:v>15-29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compiled!$AF$34:$AI$35</c:f>
              <c:strCache>
                <c:ptCount val="4"/>
                <c:pt idx="0">
                  <c:v>2011</c:v>
                </c:pt>
                <c:pt idx="1">
                  <c:v>2021</c:v>
                </c:pt>
                <c:pt idx="2">
                  <c:v>2031</c:v>
                </c:pt>
                <c:pt idx="3">
                  <c:v>2036</c:v>
                </c:pt>
              </c:strCache>
            </c:strRef>
          </c:cat>
          <c:val>
            <c:numRef>
              <c:f>compiled!$AF$37:$AI$37</c:f>
              <c:numCache>
                <c:formatCode>0.0</c:formatCode>
                <c:ptCount val="4"/>
                <c:pt idx="0">
                  <c:v>26.880696145429084</c:v>
                </c:pt>
                <c:pt idx="1">
                  <c:v>26.074492296918766</c:v>
                </c:pt>
                <c:pt idx="2">
                  <c:v>22.797820095733439</c:v>
                </c:pt>
                <c:pt idx="3">
                  <c:v>21.193268740438551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10-42E1-AB62-A3D03641277B}"/>
            </c:ext>
          </c:extLst>
        </c:ser>
        <c:ser>
          <c:idx val="2"/>
          <c:order val="2"/>
          <c:tx>
            <c:strRef>
              <c:f>compiled!$AE$38</c:f>
              <c:strCache>
                <c:ptCount val="1"/>
                <c:pt idx="0">
                  <c:v>30-59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compiled!$AF$34:$AI$35</c:f>
              <c:strCache>
                <c:ptCount val="4"/>
                <c:pt idx="0">
                  <c:v>2011</c:v>
                </c:pt>
                <c:pt idx="1">
                  <c:v>2021</c:v>
                </c:pt>
                <c:pt idx="2">
                  <c:v>2031</c:v>
                </c:pt>
                <c:pt idx="3">
                  <c:v>2036</c:v>
                </c:pt>
              </c:strCache>
            </c:strRef>
          </c:cat>
          <c:val>
            <c:numRef>
              <c:f>compiled!$AF$38:$AI$38</c:f>
              <c:numCache>
                <c:formatCode>0.0</c:formatCode>
                <c:ptCount val="4"/>
                <c:pt idx="0">
                  <c:v>34.571734010625285</c:v>
                </c:pt>
                <c:pt idx="1">
                  <c:v>38.823967086834735</c:v>
                </c:pt>
                <c:pt idx="2">
                  <c:v>41.963157131312293</c:v>
                </c:pt>
                <c:pt idx="3">
                  <c:v>42.884242733299338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10-42E1-AB62-A3D03641277B}"/>
            </c:ext>
          </c:extLst>
        </c:ser>
        <c:ser>
          <c:idx val="3"/>
          <c:order val="3"/>
          <c:tx>
            <c:strRef>
              <c:f>compiled!$AE$39</c:f>
              <c:strCache>
                <c:ptCount val="1"/>
                <c:pt idx="0">
                  <c:v>60+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compiled!$AF$34:$AI$35</c:f>
              <c:strCache>
                <c:ptCount val="4"/>
                <c:pt idx="0">
                  <c:v>2011</c:v>
                </c:pt>
                <c:pt idx="1">
                  <c:v>2021</c:v>
                </c:pt>
                <c:pt idx="2">
                  <c:v>2031</c:v>
                </c:pt>
                <c:pt idx="3">
                  <c:v>2036</c:v>
                </c:pt>
              </c:strCache>
            </c:strRef>
          </c:cat>
          <c:val>
            <c:numRef>
              <c:f>compiled!$AF$39:$AI$39</c:f>
              <c:numCache>
                <c:formatCode>0.0</c:formatCode>
                <c:ptCount val="4"/>
                <c:pt idx="0">
                  <c:v>9.7765228169349108</c:v>
                </c:pt>
                <c:pt idx="1">
                  <c:v>11.460521708683473</c:v>
                </c:pt>
                <c:pt idx="2">
                  <c:v>14.965084232992808</c:v>
                </c:pt>
                <c:pt idx="3">
                  <c:v>17.03212646608873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10-42E1-AB62-A3D03641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5175775"/>
        <c:axId val="1535177695"/>
      </c:barChart>
      <c:catAx>
        <c:axId val="153517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177695"/>
        <c:crosses val="autoZero"/>
        <c:auto val="1"/>
        <c:lblAlgn val="ctr"/>
        <c:lblOffset val="100"/>
        <c:noMultiLvlLbl val="0"/>
      </c:catAx>
      <c:valAx>
        <c:axId val="1535177695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17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Population Growth among broad age groups, 1961-2036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worksheet!$B$7</c:f>
              <c:strCache>
                <c:ptCount val="1"/>
                <c:pt idx="0">
                  <c:v>0-1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worksheet!$C$6:$J$6</c:f>
              <c:numCache>
                <c:formatCode>General</c:formatCode>
                <c:ptCount val="8"/>
                <c:pt idx="0">
                  <c:v>1961</c:v>
                </c:pt>
                <c:pt idx="1">
                  <c:v>1991</c:v>
                </c:pt>
                <c:pt idx="2">
                  <c:v>2001</c:v>
                </c:pt>
                <c:pt idx="3">
                  <c:v>2011</c:v>
                </c:pt>
                <c:pt idx="4" formatCode="#,##0">
                  <c:v>2021</c:v>
                </c:pt>
                <c:pt idx="5" formatCode="#,##0">
                  <c:v>2026</c:v>
                </c:pt>
                <c:pt idx="6">
                  <c:v>2031</c:v>
                </c:pt>
                <c:pt idx="7">
                  <c:v>2036</c:v>
                </c:pt>
              </c:numCache>
            </c:numRef>
          </c:cat>
          <c:val>
            <c:numRef>
              <c:f>worksheet!$C$7:$J$7</c:f>
              <c:numCache>
                <c:formatCode>0.0</c:formatCode>
                <c:ptCount val="8"/>
                <c:pt idx="0" formatCode="_(* #,##0.00_);_(* \(#,##0.00\);_(* &quot;-&quot;??_);_(@_)">
                  <c:v>2.6513480791522586</c:v>
                </c:pt>
                <c:pt idx="1">
                  <c:v>2.1288088699889602</c:v>
                </c:pt>
                <c:pt idx="2">
                  <c:v>1.535740613660471</c:v>
                </c:pt>
                <c:pt idx="3">
                  <c:v>1.6029345278240879</c:v>
                </c:pt>
                <c:pt idx="4">
                  <c:v>1.5537464985994398</c:v>
                </c:pt>
                <c:pt idx="5">
                  <c:v>1.4401764693405732</c:v>
                </c:pt>
                <c:pt idx="6">
                  <c:v>1.326177500569842</c:v>
                </c:pt>
                <c:pt idx="7">
                  <c:v>1.2259051504334524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8-4D6C-85AA-FB6C2EE4BA71}"/>
            </c:ext>
          </c:extLst>
        </c:ser>
        <c:ser>
          <c:idx val="1"/>
          <c:order val="1"/>
          <c:tx>
            <c:strRef>
              <c:f>worksheet!$B$8</c:f>
              <c:strCache>
                <c:ptCount val="1"/>
                <c:pt idx="0">
                  <c:v> 1-4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worksheet!$C$6:$J$6</c:f>
              <c:numCache>
                <c:formatCode>General</c:formatCode>
                <c:ptCount val="8"/>
                <c:pt idx="0">
                  <c:v>1961</c:v>
                </c:pt>
                <c:pt idx="1">
                  <c:v>1991</c:v>
                </c:pt>
                <c:pt idx="2">
                  <c:v>2001</c:v>
                </c:pt>
                <c:pt idx="3">
                  <c:v>2011</c:v>
                </c:pt>
                <c:pt idx="4" formatCode="#,##0">
                  <c:v>2021</c:v>
                </c:pt>
                <c:pt idx="5" formatCode="#,##0">
                  <c:v>2026</c:v>
                </c:pt>
                <c:pt idx="6">
                  <c:v>2031</c:v>
                </c:pt>
                <c:pt idx="7">
                  <c:v>2036</c:v>
                </c:pt>
              </c:numCache>
            </c:numRef>
          </c:cat>
          <c:val>
            <c:numRef>
              <c:f>worksheet!$C$8:$J$8</c:f>
              <c:numCache>
                <c:formatCode>0.0</c:formatCode>
                <c:ptCount val="8"/>
                <c:pt idx="0" formatCode="_(* #,##0.00_);_(* \(#,##0.00\);_(* &quot;-&quot;??_);_(@_)">
                  <c:v>11.55588962368903</c:v>
                </c:pt>
                <c:pt idx="1">
                  <c:v>9.327680049724588</c:v>
                </c:pt>
                <c:pt idx="2">
                  <c:v>8.1904551224167648</c:v>
                </c:pt>
                <c:pt idx="3">
                  <c:v>7.1248755257639544</c:v>
                </c:pt>
                <c:pt idx="4">
                  <c:v>6.0333508403361344</c:v>
                </c:pt>
                <c:pt idx="5">
                  <c:v>5.5889027933908837</c:v>
                </c:pt>
                <c:pt idx="6">
                  <c:v>5.1492985764313399</c:v>
                </c:pt>
                <c:pt idx="7">
                  <c:v>4.7547169811320753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58-4D6C-85AA-FB6C2EE4BA71}"/>
            </c:ext>
          </c:extLst>
        </c:ser>
        <c:ser>
          <c:idx val="2"/>
          <c:order val="2"/>
          <c:tx>
            <c:strRef>
              <c:f>worksheet!$B$9</c:f>
              <c:strCache>
                <c:ptCount val="1"/>
                <c:pt idx="0">
                  <c:v> 5-19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worksheet!$C$6:$J$6</c:f>
              <c:numCache>
                <c:formatCode>General</c:formatCode>
                <c:ptCount val="8"/>
                <c:pt idx="0">
                  <c:v>1961</c:v>
                </c:pt>
                <c:pt idx="1">
                  <c:v>1991</c:v>
                </c:pt>
                <c:pt idx="2">
                  <c:v>2001</c:v>
                </c:pt>
                <c:pt idx="3">
                  <c:v>2011</c:v>
                </c:pt>
                <c:pt idx="4" formatCode="#,##0">
                  <c:v>2021</c:v>
                </c:pt>
                <c:pt idx="5" formatCode="#,##0">
                  <c:v>2026</c:v>
                </c:pt>
                <c:pt idx="6">
                  <c:v>2031</c:v>
                </c:pt>
                <c:pt idx="7">
                  <c:v>2036</c:v>
                </c:pt>
              </c:numCache>
            </c:numRef>
          </c:cat>
          <c:val>
            <c:numRef>
              <c:f>worksheet!$C$9:$J$9</c:f>
              <c:numCache>
                <c:formatCode>0.0</c:formatCode>
                <c:ptCount val="8"/>
                <c:pt idx="0" formatCode="_(* #,##0.00_);_(* \(#,##0.00\);_(* &quot;-&quot;??_);_(@_)">
                  <c:v>32.966293083926473</c:v>
                </c:pt>
                <c:pt idx="1">
                  <c:v>33.609461395015593</c:v>
                </c:pt>
                <c:pt idx="2">
                  <c:v>33.110339666236996</c:v>
                </c:pt>
                <c:pt idx="3">
                  <c:v>29.503708358038637</c:v>
                </c:pt>
                <c:pt idx="4">
                  <c:v>24.741771708683473</c:v>
                </c:pt>
                <c:pt idx="5">
                  <c:v>22.65891785267355</c:v>
                </c:pt>
                <c:pt idx="6">
                  <c:v>21.024057688721275</c:v>
                </c:pt>
                <c:pt idx="7">
                  <c:v>19.740948495665478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58-4D6C-85AA-FB6C2EE4BA71}"/>
            </c:ext>
          </c:extLst>
        </c:ser>
        <c:ser>
          <c:idx val="3"/>
          <c:order val="3"/>
          <c:tx>
            <c:strRef>
              <c:f>worksheet!$B$10</c:f>
              <c:strCache>
                <c:ptCount val="1"/>
                <c:pt idx="0">
                  <c:v>20-59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worksheet!$C$6:$J$6</c:f>
              <c:numCache>
                <c:formatCode>General</c:formatCode>
                <c:ptCount val="8"/>
                <c:pt idx="0">
                  <c:v>1961</c:v>
                </c:pt>
                <c:pt idx="1">
                  <c:v>1991</c:v>
                </c:pt>
                <c:pt idx="2">
                  <c:v>2001</c:v>
                </c:pt>
                <c:pt idx="3">
                  <c:v>2011</c:v>
                </c:pt>
                <c:pt idx="4" formatCode="#,##0">
                  <c:v>2021</c:v>
                </c:pt>
                <c:pt idx="5" formatCode="#,##0">
                  <c:v>2026</c:v>
                </c:pt>
                <c:pt idx="6">
                  <c:v>2031</c:v>
                </c:pt>
                <c:pt idx="7">
                  <c:v>2036</c:v>
                </c:pt>
              </c:numCache>
            </c:numRef>
          </c:cat>
          <c:val>
            <c:numRef>
              <c:f>worksheet!$C$10:$J$10</c:f>
              <c:numCache>
                <c:formatCode>0.0</c:formatCode>
                <c:ptCount val="8"/>
                <c:pt idx="0" formatCode="_(* #,##0.00_);_(* \(#,##0.00\);_(* &quot;-&quot;??_);_(@_)">
                  <c:v>47.023346340504489</c:v>
                </c:pt>
                <c:pt idx="1">
                  <c:v>47.714956605555628</c:v>
                </c:pt>
                <c:pt idx="2">
                  <c:v>48.89213876492893</c:v>
                </c:pt>
                <c:pt idx="3">
                  <c:v>52.248845879924588</c:v>
                </c:pt>
                <c:pt idx="4">
                  <c:v>56.212797619047613</c:v>
                </c:pt>
                <c:pt idx="5">
                  <c:v>57.265573631408152</c:v>
                </c:pt>
                <c:pt idx="6">
                  <c:v>57.537454153629376</c:v>
                </c:pt>
                <c:pt idx="7">
                  <c:v>57.244263131055583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58-4D6C-85AA-FB6C2EE4BA71}"/>
            </c:ext>
          </c:extLst>
        </c:ser>
        <c:ser>
          <c:idx val="4"/>
          <c:order val="4"/>
          <c:tx>
            <c:strRef>
              <c:f>worksheet!$B$11</c:f>
              <c:strCache>
                <c:ptCount val="1"/>
                <c:pt idx="0">
                  <c:v>60+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worksheet!$C$6:$J$6</c:f>
              <c:numCache>
                <c:formatCode>General</c:formatCode>
                <c:ptCount val="8"/>
                <c:pt idx="0">
                  <c:v>1961</c:v>
                </c:pt>
                <c:pt idx="1">
                  <c:v>1991</c:v>
                </c:pt>
                <c:pt idx="2">
                  <c:v>2001</c:v>
                </c:pt>
                <c:pt idx="3">
                  <c:v>2011</c:v>
                </c:pt>
                <c:pt idx="4" formatCode="#,##0">
                  <c:v>2021</c:v>
                </c:pt>
                <c:pt idx="5" formatCode="#,##0">
                  <c:v>2026</c:v>
                </c:pt>
                <c:pt idx="6">
                  <c:v>2031</c:v>
                </c:pt>
                <c:pt idx="7">
                  <c:v>2036</c:v>
                </c:pt>
              </c:numCache>
            </c:numRef>
          </c:cat>
          <c:val>
            <c:numRef>
              <c:f>worksheet!$C$11:$J$11</c:f>
              <c:numCache>
                <c:formatCode>0.0</c:formatCode>
                <c:ptCount val="8"/>
                <c:pt idx="0" formatCode="_(* #,##0.00_);_(* \(#,##0.00\);_(* &quot;-&quot;??_);_(@_)">
                  <c:v>5.8031213904073811</c:v>
                </c:pt>
                <c:pt idx="1">
                  <c:v>7.21909307971523</c:v>
                </c:pt>
                <c:pt idx="2">
                  <c:v>8.2713258327568457</c:v>
                </c:pt>
                <c:pt idx="3">
                  <c:v>9.5196357084487335</c:v>
                </c:pt>
                <c:pt idx="4">
                  <c:v>11.460521708683473</c:v>
                </c:pt>
                <c:pt idx="5">
                  <c:v>13.048550278914883</c:v>
                </c:pt>
                <c:pt idx="6">
                  <c:v>14.965084232992808</c:v>
                </c:pt>
                <c:pt idx="7">
                  <c:v>17.03212646608873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58-4D6C-85AA-FB6C2EE4BA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59634384"/>
        <c:axId val="1059627664"/>
      </c:barChart>
      <c:catAx>
        <c:axId val="105963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627664"/>
        <c:crosses val="autoZero"/>
        <c:auto val="1"/>
        <c:lblAlgn val="ctr"/>
        <c:lblOffset val="100"/>
        <c:noMultiLvlLbl val="0"/>
      </c:catAx>
      <c:valAx>
        <c:axId val="1059627664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105963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/>
              <a:t>Population</a:t>
            </a:r>
            <a:r>
              <a:rPr lang="en-US" b="1" baseline="0"/>
              <a:t> Growth among broad age groups, 1961-2036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worksheet!$B$18</c:f>
              <c:strCache>
                <c:ptCount val="1"/>
                <c:pt idx="0">
                  <c:v>0-4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worksheet!$C$17:$K$17</c:f>
              <c:numCache>
                <c:formatCode>General</c:formatCode>
                <c:ptCount val="9"/>
                <c:pt idx="0">
                  <c:v>1961</c:v>
                </c:pt>
                <c:pt idx="1">
                  <c:v>1971</c:v>
                </c:pt>
                <c:pt idx="2">
                  <c:v>1991</c:v>
                </c:pt>
                <c:pt idx="3">
                  <c:v>2001</c:v>
                </c:pt>
                <c:pt idx="4">
                  <c:v>2011</c:v>
                </c:pt>
                <c:pt idx="5">
                  <c:v>2021</c:v>
                </c:pt>
                <c:pt idx="6">
                  <c:v>2026</c:v>
                </c:pt>
                <c:pt idx="7">
                  <c:v>2031</c:v>
                </c:pt>
                <c:pt idx="8">
                  <c:v>2036</c:v>
                </c:pt>
              </c:numCache>
            </c:numRef>
          </c:cat>
          <c:val>
            <c:numRef>
              <c:f>worksheet!$C$18:$K$18</c:f>
              <c:numCache>
                <c:formatCode>_ * #,##0.0_ ;_ * \-#,##0.0_ ;_ * "-"??_ ;_ @_ </c:formatCode>
                <c:ptCount val="9"/>
                <c:pt idx="0">
                  <c:v>14.221466411307643</c:v>
                </c:pt>
                <c:pt idx="1">
                  <c:v>14.242848619699727</c:v>
                </c:pt>
                <c:pt idx="2" formatCode="0.0">
                  <c:v>11.456488919713548</c:v>
                </c:pt>
                <c:pt idx="3" formatCode="0.0">
                  <c:v>9.7097949009717777</c:v>
                </c:pt>
                <c:pt idx="4" formatCode="0.0">
                  <c:v>8.70303051268281</c:v>
                </c:pt>
                <c:pt idx="5" formatCode="0.0">
                  <c:v>7.5870973389355738</c:v>
                </c:pt>
                <c:pt idx="6" formatCode="0.0">
                  <c:v>7.0290792627314564</c:v>
                </c:pt>
                <c:pt idx="7" formatCode="0.0">
                  <c:v>6.475476077001181</c:v>
                </c:pt>
                <c:pt idx="8" formatCode="0.0">
                  <c:v>5.9806221315655277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2-4BA1-99C9-0057F6970A18}"/>
            </c:ext>
          </c:extLst>
        </c:ser>
        <c:ser>
          <c:idx val="1"/>
          <c:order val="1"/>
          <c:tx>
            <c:strRef>
              <c:f>worksheet!$B$19</c:f>
              <c:strCache>
                <c:ptCount val="1"/>
                <c:pt idx="0">
                  <c:v> 5-14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worksheet!$C$17:$K$17</c:f>
              <c:numCache>
                <c:formatCode>General</c:formatCode>
                <c:ptCount val="9"/>
                <c:pt idx="0">
                  <c:v>1961</c:v>
                </c:pt>
                <c:pt idx="1">
                  <c:v>1971</c:v>
                </c:pt>
                <c:pt idx="2">
                  <c:v>1991</c:v>
                </c:pt>
                <c:pt idx="3">
                  <c:v>2001</c:v>
                </c:pt>
                <c:pt idx="4">
                  <c:v>2011</c:v>
                </c:pt>
                <c:pt idx="5">
                  <c:v>2021</c:v>
                </c:pt>
                <c:pt idx="6">
                  <c:v>2026</c:v>
                </c:pt>
                <c:pt idx="7">
                  <c:v>2031</c:v>
                </c:pt>
                <c:pt idx="8">
                  <c:v>2036</c:v>
                </c:pt>
              </c:numCache>
            </c:numRef>
          </c:cat>
          <c:val>
            <c:numRef>
              <c:f>worksheet!$C$19:$K$19</c:f>
              <c:numCache>
                <c:formatCode>_ * #,##0.0_ ;_ * \-#,##0.0_ ;_ * "-"??_ ;_ @_ </c:formatCode>
                <c:ptCount val="9"/>
                <c:pt idx="0">
                  <c:v>24.887095422752861</c:v>
                </c:pt>
                <c:pt idx="1">
                  <c:v>28.115623223297696</c:v>
                </c:pt>
                <c:pt idx="2" formatCode="0.0">
                  <c:v>24.357190876329497</c:v>
                </c:pt>
                <c:pt idx="3" formatCode="0.0">
                  <c:v>23.459570065312381</c:v>
                </c:pt>
                <c:pt idx="4" formatCode="0.0">
                  <c:v>20.068016514327912</c:v>
                </c:pt>
                <c:pt idx="5" formatCode="0.0">
                  <c:v>16.056109943977592</c:v>
                </c:pt>
                <c:pt idx="6" formatCode="0.0">
                  <c:v>14.732644706980297</c:v>
                </c:pt>
                <c:pt idx="7" formatCode="0.0">
                  <c:v>13.800534615304919</c:v>
                </c:pt>
                <c:pt idx="8" formatCode="0.0">
                  <c:v>12.907700152983173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62-4BA1-99C9-0057F6970A18}"/>
            </c:ext>
          </c:extLst>
        </c:ser>
        <c:ser>
          <c:idx val="2"/>
          <c:order val="2"/>
          <c:tx>
            <c:strRef>
              <c:f>worksheet!$B$20</c:f>
              <c:strCache>
                <c:ptCount val="1"/>
                <c:pt idx="0">
                  <c:v>15-59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worksheet!$C$17:$K$17</c:f>
              <c:numCache>
                <c:formatCode>General</c:formatCode>
                <c:ptCount val="9"/>
                <c:pt idx="0">
                  <c:v>1961</c:v>
                </c:pt>
                <c:pt idx="1">
                  <c:v>1971</c:v>
                </c:pt>
                <c:pt idx="2">
                  <c:v>1991</c:v>
                </c:pt>
                <c:pt idx="3">
                  <c:v>2001</c:v>
                </c:pt>
                <c:pt idx="4">
                  <c:v>2011</c:v>
                </c:pt>
                <c:pt idx="5">
                  <c:v>2021</c:v>
                </c:pt>
                <c:pt idx="6">
                  <c:v>2026</c:v>
                </c:pt>
                <c:pt idx="7">
                  <c:v>2031</c:v>
                </c:pt>
                <c:pt idx="8">
                  <c:v>2036</c:v>
                </c:pt>
              </c:numCache>
            </c:numRef>
          </c:cat>
          <c:val>
            <c:numRef>
              <c:f>worksheet!$C$20:$K$20</c:f>
              <c:numCache>
                <c:formatCode>_ * #,##0.0_ ;_ * \-#,##0.0_ ;_ * "-"??_ ;_ @_ </c:formatCode>
                <c:ptCount val="9"/>
                <c:pt idx="0">
                  <c:v>55.182654525870397</c:v>
                </c:pt>
                <c:pt idx="1">
                  <c:v>51.62032424597632</c:v>
                </c:pt>
                <c:pt idx="2" formatCode="0.0">
                  <c:v>56.967227124241724</c:v>
                </c:pt>
                <c:pt idx="3" formatCode="0.0">
                  <c:v>58.404631370049337</c:v>
                </c:pt>
                <c:pt idx="4" formatCode="0.0">
                  <c:v>61.452430156054362</c:v>
                </c:pt>
                <c:pt idx="5" formatCode="0.0">
                  <c:v>64.898459383753504</c:v>
                </c:pt>
                <c:pt idx="6" formatCode="0.0">
                  <c:v>65.191846777101404</c:v>
                </c:pt>
                <c:pt idx="7" formatCode="0.0">
                  <c:v>64.760977227045728</c:v>
                </c:pt>
                <c:pt idx="8" formatCode="0.0">
                  <c:v>64.0775114737379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62-4BA1-99C9-0057F6970A18}"/>
            </c:ext>
          </c:extLst>
        </c:ser>
        <c:ser>
          <c:idx val="3"/>
          <c:order val="3"/>
          <c:tx>
            <c:strRef>
              <c:f>worksheet!$B$21</c:f>
              <c:strCache>
                <c:ptCount val="1"/>
                <c:pt idx="0">
                  <c:v>60+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worksheet!$C$17:$K$17</c:f>
              <c:numCache>
                <c:formatCode>General</c:formatCode>
                <c:ptCount val="9"/>
                <c:pt idx="0">
                  <c:v>1961</c:v>
                </c:pt>
                <c:pt idx="1">
                  <c:v>1971</c:v>
                </c:pt>
                <c:pt idx="2">
                  <c:v>1991</c:v>
                </c:pt>
                <c:pt idx="3">
                  <c:v>2001</c:v>
                </c:pt>
                <c:pt idx="4">
                  <c:v>2011</c:v>
                </c:pt>
                <c:pt idx="5">
                  <c:v>2021</c:v>
                </c:pt>
                <c:pt idx="6">
                  <c:v>2026</c:v>
                </c:pt>
                <c:pt idx="7">
                  <c:v>2031</c:v>
                </c:pt>
                <c:pt idx="8">
                  <c:v>2036</c:v>
                </c:pt>
              </c:numCache>
            </c:numRef>
          </c:cat>
          <c:val>
            <c:numRef>
              <c:f>worksheet!$C$21:$K$21</c:f>
              <c:numCache>
                <c:formatCode>_ * #,##0.0_ ;_ * \-#,##0.0_ ;_ * "-"??_ ;_ @_ </c:formatCode>
                <c:ptCount val="9"/>
                <c:pt idx="0">
                  <c:v>5.7087830351332487</c:v>
                </c:pt>
                <c:pt idx="1">
                  <c:v>6.0212042619797987</c:v>
                </c:pt>
                <c:pt idx="2" formatCode="0.0">
                  <c:v>7.21909307971523</c:v>
                </c:pt>
                <c:pt idx="3" formatCode="0.0">
                  <c:v>8.257378277642017</c:v>
                </c:pt>
                <c:pt idx="4" formatCode="0.0">
                  <c:v>9.492608057641478</c:v>
                </c:pt>
                <c:pt idx="5" formatCode="0.0">
                  <c:v>11.460521708683473</c:v>
                </c:pt>
                <c:pt idx="6" formatCode="0.0">
                  <c:v>13.048550278914883</c:v>
                </c:pt>
                <c:pt idx="7" formatCode="0.0">
                  <c:v>14.965084232992808</c:v>
                </c:pt>
                <c:pt idx="8" formatCode="0.0">
                  <c:v>17.03212646608873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62-4BA1-99C9-0057F6970A1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59628144"/>
        <c:axId val="1059629584"/>
      </c:barChart>
      <c:catAx>
        <c:axId val="105962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629584"/>
        <c:crosses val="autoZero"/>
        <c:auto val="1"/>
        <c:lblAlgn val="ctr"/>
        <c:lblOffset val="100"/>
        <c:noMultiLvlLbl val="0"/>
      </c:catAx>
      <c:valAx>
        <c:axId val="1059629584"/>
        <c:scaling>
          <c:orientation val="minMax"/>
        </c:scaling>
        <c:delete val="1"/>
        <c:axPos val="l"/>
        <c:numFmt formatCode="_ * #,##0.0_ ;_ * \-#,##0.0_ ;_ * &quot;-&quot;??_ ;_ @_ " sourceLinked="1"/>
        <c:majorTickMark val="none"/>
        <c:minorTickMark val="none"/>
        <c:tickLblPos val="nextTo"/>
        <c:crossAx val="10596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418868818201757E-2"/>
          <c:y val="0"/>
          <c:w val="0.96806540716663014"/>
          <c:h val="0.8422795375645073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worksheet!$B$33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worksheet!$C$32:$K$32</c:f>
              <c:numCache>
                <c:formatCode>General</c:formatCode>
                <c:ptCount val="9"/>
                <c:pt idx="0">
                  <c:v>1961</c:v>
                </c:pt>
                <c:pt idx="1">
                  <c:v>1981</c:v>
                </c:pt>
                <c:pt idx="2">
                  <c:v>1991</c:v>
                </c:pt>
                <c:pt idx="3">
                  <c:v>2001</c:v>
                </c:pt>
                <c:pt idx="4">
                  <c:v>2011</c:v>
                </c:pt>
                <c:pt idx="5">
                  <c:v>2021</c:v>
                </c:pt>
                <c:pt idx="6">
                  <c:v>2026</c:v>
                </c:pt>
                <c:pt idx="7">
                  <c:v>2031</c:v>
                </c:pt>
                <c:pt idx="8">
                  <c:v>2036</c:v>
                </c:pt>
              </c:numCache>
            </c:numRef>
          </c:cat>
          <c:val>
            <c:numRef>
              <c:f>worksheet!$C$33:$K$33</c:f>
              <c:numCache>
                <c:formatCode>0.00</c:formatCode>
                <c:ptCount val="9"/>
                <c:pt idx="0">
                  <c:v>39.049890676572119</c:v>
                </c:pt>
                <c:pt idx="1">
                  <c:v>39.656719640691321</c:v>
                </c:pt>
                <c:pt idx="2">
                  <c:v>35.926941346641158</c:v>
                </c:pt>
                <c:pt idx="3">
                  <c:v>33.169364966284157</c:v>
                </c:pt>
                <c:pt idx="4">
                  <c:v>28.771047027010724</c:v>
                </c:pt>
                <c:pt idx="5">
                  <c:v>23.643207282913167</c:v>
                </c:pt>
                <c:pt idx="6">
                  <c:v>21.761723969711753</c:v>
                </c:pt>
                <c:pt idx="7">
                  <c:v>20.276010692306098</c:v>
                </c:pt>
                <c:pt idx="8">
                  <c:v>18.8883222845487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4-40AF-88A8-E974FE8A6F5C}"/>
            </c:ext>
          </c:extLst>
        </c:ser>
        <c:ser>
          <c:idx val="1"/>
          <c:order val="1"/>
          <c:tx>
            <c:strRef>
              <c:f>worksheet!$B$34</c:f>
              <c:strCache>
                <c:ptCount val="1"/>
                <c:pt idx="0">
                  <c:v>15-19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worksheet!$C$32:$K$32</c:f>
              <c:numCache>
                <c:formatCode>General</c:formatCode>
                <c:ptCount val="9"/>
                <c:pt idx="0">
                  <c:v>1961</c:v>
                </c:pt>
                <c:pt idx="1">
                  <c:v>1981</c:v>
                </c:pt>
                <c:pt idx="2">
                  <c:v>1991</c:v>
                </c:pt>
                <c:pt idx="3">
                  <c:v>2001</c:v>
                </c:pt>
                <c:pt idx="4">
                  <c:v>2011</c:v>
                </c:pt>
                <c:pt idx="5">
                  <c:v>2021</c:v>
                </c:pt>
                <c:pt idx="6">
                  <c:v>2026</c:v>
                </c:pt>
                <c:pt idx="7">
                  <c:v>2031</c:v>
                </c:pt>
                <c:pt idx="8">
                  <c:v>2036</c:v>
                </c:pt>
              </c:numCache>
            </c:numRef>
          </c:cat>
          <c:val>
            <c:numRef>
              <c:f>worksheet!$C$34:$K$34</c:f>
              <c:numCache>
                <c:formatCode>0.00</c:formatCode>
                <c:ptCount val="9"/>
                <c:pt idx="0">
                  <c:v>8.1000437293711514</c:v>
                </c:pt>
                <c:pt idx="1">
                  <c:v>9.8315858172067632</c:v>
                </c:pt>
                <c:pt idx="2">
                  <c:v>9.5608795392819932</c:v>
                </c:pt>
                <c:pt idx="3">
                  <c:v>9.5949371628484013</c:v>
                </c:pt>
                <c:pt idx="4">
                  <c:v>9.3519264611433623</c:v>
                </c:pt>
                <c:pt idx="5">
                  <c:v>8.6856617647058822</c:v>
                </c:pt>
                <c:pt idx="6">
                  <c:v>7.9262731456932576</c:v>
                </c:pt>
                <c:pt idx="7">
                  <c:v>7.2235230734163576</c:v>
                </c:pt>
                <c:pt idx="8">
                  <c:v>6.833248342682305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44-40AF-88A8-E974FE8A6F5C}"/>
            </c:ext>
          </c:extLst>
        </c:ser>
        <c:ser>
          <c:idx val="2"/>
          <c:order val="2"/>
          <c:tx>
            <c:strRef>
              <c:f>worksheet!$B$35</c:f>
              <c:strCache>
                <c:ptCount val="1"/>
                <c:pt idx="0">
                  <c:v>20-24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worksheet!$C$32:$K$32</c:f>
              <c:numCache>
                <c:formatCode>General</c:formatCode>
                <c:ptCount val="9"/>
                <c:pt idx="0">
                  <c:v>1961</c:v>
                </c:pt>
                <c:pt idx="1">
                  <c:v>1981</c:v>
                </c:pt>
                <c:pt idx="2">
                  <c:v>1991</c:v>
                </c:pt>
                <c:pt idx="3">
                  <c:v>2001</c:v>
                </c:pt>
                <c:pt idx="4">
                  <c:v>2011</c:v>
                </c:pt>
                <c:pt idx="5">
                  <c:v>2021</c:v>
                </c:pt>
                <c:pt idx="6">
                  <c:v>2026</c:v>
                </c:pt>
                <c:pt idx="7">
                  <c:v>2031</c:v>
                </c:pt>
                <c:pt idx="8">
                  <c:v>2036</c:v>
                </c:pt>
              </c:numCache>
            </c:numRef>
          </c:cat>
          <c:val>
            <c:numRef>
              <c:f>worksheet!$C$35:$K$35</c:f>
              <c:numCache>
                <c:formatCode>0.00</c:formatCode>
                <c:ptCount val="9"/>
                <c:pt idx="0">
                  <c:v>8.4001749174846019</c:v>
                </c:pt>
                <c:pt idx="1">
                  <c:v>8.0521094089400176</c:v>
                </c:pt>
                <c:pt idx="2">
                  <c:v>8.96733829577955</c:v>
                </c:pt>
                <c:pt idx="3">
                  <c:v>8.6679050968002418</c:v>
                </c:pt>
                <c:pt idx="4">
                  <c:v>9.0139308849065394</c:v>
                </c:pt>
                <c:pt idx="5">
                  <c:v>8.8979341736694675</c:v>
                </c:pt>
                <c:pt idx="6">
                  <c:v>8.2720003393641157</c:v>
                </c:pt>
                <c:pt idx="7">
                  <c:v>7.602726952485547</c:v>
                </c:pt>
                <c:pt idx="8">
                  <c:v>6.976032636409994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44-40AF-88A8-E974FE8A6F5C}"/>
            </c:ext>
          </c:extLst>
        </c:ser>
        <c:ser>
          <c:idx val="3"/>
          <c:order val="3"/>
          <c:tx>
            <c:strRef>
              <c:f>worksheet!$B$36</c:f>
              <c:strCache>
                <c:ptCount val="1"/>
                <c:pt idx="0">
                  <c:v>25-29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worksheet!$C$32:$K$32</c:f>
              <c:numCache>
                <c:formatCode>General</c:formatCode>
                <c:ptCount val="9"/>
                <c:pt idx="0">
                  <c:v>1961</c:v>
                </c:pt>
                <c:pt idx="1">
                  <c:v>1981</c:v>
                </c:pt>
                <c:pt idx="2">
                  <c:v>1991</c:v>
                </c:pt>
                <c:pt idx="3">
                  <c:v>2001</c:v>
                </c:pt>
                <c:pt idx="4">
                  <c:v>2011</c:v>
                </c:pt>
                <c:pt idx="5">
                  <c:v>2021</c:v>
                </c:pt>
                <c:pt idx="6">
                  <c:v>2026</c:v>
                </c:pt>
                <c:pt idx="7">
                  <c:v>2031</c:v>
                </c:pt>
                <c:pt idx="8">
                  <c:v>2036</c:v>
                </c:pt>
              </c:numCache>
            </c:numRef>
          </c:cat>
          <c:val>
            <c:numRef>
              <c:f>worksheet!$C$36:$K$36</c:f>
              <c:numCache>
                <c:formatCode>0.00</c:formatCode>
                <c:ptCount val="9"/>
                <c:pt idx="0">
                  <c:v>8.6999999999999993</c:v>
                </c:pt>
                <c:pt idx="1">
                  <c:v>7.4631411649793904</c:v>
                </c:pt>
                <c:pt idx="2">
                  <c:v>8.4874496309910086</c:v>
                </c:pt>
                <c:pt idx="3">
                  <c:v>8.4471776128348974</c:v>
                </c:pt>
                <c:pt idx="4">
                  <c:v>8.5148387993791808</c:v>
                </c:pt>
                <c:pt idx="5">
                  <c:v>8.4908963585434183</c:v>
                </c:pt>
                <c:pt idx="6">
                  <c:v>8.5074341951767867</c:v>
                </c:pt>
                <c:pt idx="7">
                  <c:v>7.9715700698315333</c:v>
                </c:pt>
                <c:pt idx="8">
                  <c:v>7.3839877613462512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44-40AF-88A8-E974FE8A6F5C}"/>
            </c:ext>
          </c:extLst>
        </c:ser>
        <c:ser>
          <c:idx val="4"/>
          <c:order val="4"/>
          <c:tx>
            <c:strRef>
              <c:f>worksheet!$B$37</c:f>
              <c:strCache>
                <c:ptCount val="1"/>
                <c:pt idx="0">
                  <c:v>30-34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worksheet!$C$32:$K$32</c:f>
              <c:numCache>
                <c:formatCode>General</c:formatCode>
                <c:ptCount val="9"/>
                <c:pt idx="0">
                  <c:v>1961</c:v>
                </c:pt>
                <c:pt idx="1">
                  <c:v>1981</c:v>
                </c:pt>
                <c:pt idx="2">
                  <c:v>1991</c:v>
                </c:pt>
                <c:pt idx="3">
                  <c:v>2001</c:v>
                </c:pt>
                <c:pt idx="4">
                  <c:v>2011</c:v>
                </c:pt>
                <c:pt idx="5">
                  <c:v>2021</c:v>
                </c:pt>
                <c:pt idx="6">
                  <c:v>2026</c:v>
                </c:pt>
                <c:pt idx="7">
                  <c:v>2031</c:v>
                </c:pt>
                <c:pt idx="8">
                  <c:v>2036</c:v>
                </c:pt>
              </c:numCache>
            </c:numRef>
          </c:cat>
          <c:val>
            <c:numRef>
              <c:f>worksheet!$C$37:$K$37</c:f>
              <c:numCache>
                <c:formatCode>0.00</c:formatCode>
                <c:ptCount val="9"/>
                <c:pt idx="0">
                  <c:v>7.349934405943273</c:v>
                </c:pt>
                <c:pt idx="1">
                  <c:v>6.1768242321831579</c:v>
                </c:pt>
                <c:pt idx="2">
                  <c:v>6.9069511970392305</c:v>
                </c:pt>
                <c:pt idx="3">
                  <c:v>7.5017674392318794</c:v>
                </c:pt>
                <c:pt idx="4">
                  <c:v>7.3926118170921011</c:v>
                </c:pt>
                <c:pt idx="5">
                  <c:v>8.0291491596638664</c:v>
                </c:pt>
                <c:pt idx="6">
                  <c:v>8.1214075126731284</c:v>
                </c:pt>
                <c:pt idx="7">
                  <c:v>8.209867589465178</c:v>
                </c:pt>
                <c:pt idx="8">
                  <c:v>7.7531871494135647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44-40AF-88A8-E974FE8A6F5C}"/>
            </c:ext>
          </c:extLst>
        </c:ser>
        <c:ser>
          <c:idx val="5"/>
          <c:order val="5"/>
          <c:tx>
            <c:strRef>
              <c:f>worksheet!$B$38</c:f>
              <c:strCache>
                <c:ptCount val="1"/>
                <c:pt idx="0">
                  <c:v>35-39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worksheet!$C$32:$K$32</c:f>
              <c:numCache>
                <c:formatCode>General</c:formatCode>
                <c:ptCount val="9"/>
                <c:pt idx="0">
                  <c:v>1961</c:v>
                </c:pt>
                <c:pt idx="1">
                  <c:v>1981</c:v>
                </c:pt>
                <c:pt idx="2">
                  <c:v>1991</c:v>
                </c:pt>
                <c:pt idx="3">
                  <c:v>2001</c:v>
                </c:pt>
                <c:pt idx="4">
                  <c:v>2011</c:v>
                </c:pt>
                <c:pt idx="5">
                  <c:v>2021</c:v>
                </c:pt>
                <c:pt idx="6">
                  <c:v>2026</c:v>
                </c:pt>
                <c:pt idx="7">
                  <c:v>2031</c:v>
                </c:pt>
                <c:pt idx="8">
                  <c:v>2036</c:v>
                </c:pt>
              </c:numCache>
            </c:numRef>
          </c:cat>
          <c:val>
            <c:numRef>
              <c:f>worksheet!$C$38:$K$38</c:f>
              <c:numCache>
                <c:formatCode>0.00</c:formatCode>
                <c:ptCount val="9"/>
                <c:pt idx="0">
                  <c:v>5.9998688118865475</c:v>
                </c:pt>
                <c:pt idx="1">
                  <c:v>6.1822868797372346</c:v>
                </c:pt>
                <c:pt idx="2">
                  <c:v>6.4113234817712881</c:v>
                </c:pt>
                <c:pt idx="3">
                  <c:v>7.2381703838590008</c:v>
                </c:pt>
                <c:pt idx="4">
                  <c:v>7.2691955809635331</c:v>
                </c:pt>
                <c:pt idx="5">
                  <c:v>7.4733018207282909</c:v>
                </c:pt>
                <c:pt idx="6">
                  <c:v>7.6759921097842927</c:v>
                </c:pt>
                <c:pt idx="7">
                  <c:v>7.8348080150852688</c:v>
                </c:pt>
                <c:pt idx="8">
                  <c:v>7.9836817950025489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544-40AF-88A8-E974FE8A6F5C}"/>
            </c:ext>
          </c:extLst>
        </c:ser>
        <c:ser>
          <c:idx val="6"/>
          <c:order val="6"/>
          <c:tx>
            <c:strRef>
              <c:f>worksheet!$B$39</c:f>
              <c:strCache>
                <c:ptCount val="1"/>
                <c:pt idx="0">
                  <c:v>40-44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worksheet!$C$32:$K$32</c:f>
              <c:numCache>
                <c:formatCode>General</c:formatCode>
                <c:ptCount val="9"/>
                <c:pt idx="0">
                  <c:v>1961</c:v>
                </c:pt>
                <c:pt idx="1">
                  <c:v>1981</c:v>
                </c:pt>
                <c:pt idx="2">
                  <c:v>1991</c:v>
                </c:pt>
                <c:pt idx="3">
                  <c:v>2001</c:v>
                </c:pt>
                <c:pt idx="4">
                  <c:v>2011</c:v>
                </c:pt>
                <c:pt idx="5">
                  <c:v>2021</c:v>
                </c:pt>
                <c:pt idx="6">
                  <c:v>2026</c:v>
                </c:pt>
                <c:pt idx="7">
                  <c:v>2031</c:v>
                </c:pt>
                <c:pt idx="8">
                  <c:v>2036</c:v>
                </c:pt>
              </c:numCache>
            </c:numRef>
          </c:cat>
          <c:val>
            <c:numRef>
              <c:f>worksheet!$C$39:$K$39</c:f>
              <c:numCache>
                <c:formatCode>0.00</c:formatCode>
                <c:ptCount val="9"/>
                <c:pt idx="0">
                  <c:v>5.4499781353144243</c:v>
                </c:pt>
                <c:pt idx="1">
                  <c:v>5.3190216519622817</c:v>
                </c:pt>
                <c:pt idx="2">
                  <c:v>5.0634442775552033</c:v>
                </c:pt>
                <c:pt idx="3">
                  <c:v>5.6042794580903621</c:v>
                </c:pt>
                <c:pt idx="4">
                  <c:v>6.4122076080130901</c:v>
                </c:pt>
                <c:pt idx="5">
                  <c:v>6.8189775910364139</c:v>
                </c:pt>
                <c:pt idx="6">
                  <c:v>7.1393726005896454</c:v>
                </c:pt>
                <c:pt idx="7">
                  <c:v>7.397583870366149</c:v>
                </c:pt>
                <c:pt idx="8">
                  <c:v>7.6124426313105564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44-40AF-88A8-E974FE8A6F5C}"/>
            </c:ext>
          </c:extLst>
        </c:ser>
        <c:ser>
          <c:idx val="7"/>
          <c:order val="7"/>
          <c:tx>
            <c:strRef>
              <c:f>worksheet!$B$40</c:f>
              <c:strCache>
                <c:ptCount val="1"/>
                <c:pt idx="0">
                  <c:v>45-49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worksheet!$C$32:$K$32</c:f>
              <c:numCache>
                <c:formatCode>General</c:formatCode>
                <c:ptCount val="9"/>
                <c:pt idx="0">
                  <c:v>1961</c:v>
                </c:pt>
                <c:pt idx="1">
                  <c:v>1981</c:v>
                </c:pt>
                <c:pt idx="2">
                  <c:v>1991</c:v>
                </c:pt>
                <c:pt idx="3">
                  <c:v>2001</c:v>
                </c:pt>
                <c:pt idx="4">
                  <c:v>2011</c:v>
                </c:pt>
                <c:pt idx="5">
                  <c:v>2021</c:v>
                </c:pt>
                <c:pt idx="6">
                  <c:v>2026</c:v>
                </c:pt>
                <c:pt idx="7">
                  <c:v>2031</c:v>
                </c:pt>
                <c:pt idx="8">
                  <c:v>2036</c:v>
                </c:pt>
              </c:numCache>
            </c:numRef>
          </c:cat>
          <c:val>
            <c:numRef>
              <c:f>worksheet!$C$40:$K$40</c:f>
              <c:numCache>
                <c:formatCode>0.00</c:formatCode>
                <c:ptCount val="9"/>
                <c:pt idx="0">
                  <c:v>4.2499344059432733</c:v>
                </c:pt>
                <c:pt idx="1">
                  <c:v>4.5913932042540067</c:v>
                </c:pt>
                <c:pt idx="2">
                  <c:v>4.5879935297836445</c:v>
                </c:pt>
                <c:pt idx="3">
                  <c:v>4.7707246854066847</c:v>
                </c:pt>
                <c:pt idx="4">
                  <c:v>5.5606277167569864</c:v>
                </c:pt>
                <c:pt idx="5">
                  <c:v>6.2718837535014007</c:v>
                </c:pt>
                <c:pt idx="6">
                  <c:v>6.4733705219844309</c:v>
                </c:pt>
                <c:pt idx="7">
                  <c:v>6.840174889657888</c:v>
                </c:pt>
                <c:pt idx="8">
                  <c:v>7.1514533401325853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544-40AF-88A8-E974FE8A6F5C}"/>
            </c:ext>
          </c:extLst>
        </c:ser>
        <c:ser>
          <c:idx val="8"/>
          <c:order val="8"/>
          <c:tx>
            <c:strRef>
              <c:f>worksheet!$B$41</c:f>
              <c:strCache>
                <c:ptCount val="1"/>
                <c:pt idx="0">
                  <c:v>50-54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worksheet!$C$32:$K$32</c:f>
              <c:numCache>
                <c:formatCode>General</c:formatCode>
                <c:ptCount val="9"/>
                <c:pt idx="0">
                  <c:v>1961</c:v>
                </c:pt>
                <c:pt idx="1">
                  <c:v>1981</c:v>
                </c:pt>
                <c:pt idx="2">
                  <c:v>1991</c:v>
                </c:pt>
                <c:pt idx="3">
                  <c:v>2001</c:v>
                </c:pt>
                <c:pt idx="4">
                  <c:v>2011</c:v>
                </c:pt>
                <c:pt idx="5">
                  <c:v>2021</c:v>
                </c:pt>
                <c:pt idx="6">
                  <c:v>2026</c:v>
                </c:pt>
                <c:pt idx="7">
                  <c:v>2031</c:v>
                </c:pt>
                <c:pt idx="8">
                  <c:v>2036</c:v>
                </c:pt>
              </c:numCache>
            </c:numRef>
          </c:cat>
          <c:val>
            <c:numRef>
              <c:f>worksheet!$C$41:$K$41</c:f>
              <c:numCache>
                <c:formatCode>0.00</c:formatCode>
                <c:ptCount val="9"/>
                <c:pt idx="0">
                  <c:v>4.3999562706288495</c:v>
                </c:pt>
                <c:pt idx="1">
                  <c:v>3.8632184917903234</c:v>
                </c:pt>
                <c:pt idx="2">
                  <c:v>3.9986711644754589</c:v>
                </c:pt>
                <c:pt idx="3">
                  <c:v>3.6520945988904665</c:v>
                </c:pt>
                <c:pt idx="4">
                  <c:v>4.4022547364670377</c:v>
                </c:pt>
                <c:pt idx="5">
                  <c:v>5.5803571428571432</c:v>
                </c:pt>
                <c:pt idx="6">
                  <c:v>5.8985725496850279</c:v>
                </c:pt>
                <c:pt idx="7">
                  <c:v>6.1480760065480009</c:v>
                </c:pt>
                <c:pt idx="8">
                  <c:v>6.5578786333503309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44-40AF-88A8-E974FE8A6F5C}"/>
            </c:ext>
          </c:extLst>
        </c:ser>
        <c:ser>
          <c:idx val="9"/>
          <c:order val="9"/>
          <c:tx>
            <c:strRef>
              <c:f>worksheet!$B$42</c:f>
              <c:strCache>
                <c:ptCount val="1"/>
                <c:pt idx="0">
                  <c:v>55-59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worksheet!$C$32:$K$32</c:f>
              <c:numCache>
                <c:formatCode>General</c:formatCode>
                <c:ptCount val="9"/>
                <c:pt idx="0">
                  <c:v>1961</c:v>
                </c:pt>
                <c:pt idx="1">
                  <c:v>1981</c:v>
                </c:pt>
                <c:pt idx="2">
                  <c:v>1991</c:v>
                </c:pt>
                <c:pt idx="3">
                  <c:v>2001</c:v>
                </c:pt>
                <c:pt idx="4">
                  <c:v>2011</c:v>
                </c:pt>
                <c:pt idx="5">
                  <c:v>2021</c:v>
                </c:pt>
                <c:pt idx="6">
                  <c:v>2026</c:v>
                </c:pt>
                <c:pt idx="7">
                  <c:v>2031</c:v>
                </c:pt>
                <c:pt idx="8">
                  <c:v>2036</c:v>
                </c:pt>
              </c:numCache>
            </c:numRef>
          </c:cat>
          <c:val>
            <c:numRef>
              <c:f>worksheet!$C$42:$K$42</c:f>
              <c:numCache>
                <c:formatCode>0.00</c:formatCode>
                <c:ptCount val="9"/>
                <c:pt idx="0">
                  <c:v>2.4499781353144248</c:v>
                </c:pt>
                <c:pt idx="1">
                  <c:v>2.4719125078089306</c:v>
                </c:pt>
                <c:pt idx="2">
                  <c:v>2.8481681608659213</c:v>
                </c:pt>
                <c:pt idx="3">
                  <c:v>2.9275749320874045</c:v>
                </c:pt>
                <c:pt idx="4">
                  <c:v>3.5348365513325346</c:v>
                </c:pt>
                <c:pt idx="5">
                  <c:v>4.6502976190476195</c:v>
                </c:pt>
                <c:pt idx="6">
                  <c:v>5.1774238021507202</c:v>
                </c:pt>
                <c:pt idx="7">
                  <c:v>5.5326467601898095</c:v>
                </c:pt>
                <c:pt idx="8">
                  <c:v>5.8255991840897501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544-40AF-88A8-E974FE8A6F5C}"/>
            </c:ext>
          </c:extLst>
        </c:ser>
        <c:ser>
          <c:idx val="10"/>
          <c:order val="10"/>
          <c:tx>
            <c:strRef>
              <c:f>worksheet!$B$43</c:f>
              <c:strCache>
                <c:ptCount val="1"/>
                <c:pt idx="0">
                  <c:v>60+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worksheet!$C$32:$K$32</c:f>
              <c:numCache>
                <c:formatCode>General</c:formatCode>
                <c:ptCount val="9"/>
                <c:pt idx="0">
                  <c:v>1961</c:v>
                </c:pt>
                <c:pt idx="1">
                  <c:v>1981</c:v>
                </c:pt>
                <c:pt idx="2">
                  <c:v>1991</c:v>
                </c:pt>
                <c:pt idx="3">
                  <c:v>2001</c:v>
                </c:pt>
                <c:pt idx="4">
                  <c:v>2011</c:v>
                </c:pt>
                <c:pt idx="5">
                  <c:v>2021</c:v>
                </c:pt>
                <c:pt idx="6">
                  <c:v>2026</c:v>
                </c:pt>
                <c:pt idx="7">
                  <c:v>2031</c:v>
                </c:pt>
                <c:pt idx="8">
                  <c:v>2036</c:v>
                </c:pt>
              </c:numCache>
            </c:numRef>
          </c:cat>
          <c:val>
            <c:numRef>
              <c:f>worksheet!$C$43:$K$43</c:f>
              <c:numCache>
                <c:formatCode>0.00</c:formatCode>
                <c:ptCount val="9"/>
                <c:pt idx="0">
                  <c:v>5.7002186468557543</c:v>
                </c:pt>
                <c:pt idx="1">
                  <c:v>6.3917870004465716</c:v>
                </c:pt>
                <c:pt idx="2">
                  <c:v>7.21909307971523</c:v>
                </c:pt>
                <c:pt idx="3">
                  <c:v>8.2573782776420153</c:v>
                </c:pt>
                <c:pt idx="4">
                  <c:v>9.4926080576414797</c:v>
                </c:pt>
                <c:pt idx="5">
                  <c:v>11.460521708683475</c:v>
                </c:pt>
                <c:pt idx="6">
                  <c:v>13.048550278914885</c:v>
                </c:pt>
                <c:pt idx="7">
                  <c:v>14.965084232992808</c:v>
                </c:pt>
                <c:pt idx="8">
                  <c:v>17.032126466088734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544-40AF-88A8-E974FE8A6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7578303"/>
        <c:axId val="947573503"/>
      </c:barChart>
      <c:catAx>
        <c:axId val="94757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573503"/>
        <c:crosses val="autoZero"/>
        <c:auto val="1"/>
        <c:lblAlgn val="ctr"/>
        <c:lblOffset val="100"/>
        <c:noMultiLvlLbl val="0"/>
      </c:catAx>
      <c:valAx>
        <c:axId val="947573503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94757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Broad age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worksheet!$B$70</c:f>
              <c:strCache>
                <c:ptCount val="1"/>
                <c:pt idx="0">
                  <c:v>0-4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worksheet!$C$69:$L$69</c:f>
              <c:numCache>
                <c:formatCode>General</c:formatCode>
                <c:ptCount val="10"/>
                <c:pt idx="0">
                  <c:v>1961</c:v>
                </c:pt>
                <c:pt idx="1">
                  <c:v>1971</c:v>
                </c:pt>
                <c:pt idx="2">
                  <c:v>1981</c:v>
                </c:pt>
                <c:pt idx="3">
                  <c:v>1991</c:v>
                </c:pt>
                <c:pt idx="4">
                  <c:v>2001</c:v>
                </c:pt>
                <c:pt idx="5">
                  <c:v>2011</c:v>
                </c:pt>
                <c:pt idx="6">
                  <c:v>2021</c:v>
                </c:pt>
                <c:pt idx="7">
                  <c:v>2026</c:v>
                </c:pt>
                <c:pt idx="8">
                  <c:v>2031</c:v>
                </c:pt>
                <c:pt idx="9">
                  <c:v>2036</c:v>
                </c:pt>
              </c:numCache>
            </c:numRef>
          </c:cat>
          <c:val>
            <c:numRef>
              <c:f>worksheet!$C$70:$L$70</c:f>
              <c:numCache>
                <c:formatCode>_ * #,##0.0_ ;_ * \-#,##0.0_ ;_ * "-"??_ ;_ @_ </c:formatCode>
                <c:ptCount val="10"/>
                <c:pt idx="0">
                  <c:v>14.221466411307643</c:v>
                </c:pt>
                <c:pt idx="1">
                  <c:v>14.242848619699727</c:v>
                </c:pt>
                <c:pt idx="2" formatCode="General">
                  <c:v>39.659999999999997</c:v>
                </c:pt>
                <c:pt idx="3" formatCode="0.0">
                  <c:v>11.456488919713548</c:v>
                </c:pt>
                <c:pt idx="4" formatCode="0.0">
                  <c:v>9.7097949009717777</c:v>
                </c:pt>
                <c:pt idx="5" formatCode="0.0">
                  <c:v>8.70303051268281</c:v>
                </c:pt>
                <c:pt idx="6" formatCode="0.0">
                  <c:v>7.5870973389355738</c:v>
                </c:pt>
                <c:pt idx="7" formatCode="0.0">
                  <c:v>7.0290792627314564</c:v>
                </c:pt>
                <c:pt idx="8" formatCode="0.0">
                  <c:v>6.475476077001181</c:v>
                </c:pt>
                <c:pt idx="9" formatCode="0.0">
                  <c:v>5.9806221315655277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D-40CE-81DE-791C4CA060BC}"/>
            </c:ext>
          </c:extLst>
        </c:ser>
        <c:ser>
          <c:idx val="1"/>
          <c:order val="1"/>
          <c:tx>
            <c:strRef>
              <c:f>worksheet!$B$71</c:f>
              <c:strCache>
                <c:ptCount val="1"/>
                <c:pt idx="0">
                  <c:v> 5-14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worksheet!$C$69:$L$69</c:f>
              <c:numCache>
                <c:formatCode>General</c:formatCode>
                <c:ptCount val="10"/>
                <c:pt idx="0">
                  <c:v>1961</c:v>
                </c:pt>
                <c:pt idx="1">
                  <c:v>1971</c:v>
                </c:pt>
                <c:pt idx="2">
                  <c:v>1981</c:v>
                </c:pt>
                <c:pt idx="3">
                  <c:v>1991</c:v>
                </c:pt>
                <c:pt idx="4">
                  <c:v>2001</c:v>
                </c:pt>
                <c:pt idx="5">
                  <c:v>2011</c:v>
                </c:pt>
                <c:pt idx="6">
                  <c:v>2021</c:v>
                </c:pt>
                <c:pt idx="7">
                  <c:v>2026</c:v>
                </c:pt>
                <c:pt idx="8">
                  <c:v>2031</c:v>
                </c:pt>
                <c:pt idx="9">
                  <c:v>2036</c:v>
                </c:pt>
              </c:numCache>
            </c:numRef>
          </c:cat>
          <c:val>
            <c:numRef>
              <c:f>worksheet!$C$71:$L$71</c:f>
              <c:numCache>
                <c:formatCode>_ * #,##0.0_ ;_ * \-#,##0.0_ ;_ * "-"??_ ;_ @_ </c:formatCode>
                <c:ptCount val="10"/>
                <c:pt idx="0">
                  <c:v>24.887095422752861</c:v>
                </c:pt>
                <c:pt idx="1">
                  <c:v>28.115623223297696</c:v>
                </c:pt>
                <c:pt idx="3" formatCode="0.0">
                  <c:v>24.357190876329497</c:v>
                </c:pt>
                <c:pt idx="4" formatCode="0.0">
                  <c:v>23.459570065312381</c:v>
                </c:pt>
                <c:pt idx="5" formatCode="0.0">
                  <c:v>20.068016514327912</c:v>
                </c:pt>
                <c:pt idx="6" formatCode="0.0">
                  <c:v>16.056109943977592</c:v>
                </c:pt>
                <c:pt idx="7" formatCode="0.0">
                  <c:v>14.732644706980297</c:v>
                </c:pt>
                <c:pt idx="8" formatCode="0.0">
                  <c:v>13.800534615304919</c:v>
                </c:pt>
                <c:pt idx="9" formatCode="0.0">
                  <c:v>12.907700152983173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DD-40CE-81DE-791C4CA060BC}"/>
            </c:ext>
          </c:extLst>
        </c:ser>
        <c:ser>
          <c:idx val="2"/>
          <c:order val="2"/>
          <c:tx>
            <c:strRef>
              <c:f>worksheet!$B$72</c:f>
              <c:strCache>
                <c:ptCount val="1"/>
                <c:pt idx="0">
                  <c:v>15-24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worksheet!$C$69:$L$69</c:f>
              <c:numCache>
                <c:formatCode>General</c:formatCode>
                <c:ptCount val="10"/>
                <c:pt idx="0">
                  <c:v>1961</c:v>
                </c:pt>
                <c:pt idx="1">
                  <c:v>1971</c:v>
                </c:pt>
                <c:pt idx="2">
                  <c:v>1981</c:v>
                </c:pt>
                <c:pt idx="3">
                  <c:v>1991</c:v>
                </c:pt>
                <c:pt idx="4">
                  <c:v>2001</c:v>
                </c:pt>
                <c:pt idx="5">
                  <c:v>2011</c:v>
                </c:pt>
                <c:pt idx="6">
                  <c:v>2021</c:v>
                </c:pt>
                <c:pt idx="7">
                  <c:v>2026</c:v>
                </c:pt>
                <c:pt idx="8">
                  <c:v>2031</c:v>
                </c:pt>
                <c:pt idx="9">
                  <c:v>2036</c:v>
                </c:pt>
              </c:numCache>
            </c:numRef>
          </c:cat>
          <c:val>
            <c:numRef>
              <c:f>worksheet!$C$72:$L$72</c:f>
              <c:numCache>
                <c:formatCode>General</c:formatCode>
                <c:ptCount val="10"/>
                <c:pt idx="0">
                  <c:v>16.5</c:v>
                </c:pt>
                <c:pt idx="1">
                  <c:v>15.12</c:v>
                </c:pt>
                <c:pt idx="2">
                  <c:v>17.88</c:v>
                </c:pt>
                <c:pt idx="3">
                  <c:v>18.53</c:v>
                </c:pt>
                <c:pt idx="4">
                  <c:v>18.260000000000002</c:v>
                </c:pt>
                <c:pt idx="5">
                  <c:v>18.37</c:v>
                </c:pt>
                <c:pt idx="6">
                  <c:v>17.579999999999998</c:v>
                </c:pt>
                <c:pt idx="7">
                  <c:v>16.2</c:v>
                </c:pt>
                <c:pt idx="8">
                  <c:v>14.83</c:v>
                </c:pt>
                <c:pt idx="9">
                  <c:v>13.81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DD-40CE-81DE-791C4CA060BC}"/>
            </c:ext>
          </c:extLst>
        </c:ser>
        <c:ser>
          <c:idx val="3"/>
          <c:order val="3"/>
          <c:tx>
            <c:strRef>
              <c:f>worksheet!$B$73</c:f>
              <c:strCache>
                <c:ptCount val="1"/>
                <c:pt idx="0">
                  <c:v>25-59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worksheet!$C$69:$L$69</c:f>
              <c:numCache>
                <c:formatCode>General</c:formatCode>
                <c:ptCount val="10"/>
                <c:pt idx="0">
                  <c:v>1961</c:v>
                </c:pt>
                <c:pt idx="1">
                  <c:v>1971</c:v>
                </c:pt>
                <c:pt idx="2">
                  <c:v>1981</c:v>
                </c:pt>
                <c:pt idx="3">
                  <c:v>1991</c:v>
                </c:pt>
                <c:pt idx="4">
                  <c:v>2001</c:v>
                </c:pt>
                <c:pt idx="5">
                  <c:v>2011</c:v>
                </c:pt>
                <c:pt idx="6">
                  <c:v>2021</c:v>
                </c:pt>
                <c:pt idx="7">
                  <c:v>2026</c:v>
                </c:pt>
                <c:pt idx="8">
                  <c:v>2031</c:v>
                </c:pt>
                <c:pt idx="9">
                  <c:v>2036</c:v>
                </c:pt>
              </c:numCache>
            </c:numRef>
          </c:cat>
          <c:val>
            <c:numRef>
              <c:f>worksheet!$C$73:$L$73</c:f>
              <c:numCache>
                <c:formatCode>0.00</c:formatCode>
                <c:ptCount val="10"/>
                <c:pt idx="0">
                  <c:v>38.599650165030788</c:v>
                </c:pt>
                <c:pt idx="1">
                  <c:v>36.067798132715325</c:v>
                </c:pt>
                <c:pt idx="2" formatCode="General">
                  <c:v>36.07</c:v>
                </c:pt>
                <c:pt idx="3">
                  <c:v>38.304001442481756</c:v>
                </c:pt>
                <c:pt idx="4">
                  <c:v>40.141789110400687</c:v>
                </c:pt>
                <c:pt idx="5">
                  <c:v>43.086572810004462</c:v>
                </c:pt>
                <c:pt idx="6">
                  <c:v>47.314863445378158</c:v>
                </c:pt>
                <c:pt idx="7">
                  <c:v>48.993573292044033</c:v>
                </c:pt>
                <c:pt idx="8">
                  <c:v>49.934727201143829</c:v>
                </c:pt>
                <c:pt idx="9">
                  <c:v>50.268230494645593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DD-40CE-81DE-791C4CA060BC}"/>
            </c:ext>
          </c:extLst>
        </c:ser>
        <c:ser>
          <c:idx val="4"/>
          <c:order val="4"/>
          <c:tx>
            <c:strRef>
              <c:f>worksheet!$B$74</c:f>
              <c:strCache>
                <c:ptCount val="1"/>
                <c:pt idx="0">
                  <c:v>60+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worksheet!$C$69:$L$69</c:f>
              <c:numCache>
                <c:formatCode>General</c:formatCode>
                <c:ptCount val="10"/>
                <c:pt idx="0">
                  <c:v>1961</c:v>
                </c:pt>
                <c:pt idx="1">
                  <c:v>1971</c:v>
                </c:pt>
                <c:pt idx="2">
                  <c:v>1981</c:v>
                </c:pt>
                <c:pt idx="3">
                  <c:v>1991</c:v>
                </c:pt>
                <c:pt idx="4">
                  <c:v>2001</c:v>
                </c:pt>
                <c:pt idx="5">
                  <c:v>2011</c:v>
                </c:pt>
                <c:pt idx="6">
                  <c:v>2021</c:v>
                </c:pt>
                <c:pt idx="7">
                  <c:v>2026</c:v>
                </c:pt>
                <c:pt idx="8">
                  <c:v>2031</c:v>
                </c:pt>
                <c:pt idx="9">
                  <c:v>2036</c:v>
                </c:pt>
              </c:numCache>
            </c:numRef>
          </c:cat>
          <c:val>
            <c:numRef>
              <c:f>worksheet!$C$74:$L$74</c:f>
              <c:numCache>
                <c:formatCode>0.00</c:formatCode>
                <c:ptCount val="10"/>
                <c:pt idx="0">
                  <c:v>5.7002186468557543</c:v>
                </c:pt>
                <c:pt idx="1">
                  <c:v>6.3917870004465716</c:v>
                </c:pt>
                <c:pt idx="2">
                  <c:v>6.3917870004465716</c:v>
                </c:pt>
                <c:pt idx="3">
                  <c:v>7.21909307971523</c:v>
                </c:pt>
                <c:pt idx="4">
                  <c:v>8.2573782776420153</c:v>
                </c:pt>
                <c:pt idx="5">
                  <c:v>9.4926080576414797</c:v>
                </c:pt>
                <c:pt idx="6">
                  <c:v>11.460521708683475</c:v>
                </c:pt>
                <c:pt idx="7">
                  <c:v>13.048550278914885</c:v>
                </c:pt>
                <c:pt idx="8">
                  <c:v>14.965084232992808</c:v>
                </c:pt>
                <c:pt idx="9">
                  <c:v>17.032126466088734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DD-40CE-81DE-791C4CA060B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46464767"/>
        <c:axId val="972602527"/>
      </c:barChart>
      <c:catAx>
        <c:axId val="104646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602527"/>
        <c:crosses val="autoZero"/>
        <c:auto val="1"/>
        <c:lblAlgn val="ctr"/>
        <c:lblOffset val="100"/>
        <c:noMultiLvlLbl val="0"/>
      </c:catAx>
      <c:valAx>
        <c:axId val="972602527"/>
        <c:scaling>
          <c:orientation val="minMax"/>
        </c:scaling>
        <c:delete val="1"/>
        <c:axPos val="l"/>
        <c:numFmt formatCode="_ * #,##0.0_ ;_ * \-#,##0.0_ ;_ * &quot;-&quot;??_ ;_ @_ " sourceLinked="1"/>
        <c:majorTickMark val="none"/>
        <c:minorTickMark val="none"/>
        <c:tickLblPos val="nextTo"/>
        <c:crossAx val="1046464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Changing Age Structure in Odisha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worksheet!$B$47</c:f>
              <c:strCache>
                <c:ptCount val="1"/>
                <c:pt idx="0">
                  <c:v>0-19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worksheet!$C$46:$L$46</c:f>
              <c:numCache>
                <c:formatCode>0</c:formatCode>
                <c:ptCount val="10"/>
                <c:pt idx="0" formatCode="General">
                  <c:v>1961</c:v>
                </c:pt>
                <c:pt idx="1">
                  <c:v>1971</c:v>
                </c:pt>
                <c:pt idx="2" formatCode="General">
                  <c:v>1981</c:v>
                </c:pt>
                <c:pt idx="3" formatCode="General">
                  <c:v>1991</c:v>
                </c:pt>
                <c:pt idx="4" formatCode="General">
                  <c:v>2001</c:v>
                </c:pt>
                <c:pt idx="5" formatCode="General">
                  <c:v>2011</c:v>
                </c:pt>
                <c:pt idx="6">
                  <c:v>2021</c:v>
                </c:pt>
                <c:pt idx="7">
                  <c:v>2026</c:v>
                </c:pt>
                <c:pt idx="8">
                  <c:v>2031</c:v>
                </c:pt>
                <c:pt idx="9">
                  <c:v>2036</c:v>
                </c:pt>
              </c:numCache>
            </c:numRef>
          </c:cat>
          <c:val>
            <c:numRef>
              <c:f>worksheet!$C$47:$L$47</c:f>
              <c:numCache>
                <c:formatCode>General</c:formatCode>
                <c:ptCount val="10"/>
                <c:pt idx="0" formatCode="0.00">
                  <c:v>47.14993440594327</c:v>
                </c:pt>
                <c:pt idx="1">
                  <c:v>50.47</c:v>
                </c:pt>
                <c:pt idx="2" formatCode="0.00">
                  <c:v>49.488305457898086</c:v>
                </c:pt>
                <c:pt idx="3" formatCode="0.00">
                  <c:v>45.487820885923099</c:v>
                </c:pt>
                <c:pt idx="4" formatCode="0.00">
                  <c:v>42.76430212913256</c:v>
                </c:pt>
                <c:pt idx="5" formatCode="0.00">
                  <c:v>38.122973488154088</c:v>
                </c:pt>
                <c:pt idx="6" formatCode="0.0">
                  <c:v>32.081879604950579</c:v>
                </c:pt>
                <c:pt idx="7" formatCode="0.0">
                  <c:v>29.975840833221241</c:v>
                </c:pt>
                <c:pt idx="8" formatCode="0.0">
                  <c:v>28.848006137690497</c:v>
                </c:pt>
                <c:pt idx="9" formatCode="0.0">
                  <c:v>27.729471778014876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0-4E79-8C43-9EA714299F61}"/>
            </c:ext>
          </c:extLst>
        </c:ser>
        <c:ser>
          <c:idx val="1"/>
          <c:order val="1"/>
          <c:tx>
            <c:strRef>
              <c:f>worksheet!$B$48</c:f>
              <c:strCache>
                <c:ptCount val="1"/>
                <c:pt idx="0">
                  <c:v>20-34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worksheet!$C$46:$L$46</c:f>
              <c:numCache>
                <c:formatCode>0</c:formatCode>
                <c:ptCount val="10"/>
                <c:pt idx="0" formatCode="General">
                  <c:v>1961</c:v>
                </c:pt>
                <c:pt idx="1">
                  <c:v>1971</c:v>
                </c:pt>
                <c:pt idx="2" formatCode="General">
                  <c:v>1981</c:v>
                </c:pt>
                <c:pt idx="3" formatCode="General">
                  <c:v>1991</c:v>
                </c:pt>
                <c:pt idx="4" formatCode="General">
                  <c:v>2001</c:v>
                </c:pt>
                <c:pt idx="5" formatCode="General">
                  <c:v>2011</c:v>
                </c:pt>
                <c:pt idx="6">
                  <c:v>2021</c:v>
                </c:pt>
                <c:pt idx="7">
                  <c:v>2026</c:v>
                </c:pt>
                <c:pt idx="8">
                  <c:v>2031</c:v>
                </c:pt>
                <c:pt idx="9">
                  <c:v>2036</c:v>
                </c:pt>
              </c:numCache>
            </c:numRef>
          </c:cat>
          <c:val>
            <c:numRef>
              <c:f>worksheet!$C$48:$L$48</c:f>
              <c:numCache>
                <c:formatCode>General</c:formatCode>
                <c:ptCount val="10"/>
                <c:pt idx="0" formatCode="0.00">
                  <c:v>24.450109323427874</c:v>
                </c:pt>
                <c:pt idx="1">
                  <c:v>21.240000000000002</c:v>
                </c:pt>
                <c:pt idx="2" formatCode="0.00">
                  <c:v>21.692074806102568</c:v>
                </c:pt>
                <c:pt idx="3" formatCode="0.00">
                  <c:v>24.361739123809787</c:v>
                </c:pt>
                <c:pt idx="4" formatCode="0.00">
                  <c:v>24.616850148867019</c:v>
                </c:pt>
                <c:pt idx="5" formatCode="0.00">
                  <c:v>24.921381501377823</c:v>
                </c:pt>
                <c:pt idx="6" formatCode="0.0">
                  <c:v>25.881204642745825</c:v>
                </c:pt>
                <c:pt idx="7" formatCode="0.0">
                  <c:v>25.271062596954074</c:v>
                </c:pt>
                <c:pt idx="8" formatCode="0.0">
                  <c:v>23.67159476363576</c:v>
                </c:pt>
                <c:pt idx="9" formatCode="0.0">
                  <c:v>21.426006001058866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10-4E79-8C43-9EA714299F61}"/>
            </c:ext>
          </c:extLst>
        </c:ser>
        <c:ser>
          <c:idx val="2"/>
          <c:order val="2"/>
          <c:tx>
            <c:strRef>
              <c:f>worksheet!$B$49</c:f>
              <c:strCache>
                <c:ptCount val="1"/>
                <c:pt idx="0">
                  <c:v>35-59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worksheet!$C$46:$L$46</c:f>
              <c:numCache>
                <c:formatCode>0</c:formatCode>
                <c:ptCount val="10"/>
                <c:pt idx="0" formatCode="General">
                  <c:v>1961</c:v>
                </c:pt>
                <c:pt idx="1">
                  <c:v>1971</c:v>
                </c:pt>
                <c:pt idx="2" formatCode="General">
                  <c:v>1981</c:v>
                </c:pt>
                <c:pt idx="3" formatCode="General">
                  <c:v>1991</c:v>
                </c:pt>
                <c:pt idx="4" formatCode="General">
                  <c:v>2001</c:v>
                </c:pt>
                <c:pt idx="5" formatCode="General">
                  <c:v>2011</c:v>
                </c:pt>
                <c:pt idx="6">
                  <c:v>2021</c:v>
                </c:pt>
                <c:pt idx="7">
                  <c:v>2026</c:v>
                </c:pt>
                <c:pt idx="8">
                  <c:v>2031</c:v>
                </c:pt>
                <c:pt idx="9">
                  <c:v>2036</c:v>
                </c:pt>
              </c:numCache>
            </c:numRef>
          </c:cat>
          <c:val>
            <c:numRef>
              <c:f>worksheet!$C$49:$L$49</c:f>
              <c:numCache>
                <c:formatCode>General</c:formatCode>
                <c:ptCount val="10"/>
                <c:pt idx="0" formatCode="0.00">
                  <c:v>22.549715759087519</c:v>
                </c:pt>
                <c:pt idx="1">
                  <c:v>22.25</c:v>
                </c:pt>
                <c:pt idx="2" formatCode="0.00">
                  <c:v>22.427832735552776</c:v>
                </c:pt>
                <c:pt idx="3" formatCode="0.00">
                  <c:v>22.909600614451517</c:v>
                </c:pt>
                <c:pt idx="4" formatCode="0.00">
                  <c:v>24.192844058333918</c:v>
                </c:pt>
                <c:pt idx="5" formatCode="0.00">
                  <c:v>27.179122193533185</c:v>
                </c:pt>
                <c:pt idx="6" formatCode="0.0">
                  <c:v>30.964344905416478</c:v>
                </c:pt>
                <c:pt idx="7" formatCode="0.0">
                  <c:v>32.32138622351934</c:v>
                </c:pt>
                <c:pt idx="8" formatCode="0.0">
                  <c:v>33.456160370495638</c:v>
                </c:pt>
                <c:pt idx="9" formatCode="0.0">
                  <c:v>34.941121096534175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10-4E79-8C43-9EA714299F61}"/>
            </c:ext>
          </c:extLst>
        </c:ser>
        <c:ser>
          <c:idx val="3"/>
          <c:order val="3"/>
          <c:tx>
            <c:strRef>
              <c:f>worksheet!$B$50</c:f>
              <c:strCache>
                <c:ptCount val="1"/>
                <c:pt idx="0">
                  <c:v>60+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worksheet!$C$46:$L$46</c:f>
              <c:numCache>
                <c:formatCode>0</c:formatCode>
                <c:ptCount val="10"/>
                <c:pt idx="0" formatCode="General">
                  <c:v>1961</c:v>
                </c:pt>
                <c:pt idx="1">
                  <c:v>1971</c:v>
                </c:pt>
                <c:pt idx="2" formatCode="General">
                  <c:v>1981</c:v>
                </c:pt>
                <c:pt idx="3" formatCode="General">
                  <c:v>1991</c:v>
                </c:pt>
                <c:pt idx="4" formatCode="General">
                  <c:v>2001</c:v>
                </c:pt>
                <c:pt idx="5" formatCode="General">
                  <c:v>2011</c:v>
                </c:pt>
                <c:pt idx="6">
                  <c:v>2021</c:v>
                </c:pt>
                <c:pt idx="7">
                  <c:v>2026</c:v>
                </c:pt>
                <c:pt idx="8">
                  <c:v>2031</c:v>
                </c:pt>
                <c:pt idx="9">
                  <c:v>2036</c:v>
                </c:pt>
              </c:numCache>
            </c:numRef>
          </c:cat>
          <c:val>
            <c:numRef>
              <c:f>worksheet!$C$50:$L$50</c:f>
              <c:numCache>
                <c:formatCode>General</c:formatCode>
                <c:ptCount val="10"/>
                <c:pt idx="0" formatCode="0.00">
                  <c:v>5.7002186468557543</c:v>
                </c:pt>
                <c:pt idx="1">
                  <c:v>6.02</c:v>
                </c:pt>
                <c:pt idx="2" formatCode="0.00">
                  <c:v>6.3917870004465716</c:v>
                </c:pt>
                <c:pt idx="3" formatCode="0.00">
                  <c:v>7.21909307971523</c:v>
                </c:pt>
                <c:pt idx="4" formatCode="0.00">
                  <c:v>8.2573782776420153</c:v>
                </c:pt>
                <c:pt idx="5" formatCode="0.00">
                  <c:v>9.4926080576414797</c:v>
                </c:pt>
                <c:pt idx="6" formatCode="0.0">
                  <c:v>11.072570846887112</c:v>
                </c:pt>
                <c:pt idx="7" formatCode="0.0">
                  <c:v>12.431710346305348</c:v>
                </c:pt>
                <c:pt idx="8" formatCode="0.0">
                  <c:v>14.024238728178107</c:v>
                </c:pt>
                <c:pt idx="9" formatCode="0.0">
                  <c:v>15.903401124392087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10-4E79-8C43-9EA714299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6184383"/>
        <c:axId val="646185823"/>
      </c:barChart>
      <c:catAx>
        <c:axId val="64618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185823"/>
        <c:crosses val="autoZero"/>
        <c:auto val="1"/>
        <c:lblAlgn val="ctr"/>
        <c:lblOffset val="100"/>
        <c:noMultiLvlLbl val="0"/>
      </c:catAx>
      <c:valAx>
        <c:axId val="646185823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64618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272143</xdr:colOff>
      <xdr:row>25</xdr:row>
      <xdr:rowOff>54430</xdr:rowOff>
    </xdr:from>
    <xdr:to>
      <xdr:col>55</xdr:col>
      <xdr:colOff>544286</xdr:colOff>
      <xdr:row>51</xdr:row>
      <xdr:rowOff>68036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3F5676-DA8D-911F-0DA8-C1D419F3F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556260</xdr:colOff>
      <xdr:row>2</xdr:row>
      <xdr:rowOff>91440</xdr:rowOff>
    </xdr:from>
    <xdr:to>
      <xdr:col>21</xdr:col>
      <xdr:colOff>213360</xdr:colOff>
      <xdr:row>11</xdr:row>
      <xdr:rowOff>163286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1F5EFB-AF61-1D4D-CCF6-89D874443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45720</xdr:colOff>
      <xdr:row>14</xdr:row>
      <xdr:rowOff>30480</xdr:rowOff>
    </xdr:from>
    <xdr:to>
      <xdr:col>21</xdr:col>
      <xdr:colOff>114300</xdr:colOff>
      <xdr:row>30</xdr:row>
      <xdr:rowOff>70184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6331D9-90C6-709E-6EEA-1E7CE387B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384448</xdr:colOff>
      <xdr:row>30</xdr:row>
      <xdr:rowOff>167899</xdr:rowOff>
    </xdr:from>
    <xdr:to>
      <xdr:col>27</xdr:col>
      <xdr:colOff>194735</xdr:colOff>
      <xdr:row>55</xdr:row>
      <xdr:rowOff>39531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8DB08F-3D68-BD41-E0D9-C81F20FC1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389759</xdr:colOff>
      <xdr:row>65</xdr:row>
      <xdr:rowOff>16641</xdr:rowOff>
    </xdr:from>
    <xdr:to>
      <xdr:col>21</xdr:col>
      <xdr:colOff>446690</xdr:colOff>
      <xdr:row>79</xdr:row>
      <xdr:rowOff>158531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D759FF-50E7-921B-DF4B-19220C86B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33015</xdr:colOff>
      <xdr:row>51</xdr:row>
      <xdr:rowOff>69874</xdr:rowOff>
    </xdr:from>
    <xdr:to>
      <xdr:col>19</xdr:col>
      <xdr:colOff>46731</xdr:colOff>
      <xdr:row>69</xdr:row>
      <xdr:rowOff>113522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1CFFEC-CE83-CD2F-A68C-45D53FB2A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B27E0-6C7A-46D5-989A-6977C6372116}">
  <dimension ref="B1:BE108"/>
  <sheetViews>
    <sheetView topLeftCell="O2" zoomScale="87" zoomScaleNormal="100" workbookViewId="0">
      <selection activeCell="AL11" sqref="AL11"/>
    </sheetView>
  </sheetViews>
  <sheetFormatPr defaultRowHeight="15.6" x14ac:dyDescent="0.3"/>
  <cols>
    <col min="2" max="2" width="8.88671875" style="49"/>
    <col min="6" max="6" width="8.88671875" style="50"/>
    <col min="7" max="7" width="14.44140625" bestFit="1" customWidth="1"/>
    <col min="8" max="8" width="11.5546875" bestFit="1" customWidth="1"/>
    <col min="9" max="9" width="12.77734375" bestFit="1" customWidth="1"/>
    <col min="10" max="10" width="11.44140625" style="50" bestFit="1" customWidth="1"/>
    <col min="11" max="13" width="12.6640625" bestFit="1" customWidth="1"/>
    <col min="14" max="14" width="8.88671875" style="49"/>
    <col min="18" max="18" width="9.44140625" style="154" customWidth="1"/>
    <col min="19" max="19" width="10.6640625" hidden="1" customWidth="1"/>
    <col min="20" max="21" width="10" hidden="1" customWidth="1"/>
    <col min="22" max="27" width="10" bestFit="1" customWidth="1"/>
    <col min="28" max="28" width="8.88671875" bestFit="1" customWidth="1"/>
    <col min="29" max="37" width="10.44140625" bestFit="1" customWidth="1"/>
    <col min="38" max="38" width="9.5546875" customWidth="1"/>
    <col min="39" max="39" width="20" bestFit="1" customWidth="1"/>
    <col min="40" max="41" width="9.5546875" customWidth="1"/>
    <col min="42" max="42" width="12.21875" customWidth="1"/>
    <col min="43" max="43" width="10.77734375" bestFit="1" customWidth="1"/>
    <col min="44" max="45" width="10" bestFit="1" customWidth="1"/>
    <col min="46" max="46" width="10.88671875" bestFit="1" customWidth="1"/>
    <col min="47" max="48" width="10" bestFit="1" customWidth="1"/>
    <col min="49" max="49" width="11.21875" bestFit="1" customWidth="1"/>
    <col min="50" max="51" width="10" bestFit="1" customWidth="1"/>
    <col min="55" max="56" width="9.109375" bestFit="1" customWidth="1"/>
    <col min="57" max="57" width="10.109375" bestFit="1" customWidth="1"/>
  </cols>
  <sheetData>
    <row r="1" spans="2:57" ht="16.2" thickBot="1" x14ac:dyDescent="0.35">
      <c r="B1" s="49" t="s">
        <v>86</v>
      </c>
      <c r="AB1" s="233" t="s">
        <v>88</v>
      </c>
      <c r="AC1" s="234"/>
      <c r="AD1" s="234"/>
      <c r="AE1" s="234"/>
      <c r="AF1" s="234"/>
      <c r="AG1" s="234"/>
      <c r="AH1" s="234"/>
      <c r="AI1" s="234"/>
      <c r="AJ1" s="234"/>
      <c r="AK1" s="235"/>
      <c r="AL1" s="154"/>
      <c r="AM1" s="154"/>
      <c r="AN1" s="154"/>
      <c r="AO1" s="154"/>
    </row>
    <row r="2" spans="2:57" s="49" customFormat="1" ht="16.2" thickBot="1" x14ac:dyDescent="0.35">
      <c r="B2" s="236">
        <v>1951</v>
      </c>
      <c r="C2" s="237"/>
      <c r="D2" s="237"/>
      <c r="E2" s="238"/>
      <c r="F2" s="236">
        <v>1961</v>
      </c>
      <c r="G2" s="237"/>
      <c r="H2" s="237"/>
      <c r="I2" s="238"/>
      <c r="J2" s="236">
        <v>1971</v>
      </c>
      <c r="K2" s="237"/>
      <c r="L2" s="237"/>
      <c r="M2" s="237"/>
      <c r="N2" s="236">
        <v>1981</v>
      </c>
      <c r="O2" s="237"/>
      <c r="P2" s="237"/>
      <c r="Q2" s="237"/>
      <c r="R2" s="152"/>
      <c r="S2" s="239">
        <v>1991</v>
      </c>
      <c r="T2" s="240"/>
      <c r="U2" s="241"/>
      <c r="V2" s="239">
        <v>2001</v>
      </c>
      <c r="W2" s="240"/>
      <c r="X2" s="241"/>
      <c r="Y2" s="240">
        <v>2011</v>
      </c>
      <c r="Z2" s="240"/>
      <c r="AA2" s="241"/>
      <c r="AB2" s="142"/>
      <c r="AC2" s="236">
        <v>2021</v>
      </c>
      <c r="AD2" s="237"/>
      <c r="AE2" s="238"/>
      <c r="AF2" s="236">
        <v>2031</v>
      </c>
      <c r="AG2" s="237"/>
      <c r="AH2" s="238"/>
      <c r="AI2" s="239">
        <v>2036</v>
      </c>
      <c r="AJ2" s="240"/>
      <c r="AK2" s="241"/>
      <c r="AL2" s="50"/>
      <c r="AM2" s="17"/>
      <c r="AN2" s="229">
        <v>2011</v>
      </c>
      <c r="AO2" s="229"/>
      <c r="AP2" s="229"/>
      <c r="AQ2" s="229">
        <v>2021</v>
      </c>
      <c r="AR2" s="229"/>
      <c r="AS2" s="229"/>
      <c r="AT2" s="229">
        <v>2031</v>
      </c>
      <c r="AU2" s="229"/>
      <c r="AV2" s="229"/>
      <c r="AW2" s="229">
        <v>2036</v>
      </c>
      <c r="AX2" s="229"/>
      <c r="AY2" s="229"/>
      <c r="AZ2" s="50"/>
      <c r="BA2" s="49">
        <v>2001</v>
      </c>
    </row>
    <row r="3" spans="2:57" s="49" customFormat="1" ht="14.4" customHeight="1" x14ac:dyDescent="0.3">
      <c r="B3" s="31" t="s">
        <v>0</v>
      </c>
      <c r="C3" s="162" t="s">
        <v>84</v>
      </c>
      <c r="D3" s="162" t="s">
        <v>26</v>
      </c>
      <c r="E3" s="163" t="s">
        <v>11</v>
      </c>
      <c r="F3" s="142" t="s">
        <v>0</v>
      </c>
      <c r="G3" s="162" t="s">
        <v>84</v>
      </c>
      <c r="H3" s="162" t="s">
        <v>26</v>
      </c>
      <c r="I3" s="162" t="s">
        <v>11</v>
      </c>
      <c r="J3" s="31" t="s">
        <v>0</v>
      </c>
      <c r="K3" s="162" t="s">
        <v>84</v>
      </c>
      <c r="L3" s="162" t="s">
        <v>26</v>
      </c>
      <c r="M3" s="162" t="s">
        <v>11</v>
      </c>
      <c r="N3" s="142" t="s">
        <v>0</v>
      </c>
      <c r="O3" s="162" t="s">
        <v>84</v>
      </c>
      <c r="P3" s="162" t="s">
        <v>26</v>
      </c>
      <c r="Q3" s="163" t="s">
        <v>11</v>
      </c>
      <c r="R3" s="154"/>
      <c r="S3" s="143" t="s">
        <v>4</v>
      </c>
      <c r="T3" s="144" t="s">
        <v>5</v>
      </c>
      <c r="U3" s="145" t="s">
        <v>6</v>
      </c>
      <c r="V3" s="157" t="s">
        <v>4</v>
      </c>
      <c r="W3" s="144" t="s">
        <v>5</v>
      </c>
      <c r="X3" s="145" t="s">
        <v>6</v>
      </c>
      <c r="Y3" s="144" t="s">
        <v>4</v>
      </c>
      <c r="Z3" s="144" t="s">
        <v>5</v>
      </c>
      <c r="AA3" s="145" t="s">
        <v>6</v>
      </c>
      <c r="AB3" s="146" t="s">
        <v>0</v>
      </c>
      <c r="AC3" s="147" t="s">
        <v>84</v>
      </c>
      <c r="AD3" s="148" t="s">
        <v>26</v>
      </c>
      <c r="AE3" s="149" t="s">
        <v>11</v>
      </c>
      <c r="AF3" s="147" t="s">
        <v>84</v>
      </c>
      <c r="AG3" s="148" t="s">
        <v>26</v>
      </c>
      <c r="AH3" s="149" t="s">
        <v>11</v>
      </c>
      <c r="AI3" s="147" t="s">
        <v>84</v>
      </c>
      <c r="AJ3" s="148" t="s">
        <v>26</v>
      </c>
      <c r="AK3" s="149" t="s">
        <v>11</v>
      </c>
      <c r="AL3" s="212"/>
      <c r="AM3" s="219"/>
      <c r="AN3" s="17" t="s">
        <v>4</v>
      </c>
      <c r="AO3" s="17" t="s">
        <v>26</v>
      </c>
      <c r="AP3" s="17" t="s">
        <v>11</v>
      </c>
      <c r="AQ3" s="219" t="s">
        <v>84</v>
      </c>
      <c r="AR3" s="219" t="s">
        <v>26</v>
      </c>
      <c r="AS3" s="219" t="s">
        <v>11</v>
      </c>
      <c r="AT3" s="219" t="s">
        <v>84</v>
      </c>
      <c r="AU3" s="219" t="s">
        <v>26</v>
      </c>
      <c r="AV3" s="219" t="s">
        <v>11</v>
      </c>
      <c r="AW3" s="219" t="s">
        <v>84</v>
      </c>
      <c r="AX3" s="219" t="s">
        <v>26</v>
      </c>
      <c r="AY3" s="219" t="s">
        <v>11</v>
      </c>
      <c r="AZ3" s="212"/>
      <c r="BA3"/>
      <c r="BB3"/>
      <c r="BC3" s="144" t="s">
        <v>5</v>
      </c>
      <c r="BD3" s="145" t="s">
        <v>6</v>
      </c>
      <c r="BE3" s="157" t="s">
        <v>4</v>
      </c>
    </row>
    <row r="4" spans="2:57" x14ac:dyDescent="0.3">
      <c r="B4" s="172" t="s">
        <v>7</v>
      </c>
      <c r="C4">
        <v>14645946</v>
      </c>
      <c r="D4">
        <v>7242892</v>
      </c>
      <c r="E4" s="41">
        <v>7403054</v>
      </c>
      <c r="F4" s="172" t="s">
        <v>10</v>
      </c>
      <c r="G4" s="173">
        <v>17548846</v>
      </c>
      <c r="H4" s="60">
        <v>8770586</v>
      </c>
      <c r="I4" s="60">
        <v>8778260</v>
      </c>
      <c r="J4" s="172" t="s">
        <v>7</v>
      </c>
      <c r="K4" s="173">
        <v>21944615</v>
      </c>
      <c r="L4" s="173">
        <v>11041083</v>
      </c>
      <c r="M4" s="173">
        <v>10903532</v>
      </c>
      <c r="N4" s="40" t="s">
        <v>10</v>
      </c>
      <c r="O4">
        <v>26370271</v>
      </c>
      <c r="P4">
        <v>13309786</v>
      </c>
      <c r="Q4" s="41">
        <v>13060485</v>
      </c>
      <c r="R4" s="174" t="s">
        <v>10</v>
      </c>
      <c r="S4" s="40">
        <f>U4+T4</f>
        <v>31659736</v>
      </c>
      <c r="T4" s="9">
        <v>15595590</v>
      </c>
      <c r="U4" s="155">
        <v>16064146</v>
      </c>
      <c r="V4" s="158">
        <v>36804660</v>
      </c>
      <c r="W4" s="5">
        <v>18660570</v>
      </c>
      <c r="X4" s="159">
        <v>18144090</v>
      </c>
      <c r="Y4">
        <v>41974218</v>
      </c>
      <c r="Z4">
        <v>21212136</v>
      </c>
      <c r="AA4" s="41">
        <v>20762082</v>
      </c>
      <c r="AB4" s="138" t="s">
        <v>7</v>
      </c>
      <c r="AC4" s="210">
        <v>45696000</v>
      </c>
      <c r="AD4" s="210">
        <v>23003000</v>
      </c>
      <c r="AE4" s="210">
        <v>22693000</v>
      </c>
      <c r="AF4" s="210">
        <v>48259000</v>
      </c>
      <c r="AG4" s="210">
        <v>24204000</v>
      </c>
      <c r="AH4" s="210">
        <v>24055000</v>
      </c>
      <c r="AI4" s="210">
        <v>49025000</v>
      </c>
      <c r="AJ4" s="210">
        <v>24542000</v>
      </c>
      <c r="AK4" s="210">
        <v>24483000</v>
      </c>
      <c r="AL4" s="214"/>
      <c r="AM4" s="17" t="s">
        <v>116</v>
      </c>
      <c r="AN4" s="17">
        <v>11282962</v>
      </c>
      <c r="AO4" s="17">
        <v>5616499</v>
      </c>
      <c r="AP4" s="17">
        <v>5666463</v>
      </c>
      <c r="AQ4" s="220">
        <f t="shared" ref="AQ4:AY4" si="0">SUM(AC10:AC12)</f>
        <v>11915000</v>
      </c>
      <c r="AR4" s="220">
        <f t="shared" si="0"/>
        <v>6037000</v>
      </c>
      <c r="AS4" s="220">
        <f t="shared" si="0"/>
        <v>5879000</v>
      </c>
      <c r="AT4" s="220">
        <f t="shared" si="0"/>
        <v>11002000</v>
      </c>
      <c r="AU4" s="220">
        <f t="shared" si="0"/>
        <v>5645000</v>
      </c>
      <c r="AV4" s="220">
        <f t="shared" si="0"/>
        <v>5356000</v>
      </c>
      <c r="AW4" s="220">
        <f t="shared" si="0"/>
        <v>10390000</v>
      </c>
      <c r="AX4" s="220">
        <f t="shared" si="0"/>
        <v>5345000</v>
      </c>
      <c r="AY4" s="220">
        <f t="shared" si="0"/>
        <v>5046000</v>
      </c>
      <c r="AZ4" s="214"/>
      <c r="BA4" t="s">
        <v>27</v>
      </c>
      <c r="BC4">
        <f>SUM(W6:W10)</f>
        <v>1823878</v>
      </c>
      <c r="BD4">
        <f>SUM(X6:X10)</f>
        <v>1749779</v>
      </c>
      <c r="BE4">
        <f>SUM(V6:V10)</f>
        <v>3573657</v>
      </c>
    </row>
    <row r="5" spans="2:57" ht="14.4" x14ac:dyDescent="0.3">
      <c r="B5" s="150"/>
      <c r="E5" s="41"/>
      <c r="F5" s="150"/>
      <c r="J5" s="150"/>
      <c r="N5" s="143"/>
      <c r="Q5" s="41"/>
      <c r="R5" s="50"/>
      <c r="S5" s="40"/>
      <c r="U5" s="41"/>
      <c r="V5" s="40"/>
      <c r="X5" s="41"/>
      <c r="AA5" s="41"/>
      <c r="AB5" s="136"/>
      <c r="AC5" s="136"/>
      <c r="AD5" s="133"/>
      <c r="AE5" s="137"/>
      <c r="AF5" s="136"/>
      <c r="AG5" s="133"/>
      <c r="AH5" s="137"/>
      <c r="AI5" s="136"/>
      <c r="AJ5" s="133"/>
      <c r="AK5" s="137"/>
      <c r="AL5" s="215"/>
      <c r="AM5" s="42" t="s">
        <v>0</v>
      </c>
      <c r="AN5" s="42">
        <v>2011</v>
      </c>
      <c r="AO5" s="42"/>
      <c r="AP5" s="42"/>
      <c r="AQ5" s="42">
        <v>2021</v>
      </c>
      <c r="AR5" s="42"/>
      <c r="AS5" s="42"/>
      <c r="AT5" s="42">
        <v>2031</v>
      </c>
      <c r="AU5" s="42"/>
      <c r="AV5" s="42"/>
      <c r="AW5" s="42">
        <v>2036</v>
      </c>
      <c r="AX5" s="42"/>
      <c r="AY5" s="42"/>
      <c r="AZ5" s="215"/>
      <c r="BA5" t="s">
        <v>114</v>
      </c>
      <c r="BC5">
        <f>SUM(W11:W15)</f>
        <v>2240896</v>
      </c>
      <c r="BD5">
        <f>SUM(X11:X15)</f>
        <v>2136709</v>
      </c>
      <c r="BE5">
        <f>SUM(V11:V15)</f>
        <v>4377605</v>
      </c>
    </row>
    <row r="6" spans="2:57" ht="14.4" x14ac:dyDescent="0.3">
      <c r="B6" s="150" t="s">
        <v>67</v>
      </c>
      <c r="C6">
        <v>410086.48799999995</v>
      </c>
      <c r="D6" s="100" t="s">
        <v>85</v>
      </c>
      <c r="E6" s="175" t="s">
        <v>85</v>
      </c>
      <c r="F6" s="150">
        <v>0</v>
      </c>
      <c r="G6" s="60">
        <v>465048.25599999999</v>
      </c>
      <c r="H6" s="60">
        <v>228035.236</v>
      </c>
      <c r="I6" s="60">
        <v>237013.02</v>
      </c>
      <c r="J6" s="150" t="s">
        <v>27</v>
      </c>
      <c r="K6" s="16">
        <v>3124913.1760000004</v>
      </c>
      <c r="L6" s="16">
        <v>1538317.5115</v>
      </c>
      <c r="M6" s="16">
        <v>1586595.6645000002</v>
      </c>
      <c r="N6" s="143" t="s">
        <v>12</v>
      </c>
      <c r="O6">
        <v>6925470</v>
      </c>
      <c r="P6">
        <v>3454752</v>
      </c>
      <c r="Q6" s="41">
        <v>3470718</v>
      </c>
      <c r="R6" s="170">
        <v>0</v>
      </c>
      <c r="S6" s="40">
        <f t="shared" ref="S6:S37" si="1">U6+T6</f>
        <v>669370</v>
      </c>
      <c r="T6" s="9">
        <v>329340</v>
      </c>
      <c r="U6" s="155">
        <v>340030</v>
      </c>
      <c r="V6" s="158">
        <v>564271</v>
      </c>
      <c r="W6" s="5">
        <v>290316</v>
      </c>
      <c r="X6" s="159">
        <v>273955</v>
      </c>
      <c r="Y6">
        <v>670909</v>
      </c>
      <c r="Z6">
        <v>345960</v>
      </c>
      <c r="AA6" s="41">
        <v>324949</v>
      </c>
      <c r="AB6" s="139" t="s">
        <v>82</v>
      </c>
      <c r="AC6" s="218">
        <v>710000</v>
      </c>
      <c r="AD6" s="218">
        <v>366000</v>
      </c>
      <c r="AE6" s="218">
        <v>344000</v>
      </c>
      <c r="AF6" s="218">
        <v>640000</v>
      </c>
      <c r="AG6" s="218">
        <v>329000</v>
      </c>
      <c r="AH6" s="218">
        <v>311000</v>
      </c>
      <c r="AI6" s="218">
        <v>601000</v>
      </c>
      <c r="AJ6" s="218">
        <v>309000</v>
      </c>
      <c r="AK6" s="218">
        <v>292000</v>
      </c>
      <c r="AL6" s="216"/>
      <c r="AM6" s="17" t="s">
        <v>81</v>
      </c>
      <c r="AN6" s="223">
        <f>(SUM(Y6:Y20)/Y4)*100</f>
        <v>28.77104702701072</v>
      </c>
      <c r="AO6" s="223">
        <f t="shared" ref="AO6:AP6" si="2">(SUM(Z6:Z20)/Z4)*100</f>
        <v>29.072984446262275</v>
      </c>
      <c r="AP6" s="223">
        <f t="shared" si="2"/>
        <v>28.462564592510521</v>
      </c>
      <c r="AQ6" s="223">
        <f>(SUM(AC7:AC9)/AC4)*100</f>
        <v>23.643207282913163</v>
      </c>
      <c r="AR6" s="223">
        <f t="shared" ref="AR6:AY6" si="3">(SUM(AD7:AD9)/AD4)*100</f>
        <v>24.162065817502064</v>
      </c>
      <c r="AS6" s="223">
        <f t="shared" si="3"/>
        <v>23.112854184109636</v>
      </c>
      <c r="AT6" s="223">
        <f t="shared" si="3"/>
        <v>20.276010692306098</v>
      </c>
      <c r="AU6" s="223">
        <f t="shared" si="3"/>
        <v>20.789952074037348</v>
      </c>
      <c r="AV6" s="223">
        <f t="shared" si="3"/>
        <v>19.758885886510079</v>
      </c>
      <c r="AW6" s="223">
        <f t="shared" si="3"/>
        <v>18.8883222845487</v>
      </c>
      <c r="AX6" s="223">
        <f t="shared" si="3"/>
        <v>19.399396952163638</v>
      </c>
      <c r="AY6" s="223">
        <f t="shared" si="3"/>
        <v>18.380100477882614</v>
      </c>
      <c r="BA6" t="s">
        <v>115</v>
      </c>
      <c r="BC6">
        <f>SUM(W16:W20)</f>
        <v>2171099</v>
      </c>
      <c r="BD6">
        <f>SUM(X16:X20)</f>
        <v>2085511</v>
      </c>
      <c r="BE6">
        <f>SUM(V16:V20)</f>
        <v>4256610</v>
      </c>
    </row>
    <row r="7" spans="2:57" ht="14.4" x14ac:dyDescent="0.3">
      <c r="B7" s="150" t="s">
        <v>68</v>
      </c>
      <c r="C7">
        <v>1435302.7080000001</v>
      </c>
      <c r="D7" s="100" t="s">
        <v>85</v>
      </c>
      <c r="E7" s="175" t="s">
        <v>85</v>
      </c>
      <c r="F7" s="150">
        <v>1</v>
      </c>
      <c r="G7" s="60">
        <v>473818.84199999995</v>
      </c>
      <c r="H7" s="60">
        <v>236805.82199999999</v>
      </c>
      <c r="I7" s="60">
        <v>237013.02</v>
      </c>
      <c r="J7" s="166" t="s">
        <v>28</v>
      </c>
      <c r="K7" s="16">
        <v>3346553.7875000001</v>
      </c>
      <c r="L7" s="16">
        <v>1656818.4325000001</v>
      </c>
      <c r="M7" s="16">
        <v>1689735.355</v>
      </c>
      <c r="N7" s="143" t="s">
        <v>13</v>
      </c>
      <c r="O7">
        <v>3528376</v>
      </c>
      <c r="P7">
        <v>1784668</v>
      </c>
      <c r="Q7" s="41">
        <v>1743708</v>
      </c>
      <c r="R7" s="170">
        <v>1</v>
      </c>
      <c r="S7" s="40">
        <f t="shared" si="1"/>
        <v>514700</v>
      </c>
      <c r="T7" s="9">
        <v>251560</v>
      </c>
      <c r="U7" s="155">
        <v>263140</v>
      </c>
      <c r="V7" s="158">
        <v>644131</v>
      </c>
      <c r="W7" s="5">
        <v>332004</v>
      </c>
      <c r="X7" s="159">
        <v>312127</v>
      </c>
      <c r="Y7">
        <v>769827</v>
      </c>
      <c r="Z7">
        <v>399084</v>
      </c>
      <c r="AA7" s="41">
        <v>370743</v>
      </c>
      <c r="AB7" s="140" t="s">
        <v>27</v>
      </c>
      <c r="AC7" s="218">
        <v>3467000</v>
      </c>
      <c r="AD7" s="218">
        <v>1785000</v>
      </c>
      <c r="AE7" s="218">
        <v>1682000</v>
      </c>
      <c r="AF7" s="218">
        <v>3125000</v>
      </c>
      <c r="AG7" s="218">
        <v>1607000</v>
      </c>
      <c r="AH7" s="218">
        <v>1518000</v>
      </c>
      <c r="AI7" s="218">
        <v>2932000</v>
      </c>
      <c r="AJ7" s="218">
        <v>1509000</v>
      </c>
      <c r="AK7" s="218">
        <v>1424000</v>
      </c>
      <c r="AL7" s="214"/>
      <c r="AM7" s="17" t="s">
        <v>116</v>
      </c>
      <c r="AN7" s="223">
        <f>(SUM(Y21:Y35)/Y4*100)</f>
        <v>26.880696145429084</v>
      </c>
      <c r="AO7" s="223">
        <f t="shared" ref="AO7:AP7" si="4">(SUM(Z21:Z35)/Z4*100)</f>
        <v>26.477762541216972</v>
      </c>
      <c r="AP7" s="223">
        <f t="shared" si="4"/>
        <v>27.292364031699712</v>
      </c>
      <c r="AQ7" s="223">
        <f>(SUM(AC10:AC12)/AC4)*100</f>
        <v>26.074492296918766</v>
      </c>
      <c r="AR7" s="223">
        <f t="shared" ref="AR7:AY7" si="5">(SUM(AD10:AD12)/AD4)*100</f>
        <v>26.24440290396905</v>
      </c>
      <c r="AS7" s="223">
        <f t="shared" si="5"/>
        <v>25.906667254219361</v>
      </c>
      <c r="AT7" s="223">
        <f t="shared" si="5"/>
        <v>22.797820095733439</v>
      </c>
      <c r="AU7" s="223">
        <f t="shared" si="5"/>
        <v>23.322591307221945</v>
      </c>
      <c r="AV7" s="223">
        <f t="shared" si="5"/>
        <v>22.265641238827687</v>
      </c>
      <c r="AW7" s="223">
        <f t="shared" si="5"/>
        <v>21.193268740438551</v>
      </c>
      <c r="AX7" s="223">
        <f t="shared" si="5"/>
        <v>21.778991117268358</v>
      </c>
      <c r="AY7" s="223">
        <f t="shared" si="5"/>
        <v>20.610219335865704</v>
      </c>
      <c r="BA7" t="s">
        <v>14</v>
      </c>
      <c r="BC7">
        <f>SUM(W21:W25)</f>
        <v>1760391</v>
      </c>
      <c r="BD7">
        <f>SUM(X21:X25)</f>
        <v>1770993</v>
      </c>
      <c r="BE7">
        <f>SUM(V21:V25)</f>
        <v>3531384</v>
      </c>
    </row>
    <row r="8" spans="2:57" ht="14.4" x14ac:dyDescent="0.3">
      <c r="B8" s="150" t="s">
        <v>69</v>
      </c>
      <c r="C8">
        <v>3573610.8239999996</v>
      </c>
      <c r="D8" s="100" t="s">
        <v>85</v>
      </c>
      <c r="E8" s="175" t="s">
        <v>85</v>
      </c>
      <c r="F8" s="150">
        <v>2</v>
      </c>
      <c r="G8" s="60">
        <v>535243.64</v>
      </c>
      <c r="H8" s="60">
        <v>263117.58</v>
      </c>
      <c r="I8" s="60">
        <v>272126.06</v>
      </c>
      <c r="J8" s="167" t="s">
        <v>29</v>
      </c>
      <c r="K8" s="16">
        <v>2822077.4889999996</v>
      </c>
      <c r="L8" s="16">
        <v>1472483.6665000001</v>
      </c>
      <c r="M8" s="16">
        <v>1349593.8225</v>
      </c>
      <c r="N8" s="143" t="s">
        <v>14</v>
      </c>
      <c r="O8">
        <v>2591689</v>
      </c>
      <c r="P8">
        <v>1305417</v>
      </c>
      <c r="Q8" s="41">
        <v>1286272</v>
      </c>
      <c r="R8" s="170">
        <v>2</v>
      </c>
      <c r="S8" s="40">
        <f t="shared" si="1"/>
        <v>782470</v>
      </c>
      <c r="T8" s="9">
        <v>386470</v>
      </c>
      <c r="U8" s="155">
        <v>396000</v>
      </c>
      <c r="V8" s="158">
        <v>744423</v>
      </c>
      <c r="W8" s="5">
        <v>381747</v>
      </c>
      <c r="X8" s="159">
        <v>362676</v>
      </c>
      <c r="Y8">
        <v>707887</v>
      </c>
      <c r="Z8">
        <v>363209</v>
      </c>
      <c r="AA8" s="41">
        <v>344678</v>
      </c>
      <c r="AB8" s="140" t="s">
        <v>59</v>
      </c>
      <c r="AC8" s="218">
        <v>3556000</v>
      </c>
      <c r="AD8" s="218">
        <v>1832000</v>
      </c>
      <c r="AE8" s="218">
        <v>1724000</v>
      </c>
      <c r="AF8" s="218">
        <v>3269000</v>
      </c>
      <c r="AG8" s="218">
        <v>1682000</v>
      </c>
      <c r="AH8" s="218">
        <v>1587000</v>
      </c>
      <c r="AI8" s="218">
        <v>3084000</v>
      </c>
      <c r="AJ8" s="218">
        <v>1585000</v>
      </c>
      <c r="AK8" s="218">
        <v>1499000</v>
      </c>
      <c r="AL8" s="214"/>
      <c r="AM8" s="17" t="s">
        <v>121</v>
      </c>
      <c r="AN8" s="223">
        <f>(SUM(Y36:Y65)/Y4*100)</f>
        <v>34.571734010625285</v>
      </c>
      <c r="AO8" s="223">
        <f t="shared" ref="AO8:AP8" si="6">(SUM(Z36:Z65)/Z4*100)</f>
        <v>34.758493911221386</v>
      </c>
      <c r="AP8" s="223">
        <f t="shared" si="6"/>
        <v>34.380925766500681</v>
      </c>
      <c r="AQ8" s="223">
        <f>(SUM(AC13:AC18)/AC4)*100</f>
        <v>38.823967086834735</v>
      </c>
      <c r="AR8" s="223">
        <f t="shared" ref="AR8:AY8" si="7">(SUM(AD13:AD18)/AD4)*100</f>
        <v>38.447159066208755</v>
      </c>
      <c r="AS8" s="223">
        <f t="shared" si="7"/>
        <v>39.205922531177016</v>
      </c>
      <c r="AT8" s="223">
        <f t="shared" si="7"/>
        <v>41.963157131312293</v>
      </c>
      <c r="AU8" s="223">
        <f t="shared" si="7"/>
        <v>41.393984465377628</v>
      </c>
      <c r="AV8" s="223">
        <f t="shared" si="7"/>
        <v>42.535855331531906</v>
      </c>
      <c r="AW8" s="223">
        <f t="shared" si="7"/>
        <v>42.884242733299338</v>
      </c>
      <c r="AX8" s="223">
        <f t="shared" si="7"/>
        <v>42.478200635645017</v>
      </c>
      <c r="AY8" s="223">
        <f t="shared" si="7"/>
        <v>43.287178858799983</v>
      </c>
      <c r="BA8" t="s">
        <v>15</v>
      </c>
      <c r="BC8">
        <f>SUM(W26:W30)</f>
        <v>1600793</v>
      </c>
      <c r="BD8">
        <f>SUM(X26:X30)</f>
        <v>1589400</v>
      </c>
      <c r="BE8">
        <f>SUM(V26:V30)</f>
        <v>3190193</v>
      </c>
    </row>
    <row r="9" spans="2:57" ht="14.4" x14ac:dyDescent="0.3">
      <c r="B9" s="150" t="s">
        <v>73</v>
      </c>
      <c r="C9">
        <v>4730640.5579999993</v>
      </c>
      <c r="D9" s="100" t="s">
        <v>85</v>
      </c>
      <c r="E9" s="175" t="s">
        <v>85</v>
      </c>
      <c r="F9" s="150">
        <v>3</v>
      </c>
      <c r="G9" s="60">
        <v>517702.46799999999</v>
      </c>
      <c r="H9" s="60">
        <v>245576.408</v>
      </c>
      <c r="I9" s="60">
        <v>272126.06</v>
      </c>
      <c r="J9" s="150" t="s">
        <v>14</v>
      </c>
      <c r="K9" s="16">
        <v>1781902.7379999999</v>
      </c>
      <c r="L9" s="16">
        <v>917284.90699999989</v>
      </c>
      <c r="M9" s="16">
        <v>864617.83099999989</v>
      </c>
      <c r="N9" s="143" t="s">
        <v>15</v>
      </c>
      <c r="O9">
        <v>2122604</v>
      </c>
      <c r="P9">
        <v>1081239</v>
      </c>
      <c r="Q9" s="41">
        <v>1041365</v>
      </c>
      <c r="R9" s="170">
        <v>3</v>
      </c>
      <c r="S9" s="40">
        <f t="shared" si="1"/>
        <v>831150</v>
      </c>
      <c r="T9" s="9">
        <v>417180</v>
      </c>
      <c r="U9" s="155">
        <v>413970</v>
      </c>
      <c r="V9" s="158">
        <v>822344</v>
      </c>
      <c r="W9" s="5">
        <v>409915</v>
      </c>
      <c r="X9" s="159">
        <v>412429</v>
      </c>
      <c r="Y9">
        <v>750616</v>
      </c>
      <c r="Z9">
        <v>381316</v>
      </c>
      <c r="AA9" s="41">
        <v>369300</v>
      </c>
      <c r="AB9" s="140" t="s">
        <v>60</v>
      </c>
      <c r="AC9" s="218">
        <v>3781000</v>
      </c>
      <c r="AD9" s="218">
        <v>1941000</v>
      </c>
      <c r="AE9" s="218">
        <v>1839000</v>
      </c>
      <c r="AF9" s="218">
        <v>3391000</v>
      </c>
      <c r="AG9" s="218">
        <v>1743000</v>
      </c>
      <c r="AH9" s="218">
        <v>1648000</v>
      </c>
      <c r="AI9" s="218">
        <v>3244000</v>
      </c>
      <c r="AJ9" s="218">
        <v>1667000</v>
      </c>
      <c r="AK9" s="218">
        <v>1577000</v>
      </c>
      <c r="AL9" s="214"/>
      <c r="AM9" s="224" t="s">
        <v>30</v>
      </c>
      <c r="AN9" s="223">
        <f>(SUM(Y66:Y107)/Y4*100)</f>
        <v>9.7765228169349108</v>
      </c>
      <c r="AO9" s="223">
        <f t="shared" ref="AO9:AP9" si="8">(SUM(Z66:Z107)/Z4*100)</f>
        <v>9.6907591012993688</v>
      </c>
      <c r="AP9" s="223">
        <f t="shared" si="8"/>
        <v>9.8641456092890873</v>
      </c>
      <c r="AQ9" s="223">
        <f>(SUM(AC19:AC23)/AC4)*100</f>
        <v>11.460521708683473</v>
      </c>
      <c r="AR9" s="223">
        <f t="shared" ref="AR9:AY9" si="9">(SUM(AD19:AD23)/AD4)*100</f>
        <v>11.142024953266965</v>
      </c>
      <c r="AS9" s="223">
        <f t="shared" si="9"/>
        <v>11.778962675714979</v>
      </c>
      <c r="AT9" s="223">
        <f t="shared" si="9"/>
        <v>14.965084232992808</v>
      </c>
      <c r="AU9" s="223">
        <f t="shared" si="9"/>
        <v>14.493472153363079</v>
      </c>
      <c r="AV9" s="223">
        <f t="shared" si="9"/>
        <v>15.439617543130327</v>
      </c>
      <c r="AW9" s="223">
        <f t="shared" si="9"/>
        <v>17.03212646608873</v>
      </c>
      <c r="AX9" s="223">
        <f t="shared" si="9"/>
        <v>16.343411294922987</v>
      </c>
      <c r="AY9" s="223">
        <f t="shared" si="9"/>
        <v>17.726585794224565</v>
      </c>
      <c r="BA9" t="s">
        <v>16</v>
      </c>
      <c r="BC9">
        <f t="shared" ref="BC9:BC20" si="10">SUM(W27:W31)</f>
        <v>1643924</v>
      </c>
      <c r="BD9">
        <f>SUM(X31:X35)</f>
        <v>1590135</v>
      </c>
      <c r="BE9">
        <f>SUM(V31:V35)</f>
        <v>3108955</v>
      </c>
    </row>
    <row r="10" spans="2:57" ht="28.8" x14ac:dyDescent="0.3">
      <c r="B10" s="150" t="s">
        <v>74</v>
      </c>
      <c r="C10">
        <v>1874681.0880000002</v>
      </c>
      <c r="D10" s="100" t="s">
        <v>85</v>
      </c>
      <c r="E10" s="175" t="s">
        <v>85</v>
      </c>
      <c r="F10" s="150">
        <v>4</v>
      </c>
      <c r="G10" s="60">
        <v>500145.94799999997</v>
      </c>
      <c r="H10" s="60">
        <v>245576.408</v>
      </c>
      <c r="I10" s="60">
        <v>254569.54</v>
      </c>
      <c r="J10" s="150" t="s">
        <v>15</v>
      </c>
      <c r="K10" s="16">
        <v>1536123.05</v>
      </c>
      <c r="L10" s="16">
        <v>743922.44850000006</v>
      </c>
      <c r="M10" s="16">
        <v>792200.60149999987</v>
      </c>
      <c r="N10" s="143" t="s">
        <v>16</v>
      </c>
      <c r="O10">
        <v>1967347</v>
      </c>
      <c r="P10">
        <v>989873</v>
      </c>
      <c r="Q10" s="41">
        <v>977474</v>
      </c>
      <c r="R10" s="170">
        <v>4</v>
      </c>
      <c r="S10" s="40">
        <f t="shared" si="1"/>
        <v>814990</v>
      </c>
      <c r="T10" s="9">
        <v>398210</v>
      </c>
      <c r="U10" s="155">
        <v>416780</v>
      </c>
      <c r="V10" s="158">
        <v>798488</v>
      </c>
      <c r="W10" s="5">
        <v>409896</v>
      </c>
      <c r="X10" s="159">
        <v>388592</v>
      </c>
      <c r="Y10">
        <v>753790</v>
      </c>
      <c r="Z10">
        <v>388558</v>
      </c>
      <c r="AA10" s="41">
        <v>365232</v>
      </c>
      <c r="AB10" s="140" t="s">
        <v>14</v>
      </c>
      <c r="AC10" s="218">
        <v>3969000</v>
      </c>
      <c r="AD10" s="218">
        <v>2027000</v>
      </c>
      <c r="AE10" s="218">
        <v>1942000</v>
      </c>
      <c r="AF10" s="218">
        <v>3486000</v>
      </c>
      <c r="AG10" s="218">
        <v>1794000</v>
      </c>
      <c r="AH10" s="218">
        <v>1691000</v>
      </c>
      <c r="AI10" s="218">
        <v>3350000</v>
      </c>
      <c r="AJ10" s="218">
        <v>1722000</v>
      </c>
      <c r="AK10" s="218">
        <v>1628000</v>
      </c>
      <c r="AL10" s="214"/>
      <c r="AM10" s="221" t="s">
        <v>117</v>
      </c>
      <c r="AN10" s="222">
        <v>1452430</v>
      </c>
      <c r="AO10" s="222">
        <v>736495</v>
      </c>
      <c r="AP10" s="222">
        <v>715935</v>
      </c>
      <c r="AQ10" s="220">
        <f t="shared" ref="AQ10:AY10" si="11">AQ4-AN4</f>
        <v>632038</v>
      </c>
      <c r="AR10" s="220">
        <f t="shared" si="11"/>
        <v>420501</v>
      </c>
      <c r="AS10" s="220">
        <f t="shared" si="11"/>
        <v>212537</v>
      </c>
      <c r="AT10" s="220">
        <f t="shared" si="11"/>
        <v>-913000</v>
      </c>
      <c r="AU10" s="220">
        <f t="shared" si="11"/>
        <v>-392000</v>
      </c>
      <c r="AV10" s="220">
        <f t="shared" si="11"/>
        <v>-523000</v>
      </c>
      <c r="AW10" s="220">
        <f t="shared" si="11"/>
        <v>-612000</v>
      </c>
      <c r="AX10" s="220">
        <f t="shared" si="11"/>
        <v>-300000</v>
      </c>
      <c r="AY10" s="220">
        <f t="shared" si="11"/>
        <v>-310000</v>
      </c>
      <c r="BA10" t="s">
        <v>17</v>
      </c>
      <c r="BC10">
        <f t="shared" si="10"/>
        <v>1671964</v>
      </c>
      <c r="BD10">
        <f>SUM(X36:X40)</f>
        <v>1384860</v>
      </c>
      <c r="BE10">
        <f>SUM(V36:V40)</f>
        <v>2761000</v>
      </c>
    </row>
    <row r="11" spans="2:57" ht="14.4" x14ac:dyDescent="0.3">
      <c r="B11" s="150" t="s">
        <v>71</v>
      </c>
      <c r="C11">
        <v>1318135.1399999999</v>
      </c>
      <c r="D11" s="100" t="s">
        <v>85</v>
      </c>
      <c r="E11" s="175" t="s">
        <v>85</v>
      </c>
      <c r="F11" s="150" t="s">
        <v>28</v>
      </c>
      <c r="G11" s="60">
        <v>2527041.4979999997</v>
      </c>
      <c r="H11" s="60">
        <v>1254193.798</v>
      </c>
      <c r="I11" s="60">
        <v>1272847.7</v>
      </c>
      <c r="J11" s="150" t="s">
        <v>16</v>
      </c>
      <c r="K11" s="16">
        <v>1652429.5095000002</v>
      </c>
      <c r="L11" s="16">
        <v>792200.60149999987</v>
      </c>
      <c r="M11" s="16">
        <v>860228.90799999994</v>
      </c>
      <c r="N11" s="143" t="s">
        <v>17</v>
      </c>
      <c r="O11">
        <v>1628263</v>
      </c>
      <c r="P11">
        <v>798226</v>
      </c>
      <c r="Q11" s="41">
        <v>830037</v>
      </c>
      <c r="R11" s="170">
        <v>5</v>
      </c>
      <c r="S11" s="40">
        <f t="shared" si="1"/>
        <v>934953</v>
      </c>
      <c r="T11" s="9">
        <v>452415</v>
      </c>
      <c r="U11" s="155">
        <v>482538</v>
      </c>
      <c r="V11" s="158">
        <v>948256</v>
      </c>
      <c r="W11" s="5">
        <v>490376</v>
      </c>
      <c r="X11" s="159">
        <v>457880</v>
      </c>
      <c r="Y11">
        <v>828111</v>
      </c>
      <c r="Z11">
        <v>429353</v>
      </c>
      <c r="AA11" s="41">
        <v>398758</v>
      </c>
      <c r="AB11" s="140" t="s">
        <v>15</v>
      </c>
      <c r="AC11" s="218">
        <v>4066000</v>
      </c>
      <c r="AD11" s="218">
        <v>2065000</v>
      </c>
      <c r="AE11" s="218">
        <v>2002000</v>
      </c>
      <c r="AF11" s="218">
        <v>3669000</v>
      </c>
      <c r="AG11" s="218">
        <v>1888000</v>
      </c>
      <c r="AH11" s="218">
        <v>1781000</v>
      </c>
      <c r="AI11" s="218">
        <v>3420000</v>
      </c>
      <c r="AJ11" s="218">
        <v>1764000</v>
      </c>
      <c r="AK11" s="218">
        <v>1656000</v>
      </c>
      <c r="AL11" s="214"/>
      <c r="AM11" s="17"/>
      <c r="BA11" t="s">
        <v>18</v>
      </c>
      <c r="BC11">
        <f t="shared" si="10"/>
        <v>1507853</v>
      </c>
      <c r="BD11">
        <f>SUM(X41:X45)</f>
        <v>1295667</v>
      </c>
      <c r="BE11">
        <f>SUM(V41:V45)</f>
        <v>2663984</v>
      </c>
    </row>
    <row r="12" spans="2:57" ht="15" thickBot="1" x14ac:dyDescent="0.35">
      <c r="B12" s="151" t="s">
        <v>70</v>
      </c>
      <c r="C12" s="37">
        <v>1288843.2480000001</v>
      </c>
      <c r="D12" s="176" t="s">
        <v>85</v>
      </c>
      <c r="E12" s="177" t="s">
        <v>85</v>
      </c>
      <c r="F12" s="150" t="s">
        <v>29</v>
      </c>
      <c r="G12" s="60">
        <v>1833804.5260000001</v>
      </c>
      <c r="H12" s="60">
        <v>973535.04599999997</v>
      </c>
      <c r="I12" s="60">
        <v>860269.48</v>
      </c>
      <c r="J12" s="150" t="s">
        <v>17</v>
      </c>
      <c r="K12" s="16">
        <v>1472483.6665000001</v>
      </c>
      <c r="L12" s="16">
        <v>721977.83349999995</v>
      </c>
      <c r="M12" s="16">
        <v>750505.83299999998</v>
      </c>
      <c r="N12" s="143" t="s">
        <v>18</v>
      </c>
      <c r="O12">
        <v>1629703</v>
      </c>
      <c r="P12">
        <v>825164</v>
      </c>
      <c r="Q12" s="41">
        <v>804539</v>
      </c>
      <c r="R12" s="170">
        <v>6</v>
      </c>
      <c r="S12" s="40">
        <f t="shared" si="1"/>
        <v>799868</v>
      </c>
      <c r="T12" s="9">
        <v>393107</v>
      </c>
      <c r="U12" s="155">
        <v>406761</v>
      </c>
      <c r="V12" s="158">
        <v>836897</v>
      </c>
      <c r="W12" s="5">
        <v>430298</v>
      </c>
      <c r="X12" s="159">
        <v>406599</v>
      </c>
      <c r="Y12">
        <v>792054</v>
      </c>
      <c r="Z12">
        <v>409017</v>
      </c>
      <c r="AA12" s="41">
        <v>383037</v>
      </c>
      <c r="AB12" s="140" t="s">
        <v>16</v>
      </c>
      <c r="AC12" s="218">
        <v>3880000</v>
      </c>
      <c r="AD12" s="218">
        <v>1945000</v>
      </c>
      <c r="AE12" s="218">
        <v>1935000</v>
      </c>
      <c r="AF12" s="218">
        <v>3847000</v>
      </c>
      <c r="AG12" s="218">
        <v>1963000</v>
      </c>
      <c r="AH12" s="218">
        <v>1884000</v>
      </c>
      <c r="AI12" s="218">
        <v>3620000</v>
      </c>
      <c r="AJ12" s="218">
        <v>1859000</v>
      </c>
      <c r="AK12" s="218">
        <v>1762000</v>
      </c>
      <c r="AL12" s="214"/>
      <c r="AM12" s="214"/>
      <c r="AN12" s="214"/>
      <c r="AO12" s="214"/>
      <c r="BA12" t="s">
        <v>19</v>
      </c>
      <c r="BC12">
        <f t="shared" si="10"/>
        <v>1634373</v>
      </c>
      <c r="BD12">
        <f>SUM(X46:X50)</f>
        <v>958323</v>
      </c>
      <c r="BE12">
        <f>SUM(V46:V50)</f>
        <v>2062636</v>
      </c>
    </row>
    <row r="13" spans="2:57" ht="14.4" x14ac:dyDescent="0.3">
      <c r="F13" s="150" t="s">
        <v>14</v>
      </c>
      <c r="G13" s="60">
        <v>1421464.2</v>
      </c>
      <c r="H13" s="60">
        <v>701646.88</v>
      </c>
      <c r="I13" s="60">
        <v>719817.32</v>
      </c>
      <c r="J13" s="150" t="s">
        <v>18</v>
      </c>
      <c r="K13" s="16">
        <v>1424205.5134999999</v>
      </c>
      <c r="L13" s="16">
        <v>746116.91</v>
      </c>
      <c r="M13" s="16">
        <v>678088.60349999997</v>
      </c>
      <c r="N13" s="143" t="s">
        <v>19</v>
      </c>
      <c r="O13">
        <v>1402139</v>
      </c>
      <c r="P13">
        <v>723331</v>
      </c>
      <c r="Q13" s="41">
        <v>678808</v>
      </c>
      <c r="R13" s="170">
        <v>7</v>
      </c>
      <c r="S13" s="40">
        <f t="shared" si="1"/>
        <v>785480</v>
      </c>
      <c r="T13" s="9">
        <v>398400</v>
      </c>
      <c r="U13" s="155">
        <v>387080</v>
      </c>
      <c r="V13" s="158">
        <v>852227</v>
      </c>
      <c r="W13" s="5">
        <v>426526</v>
      </c>
      <c r="X13" s="159">
        <v>425701</v>
      </c>
      <c r="Y13">
        <v>828124</v>
      </c>
      <c r="Z13">
        <v>419291</v>
      </c>
      <c r="AA13" s="41">
        <v>408833</v>
      </c>
      <c r="AB13" s="140" t="s">
        <v>17</v>
      </c>
      <c r="AC13" s="218">
        <v>3669000</v>
      </c>
      <c r="AD13" s="218">
        <v>1813000</v>
      </c>
      <c r="AE13" s="218">
        <v>1856000</v>
      </c>
      <c r="AF13" s="218">
        <v>3962000</v>
      </c>
      <c r="AG13" s="218">
        <v>2001000</v>
      </c>
      <c r="AH13" s="218">
        <v>1960000</v>
      </c>
      <c r="AI13" s="218">
        <v>3801000</v>
      </c>
      <c r="AJ13" s="218">
        <v>1934000</v>
      </c>
      <c r="AK13" s="218">
        <v>1867000</v>
      </c>
      <c r="AL13" s="214"/>
      <c r="AM13" s="214"/>
      <c r="AN13" s="214"/>
      <c r="AO13" s="214"/>
      <c r="BA13" t="s">
        <v>20</v>
      </c>
      <c r="BC13">
        <f t="shared" si="10"/>
        <v>1518820</v>
      </c>
      <c r="BD13">
        <f>SUM(X51:X55)</f>
        <v>829660</v>
      </c>
      <c r="BE13">
        <f>SUM(V51:V55)</f>
        <v>1755849</v>
      </c>
    </row>
    <row r="14" spans="2:57" ht="14.4" x14ac:dyDescent="0.3">
      <c r="F14" s="150" t="s">
        <v>15</v>
      </c>
      <c r="G14" s="60">
        <v>1474133.76</v>
      </c>
      <c r="H14" s="60">
        <v>701646.88</v>
      </c>
      <c r="I14" s="60">
        <v>772486.88</v>
      </c>
      <c r="J14" s="150" t="s">
        <v>32</v>
      </c>
      <c r="K14" s="16">
        <v>2060599.3485000003</v>
      </c>
      <c r="L14" s="16">
        <v>1090647.3655000001</v>
      </c>
      <c r="M14" s="16">
        <v>969951.98300000001</v>
      </c>
      <c r="N14" s="143" t="s">
        <v>20</v>
      </c>
      <c r="O14">
        <v>1210330</v>
      </c>
      <c r="P14">
        <v>642150</v>
      </c>
      <c r="Q14" s="41">
        <v>568180</v>
      </c>
      <c r="R14" s="170">
        <v>8</v>
      </c>
      <c r="S14" s="40">
        <f t="shared" si="1"/>
        <v>1020632</v>
      </c>
      <c r="T14" s="9">
        <v>501192</v>
      </c>
      <c r="U14" s="155">
        <v>519440</v>
      </c>
      <c r="V14" s="158">
        <v>1027635</v>
      </c>
      <c r="W14" s="5">
        <v>527368</v>
      </c>
      <c r="X14" s="159">
        <v>500267</v>
      </c>
      <c r="Y14">
        <v>850364</v>
      </c>
      <c r="Z14">
        <v>433510</v>
      </c>
      <c r="AA14" s="41">
        <v>416854</v>
      </c>
      <c r="AB14" s="140" t="s">
        <v>18</v>
      </c>
      <c r="AC14" s="218">
        <v>3415000</v>
      </c>
      <c r="AD14" s="218">
        <v>1681000</v>
      </c>
      <c r="AE14" s="218">
        <v>1735000</v>
      </c>
      <c r="AF14" s="218">
        <v>3781000</v>
      </c>
      <c r="AG14" s="218">
        <v>1883000</v>
      </c>
      <c r="AH14" s="218">
        <v>1898000</v>
      </c>
      <c r="AI14" s="218">
        <v>3914000</v>
      </c>
      <c r="AJ14" s="218">
        <v>1971000</v>
      </c>
      <c r="AK14" s="218">
        <v>1943000</v>
      </c>
      <c r="AL14" s="214"/>
      <c r="AM14" s="214"/>
      <c r="AN14" s="214"/>
      <c r="AO14" s="214"/>
      <c r="BA14" t="s">
        <v>21</v>
      </c>
      <c r="BC14">
        <f t="shared" si="10"/>
        <v>1619785</v>
      </c>
      <c r="BD14">
        <f>SUM(X56:X60)</f>
        <v>635268</v>
      </c>
      <c r="BE14">
        <f>SUM(V56:V60)</f>
        <v>1344141</v>
      </c>
    </row>
    <row r="15" spans="2:57" ht="14.4" x14ac:dyDescent="0.3">
      <c r="F15" s="150" t="s">
        <v>16</v>
      </c>
      <c r="G15" s="60">
        <v>1526749.602</v>
      </c>
      <c r="H15" s="60">
        <v>763040.98199999996</v>
      </c>
      <c r="I15" s="60">
        <v>763708.62</v>
      </c>
      <c r="J15" s="150" t="s">
        <v>33</v>
      </c>
      <c r="K15" s="16">
        <v>1397871.9755000002</v>
      </c>
      <c r="L15" s="16">
        <v>721977.83349999995</v>
      </c>
      <c r="M15" s="16">
        <v>675894.14199999999</v>
      </c>
      <c r="N15" s="143" t="s">
        <v>21</v>
      </c>
      <c r="O15">
        <v>1018377</v>
      </c>
      <c r="P15">
        <v>545407</v>
      </c>
      <c r="Q15" s="41">
        <v>472970</v>
      </c>
      <c r="R15" s="170">
        <v>9</v>
      </c>
      <c r="S15" s="40">
        <f t="shared" si="1"/>
        <v>590638</v>
      </c>
      <c r="T15" s="9">
        <v>289728</v>
      </c>
      <c r="U15" s="155">
        <v>300910</v>
      </c>
      <c r="V15" s="158">
        <v>712590</v>
      </c>
      <c r="W15" s="5">
        <v>366328</v>
      </c>
      <c r="X15" s="159">
        <v>346262</v>
      </c>
      <c r="Y15">
        <v>776115</v>
      </c>
      <c r="Z15">
        <v>394168</v>
      </c>
      <c r="AA15" s="41">
        <v>381947</v>
      </c>
      <c r="AB15" s="140" t="s">
        <v>19</v>
      </c>
      <c r="AC15" s="218">
        <v>3116000</v>
      </c>
      <c r="AD15" s="218">
        <v>1537000</v>
      </c>
      <c r="AE15" s="218">
        <v>1578000</v>
      </c>
      <c r="AF15" s="218">
        <v>3570000</v>
      </c>
      <c r="AG15" s="218">
        <v>1751000</v>
      </c>
      <c r="AH15" s="218">
        <v>1819000</v>
      </c>
      <c r="AI15" s="218">
        <v>3732000</v>
      </c>
      <c r="AJ15" s="218">
        <v>1853000</v>
      </c>
      <c r="AK15" s="218">
        <v>1879000</v>
      </c>
      <c r="AL15" s="214"/>
      <c r="AM15" s="214"/>
      <c r="AN15" s="214"/>
      <c r="AO15" s="214"/>
      <c r="BA15" t="s">
        <v>22</v>
      </c>
      <c r="BC15">
        <f t="shared" si="10"/>
        <v>1469080</v>
      </c>
      <c r="BD15">
        <f>SUM(X61:X65)</f>
        <v>553732</v>
      </c>
      <c r="BE15">
        <f>SUM(V61:V65)</f>
        <v>1077484</v>
      </c>
    </row>
    <row r="16" spans="2:57" ht="14.4" x14ac:dyDescent="0.3">
      <c r="F16" s="150" t="s">
        <v>17</v>
      </c>
      <c r="G16" s="60">
        <v>1289828.67</v>
      </c>
      <c r="H16" s="60">
        <v>657793.94999999995</v>
      </c>
      <c r="I16" s="60">
        <v>632034.72</v>
      </c>
      <c r="J16" s="150" t="s">
        <v>30</v>
      </c>
      <c r="K16" s="16">
        <v>1321065.8229999999</v>
      </c>
      <c r="L16" s="16">
        <v>636393.83499999996</v>
      </c>
      <c r="M16" s="16">
        <v>684671.98800000001</v>
      </c>
      <c r="N16" s="143" t="s">
        <v>22</v>
      </c>
      <c r="O16">
        <v>651617</v>
      </c>
      <c r="P16">
        <v>338153</v>
      </c>
      <c r="Q16" s="41">
        <v>313464</v>
      </c>
      <c r="R16" s="170">
        <v>10</v>
      </c>
      <c r="S16" s="40">
        <f t="shared" si="1"/>
        <v>996629</v>
      </c>
      <c r="T16" s="9">
        <v>493618</v>
      </c>
      <c r="U16" s="155">
        <v>503011</v>
      </c>
      <c r="V16" s="158">
        <v>1105838</v>
      </c>
      <c r="W16" s="5">
        <v>570436</v>
      </c>
      <c r="X16" s="159">
        <v>535402</v>
      </c>
      <c r="Y16">
        <v>913606</v>
      </c>
      <c r="Z16">
        <v>468214</v>
      </c>
      <c r="AA16" s="41">
        <v>445392</v>
      </c>
      <c r="AB16" s="140" t="s">
        <v>20</v>
      </c>
      <c r="AC16" s="218">
        <v>2866000</v>
      </c>
      <c r="AD16" s="218">
        <v>1431000</v>
      </c>
      <c r="AE16" s="218">
        <v>1435000</v>
      </c>
      <c r="AF16" s="218">
        <v>3301000</v>
      </c>
      <c r="AG16" s="218">
        <v>1613000</v>
      </c>
      <c r="AH16" s="218">
        <v>1688000</v>
      </c>
      <c r="AI16" s="218">
        <v>3506000</v>
      </c>
      <c r="AJ16" s="218">
        <v>1714000</v>
      </c>
      <c r="AK16" s="218">
        <v>1791000</v>
      </c>
      <c r="AL16" s="214"/>
      <c r="AM16" s="214"/>
      <c r="AN16" s="214"/>
      <c r="AO16" s="214"/>
      <c r="BA16" t="s">
        <v>23</v>
      </c>
      <c r="BC16">
        <f t="shared" si="10"/>
        <v>1582473</v>
      </c>
      <c r="BD16">
        <f>SUM(X66:X70)</f>
        <v>561134</v>
      </c>
      <c r="BE16">
        <f>SUM(V66:V70)</f>
        <v>1104140</v>
      </c>
    </row>
    <row r="17" spans="6:57" ht="15" thickBot="1" x14ac:dyDescent="0.35">
      <c r="F17" s="150" t="s">
        <v>18</v>
      </c>
      <c r="G17" s="60">
        <v>1052907.7379999999</v>
      </c>
      <c r="H17" s="60">
        <v>552546.91799999995</v>
      </c>
      <c r="I17" s="60">
        <v>500360.82</v>
      </c>
      <c r="J17" s="151" t="s">
        <v>66</v>
      </c>
      <c r="K17" s="168">
        <v>4388.9229999999998</v>
      </c>
      <c r="L17" s="168">
        <v>2194.4614999999999</v>
      </c>
      <c r="M17" s="168">
        <v>2194.4614999999999</v>
      </c>
      <c r="N17" s="143" t="s">
        <v>23</v>
      </c>
      <c r="O17">
        <v>699158</v>
      </c>
      <c r="P17">
        <v>344573</v>
      </c>
      <c r="Q17" s="41">
        <v>354585</v>
      </c>
      <c r="R17" s="170">
        <v>11</v>
      </c>
      <c r="S17" s="40">
        <f t="shared" si="1"/>
        <v>453481</v>
      </c>
      <c r="T17" s="9">
        <v>220277</v>
      </c>
      <c r="U17" s="155">
        <v>233204</v>
      </c>
      <c r="V17" s="158">
        <v>610663</v>
      </c>
      <c r="W17" s="5">
        <v>317111</v>
      </c>
      <c r="X17" s="159">
        <v>293552</v>
      </c>
      <c r="Y17">
        <v>839933</v>
      </c>
      <c r="Z17">
        <v>428712</v>
      </c>
      <c r="AA17" s="41">
        <v>411221</v>
      </c>
      <c r="AB17" s="140" t="s">
        <v>21</v>
      </c>
      <c r="AC17" s="218">
        <v>2550000</v>
      </c>
      <c r="AD17" s="218">
        <v>1296000</v>
      </c>
      <c r="AE17" s="218">
        <v>1254000</v>
      </c>
      <c r="AF17" s="218">
        <v>2967000</v>
      </c>
      <c r="AG17" s="218">
        <v>1454000</v>
      </c>
      <c r="AH17" s="218">
        <v>1513000</v>
      </c>
      <c r="AI17" s="218">
        <v>3215000</v>
      </c>
      <c r="AJ17" s="218">
        <v>1565000</v>
      </c>
      <c r="AK17" s="218">
        <v>1650000</v>
      </c>
      <c r="AL17" s="214"/>
      <c r="AM17" s="214"/>
      <c r="AN17" s="214"/>
      <c r="AO17" s="214"/>
      <c r="BA17" t="s">
        <v>24</v>
      </c>
      <c r="BC17">
        <f t="shared" si="10"/>
        <v>1361874</v>
      </c>
      <c r="BD17">
        <f>SUM(X71:X75)</f>
        <v>404295</v>
      </c>
      <c r="BE17">
        <f>SUM(V71:V75)</f>
        <v>768141</v>
      </c>
    </row>
    <row r="18" spans="6:57" ht="14.4" x14ac:dyDescent="0.3">
      <c r="F18" s="150" t="s">
        <v>19</v>
      </c>
      <c r="G18" s="60">
        <v>956408.27</v>
      </c>
      <c r="H18" s="60">
        <v>482382.23</v>
      </c>
      <c r="I18" s="164">
        <v>474026.04</v>
      </c>
      <c r="N18" s="143" t="s">
        <v>24</v>
      </c>
      <c r="O18">
        <v>364398</v>
      </c>
      <c r="P18">
        <v>173590</v>
      </c>
      <c r="Q18" s="41">
        <v>190808</v>
      </c>
      <c r="R18" s="170">
        <v>12</v>
      </c>
      <c r="S18" s="40">
        <f t="shared" si="1"/>
        <v>958671</v>
      </c>
      <c r="T18" s="9">
        <v>472753</v>
      </c>
      <c r="U18" s="155">
        <v>485918</v>
      </c>
      <c r="V18" s="158">
        <v>1079525</v>
      </c>
      <c r="W18" s="5">
        <v>554014</v>
      </c>
      <c r="X18" s="159">
        <v>525511</v>
      </c>
      <c r="Y18">
        <v>916799</v>
      </c>
      <c r="Z18">
        <v>467103</v>
      </c>
      <c r="AA18" s="41">
        <v>449696</v>
      </c>
      <c r="AB18" s="140" t="s">
        <v>22</v>
      </c>
      <c r="AC18" s="218">
        <v>2125000</v>
      </c>
      <c r="AD18" s="218">
        <v>1086000</v>
      </c>
      <c r="AE18" s="218">
        <v>1039000</v>
      </c>
      <c r="AF18" s="218">
        <v>2670000</v>
      </c>
      <c r="AG18" s="218">
        <v>1317000</v>
      </c>
      <c r="AH18" s="218">
        <v>1354000</v>
      </c>
      <c r="AI18" s="218">
        <v>2856000</v>
      </c>
      <c r="AJ18" s="218">
        <v>1388000</v>
      </c>
      <c r="AK18" s="218">
        <v>1468000</v>
      </c>
      <c r="AL18" s="214"/>
      <c r="AM18" s="214"/>
      <c r="AN18" s="214"/>
      <c r="AO18" s="214"/>
      <c r="BA18" t="s">
        <v>61</v>
      </c>
      <c r="BC18">
        <f t="shared" si="10"/>
        <v>1376140</v>
      </c>
      <c r="BD18">
        <f>SUM(X76:X80)</f>
        <v>305915</v>
      </c>
      <c r="BE18">
        <f>SUM(V76:V80)</f>
        <v>615357</v>
      </c>
    </row>
    <row r="19" spans="6:57" ht="14.4" x14ac:dyDescent="0.3">
      <c r="F19" s="150" t="s">
        <v>20</v>
      </c>
      <c r="G19" s="60">
        <v>745814.4439999999</v>
      </c>
      <c r="H19" s="60">
        <v>385905.78399999999</v>
      </c>
      <c r="I19" s="164">
        <v>359908.66</v>
      </c>
      <c r="N19" s="143" t="s">
        <v>25</v>
      </c>
      <c r="O19">
        <v>621373</v>
      </c>
      <c r="P19">
        <v>297566</v>
      </c>
      <c r="Q19" s="41">
        <v>323807</v>
      </c>
      <c r="R19" s="170">
        <v>13</v>
      </c>
      <c r="S19" s="40">
        <f t="shared" si="1"/>
        <v>504732</v>
      </c>
      <c r="T19" s="9">
        <v>257728</v>
      </c>
      <c r="U19" s="155">
        <v>247004</v>
      </c>
      <c r="V19" s="158">
        <v>682748</v>
      </c>
      <c r="W19" s="5">
        <v>341385</v>
      </c>
      <c r="X19" s="159">
        <v>341363</v>
      </c>
      <c r="Y19">
        <v>839473</v>
      </c>
      <c r="Z19">
        <v>420237</v>
      </c>
      <c r="AA19" s="41">
        <v>419236</v>
      </c>
      <c r="AB19" s="140" t="s">
        <v>23</v>
      </c>
      <c r="AC19" s="218">
        <v>1669000</v>
      </c>
      <c r="AD19" s="218">
        <v>838000</v>
      </c>
      <c r="AE19" s="218">
        <v>831000</v>
      </c>
      <c r="AF19" s="218">
        <v>2301000</v>
      </c>
      <c r="AG19" s="218">
        <v>1144000</v>
      </c>
      <c r="AH19" s="218">
        <v>1157000</v>
      </c>
      <c r="AI19" s="218">
        <v>2526000</v>
      </c>
      <c r="AJ19" s="218">
        <v>1229000</v>
      </c>
      <c r="AK19" s="218">
        <v>1297000</v>
      </c>
      <c r="AL19" s="214"/>
      <c r="AM19" s="216"/>
      <c r="AN19" s="216"/>
      <c r="AO19" s="216"/>
      <c r="BA19" t="s">
        <v>62</v>
      </c>
      <c r="BC19">
        <f t="shared" si="10"/>
        <v>1398534</v>
      </c>
      <c r="BD19">
        <f>SUM(X81:X85)</f>
        <v>126731</v>
      </c>
      <c r="BE19">
        <f>SUM(V81:V85)</f>
        <v>258189</v>
      </c>
    </row>
    <row r="20" spans="6:57" ht="15" thickBot="1" x14ac:dyDescent="0.35">
      <c r="F20" s="150" t="s">
        <v>21</v>
      </c>
      <c r="G20" s="60">
        <v>772141.55</v>
      </c>
      <c r="H20" s="60">
        <v>394676.37</v>
      </c>
      <c r="I20" s="164">
        <v>377465.18</v>
      </c>
      <c r="N20" s="169" t="s">
        <v>66</v>
      </c>
      <c r="O20" s="37">
        <v>9427</v>
      </c>
      <c r="P20" s="37">
        <v>5677</v>
      </c>
      <c r="Q20" s="38">
        <v>3750</v>
      </c>
      <c r="R20" s="170">
        <v>14</v>
      </c>
      <c r="S20" s="40">
        <f t="shared" si="1"/>
        <v>659677</v>
      </c>
      <c r="T20" s="9">
        <v>335022</v>
      </c>
      <c r="U20" s="155">
        <v>324655</v>
      </c>
      <c r="V20" s="158">
        <v>777836</v>
      </c>
      <c r="W20" s="5">
        <v>388153</v>
      </c>
      <c r="X20" s="159">
        <v>389683</v>
      </c>
      <c r="Y20">
        <v>838814</v>
      </c>
      <c r="Z20">
        <v>419269</v>
      </c>
      <c r="AA20" s="41">
        <v>419545</v>
      </c>
      <c r="AB20" s="140" t="s">
        <v>24</v>
      </c>
      <c r="AC20" s="218">
        <v>1312000</v>
      </c>
      <c r="AD20" s="218">
        <v>643000</v>
      </c>
      <c r="AE20" s="218">
        <v>669000</v>
      </c>
      <c r="AF20" s="218">
        <v>1819000</v>
      </c>
      <c r="AG20" s="218">
        <v>904000</v>
      </c>
      <c r="AH20" s="218">
        <v>914000</v>
      </c>
      <c r="AI20" s="218">
        <v>2112000</v>
      </c>
      <c r="AJ20" s="218">
        <v>1036000</v>
      </c>
      <c r="AK20" s="218">
        <v>1076000</v>
      </c>
      <c r="AL20" s="214"/>
      <c r="AM20" s="216"/>
      <c r="AN20" s="216"/>
      <c r="AO20" s="216"/>
      <c r="BA20" s="211" t="s">
        <v>63</v>
      </c>
      <c r="BC20">
        <f t="shared" si="10"/>
        <v>1493306</v>
      </c>
      <c r="BD20">
        <f>SUM(X86:X106)</f>
        <v>138295</v>
      </c>
      <c r="BE20">
        <f>SUM(V86:V106)</f>
        <v>293273</v>
      </c>
    </row>
    <row r="21" spans="6:57" ht="14.4" x14ac:dyDescent="0.3">
      <c r="F21" s="150" t="s">
        <v>22</v>
      </c>
      <c r="G21" s="60">
        <v>429942.89</v>
      </c>
      <c r="H21" s="60">
        <v>219264.65</v>
      </c>
      <c r="I21" s="164">
        <v>210678.24</v>
      </c>
      <c r="R21" s="171">
        <v>15</v>
      </c>
      <c r="S21" s="40">
        <f t="shared" si="1"/>
        <v>715999</v>
      </c>
      <c r="T21" s="9">
        <v>359774</v>
      </c>
      <c r="U21" s="155">
        <v>356225</v>
      </c>
      <c r="V21" s="158">
        <v>820815</v>
      </c>
      <c r="W21" s="5">
        <v>412269</v>
      </c>
      <c r="X21" s="159">
        <v>408546</v>
      </c>
      <c r="Y21">
        <v>869586</v>
      </c>
      <c r="Z21">
        <v>436883</v>
      </c>
      <c r="AA21" s="41">
        <v>432703</v>
      </c>
      <c r="AB21" s="140" t="s">
        <v>61</v>
      </c>
      <c r="AC21" s="218">
        <v>1024000</v>
      </c>
      <c r="AD21" s="218">
        <v>498000</v>
      </c>
      <c r="AE21" s="218">
        <v>526000</v>
      </c>
      <c r="AF21" s="218">
        <v>1317000</v>
      </c>
      <c r="AG21" s="218">
        <v>643000</v>
      </c>
      <c r="AH21" s="218">
        <v>673000</v>
      </c>
      <c r="AI21" s="218">
        <v>1598000</v>
      </c>
      <c r="AJ21" s="218">
        <v>783000</v>
      </c>
      <c r="AK21" s="218">
        <v>815000</v>
      </c>
      <c r="AL21" s="216"/>
      <c r="AM21" s="216"/>
      <c r="AN21" s="216"/>
      <c r="AO21" s="216"/>
    </row>
    <row r="22" spans="6:57" ht="14.4" x14ac:dyDescent="0.3">
      <c r="F22" s="150" t="s">
        <v>23</v>
      </c>
      <c r="G22" s="60">
        <v>482604.77600000001</v>
      </c>
      <c r="H22" s="60">
        <v>228035.236</v>
      </c>
      <c r="I22" s="164">
        <v>254569.54</v>
      </c>
      <c r="R22" s="171">
        <v>16</v>
      </c>
      <c r="S22" s="40">
        <f t="shared" si="1"/>
        <v>618255</v>
      </c>
      <c r="T22" s="9">
        <v>325897</v>
      </c>
      <c r="U22" s="155">
        <v>292358</v>
      </c>
      <c r="V22" s="158">
        <v>707333</v>
      </c>
      <c r="W22" s="5">
        <v>342269</v>
      </c>
      <c r="X22" s="159">
        <v>365064</v>
      </c>
      <c r="Y22">
        <v>775052</v>
      </c>
      <c r="Z22">
        <v>388035</v>
      </c>
      <c r="AA22" s="41">
        <v>387017</v>
      </c>
      <c r="AB22" s="140" t="s">
        <v>62</v>
      </c>
      <c r="AC22" s="218">
        <v>679000</v>
      </c>
      <c r="AD22" s="218">
        <v>326000</v>
      </c>
      <c r="AE22" s="218">
        <v>353000</v>
      </c>
      <c r="AF22" s="218">
        <v>906000</v>
      </c>
      <c r="AG22" s="218">
        <v>427000</v>
      </c>
      <c r="AH22" s="218">
        <v>480000</v>
      </c>
      <c r="AI22" s="218">
        <v>1068000</v>
      </c>
      <c r="AJ22" s="218">
        <v>508000</v>
      </c>
      <c r="AK22" s="218">
        <v>560000</v>
      </c>
      <c r="AL22" s="216"/>
      <c r="AM22" s="217"/>
      <c r="AN22" s="217"/>
      <c r="AO22" s="217"/>
    </row>
    <row r="23" spans="6:57" ht="15" thickBot="1" x14ac:dyDescent="0.35">
      <c r="F23" s="150" t="s">
        <v>24</v>
      </c>
      <c r="G23" s="60">
        <v>184266.72</v>
      </c>
      <c r="H23" s="60">
        <v>87705.86</v>
      </c>
      <c r="I23" s="164">
        <v>96560.86</v>
      </c>
      <c r="R23" s="171">
        <v>17</v>
      </c>
      <c r="S23" s="40">
        <f t="shared" si="1"/>
        <v>433820</v>
      </c>
      <c r="T23" s="9">
        <v>234798</v>
      </c>
      <c r="U23" s="155">
        <v>199022</v>
      </c>
      <c r="V23" s="158">
        <v>564506</v>
      </c>
      <c r="W23" s="5">
        <v>268960</v>
      </c>
      <c r="X23" s="159">
        <v>295546</v>
      </c>
      <c r="Y23">
        <v>692046</v>
      </c>
      <c r="Z23">
        <v>346739</v>
      </c>
      <c r="AA23" s="41">
        <v>345307</v>
      </c>
      <c r="AB23" s="141" t="s">
        <v>63</v>
      </c>
      <c r="AC23" s="218">
        <v>553000</v>
      </c>
      <c r="AD23" s="218">
        <v>258000</v>
      </c>
      <c r="AE23" s="218">
        <v>294000</v>
      </c>
      <c r="AF23" s="218">
        <v>879000</v>
      </c>
      <c r="AG23" s="218">
        <v>390000</v>
      </c>
      <c r="AH23" s="218">
        <v>490000</v>
      </c>
      <c r="AI23" s="218">
        <v>1046000</v>
      </c>
      <c r="AJ23" s="218">
        <v>455000</v>
      </c>
      <c r="AK23" s="218">
        <v>592000</v>
      </c>
      <c r="AL23" s="216"/>
    </row>
    <row r="24" spans="6:57" ht="15" thickBot="1" x14ac:dyDescent="0.35">
      <c r="F24" s="150" t="s">
        <v>25</v>
      </c>
      <c r="G24" s="60">
        <v>333451.09600000002</v>
      </c>
      <c r="H24" s="60">
        <v>140329.37599999999</v>
      </c>
      <c r="I24" s="164">
        <v>193121.72</v>
      </c>
      <c r="R24" s="171">
        <v>18</v>
      </c>
      <c r="S24" s="40">
        <f t="shared" si="1"/>
        <v>866349</v>
      </c>
      <c r="T24" s="9">
        <v>427008</v>
      </c>
      <c r="U24" s="155">
        <v>439341</v>
      </c>
      <c r="V24" s="158">
        <v>963172</v>
      </c>
      <c r="W24" s="5">
        <v>496125</v>
      </c>
      <c r="X24" s="159">
        <v>467047</v>
      </c>
      <c r="Y24">
        <v>906416</v>
      </c>
      <c r="Z24">
        <v>460498</v>
      </c>
      <c r="AA24" s="41">
        <v>445918</v>
      </c>
      <c r="AB24" s="230" t="s">
        <v>113</v>
      </c>
      <c r="AC24" s="231"/>
      <c r="AD24" s="231"/>
      <c r="AE24" s="231"/>
      <c r="AF24" s="231"/>
      <c r="AG24" s="231"/>
      <c r="AH24" s="231"/>
      <c r="AI24" s="231"/>
      <c r="AJ24" s="231"/>
      <c r="AK24" s="232"/>
      <c r="AL24" s="217"/>
      <c r="AP24" s="42"/>
      <c r="AQ24" s="243">
        <v>1991</v>
      </c>
      <c r="AR24" s="244"/>
      <c r="AS24" s="245"/>
      <c r="AT24" s="243">
        <v>2001</v>
      </c>
      <c r="AU24" s="244"/>
      <c r="AV24" s="245"/>
    </row>
    <row r="25" spans="6:57" ht="15" thickBot="1" x14ac:dyDescent="0.35">
      <c r="F25" s="151" t="s">
        <v>66</v>
      </c>
      <c r="G25" s="78">
        <v>17548.845999999998</v>
      </c>
      <c r="H25" s="78">
        <v>8770.5859999999993</v>
      </c>
      <c r="I25" s="165">
        <v>8778.26</v>
      </c>
      <c r="R25" s="171">
        <v>19</v>
      </c>
      <c r="S25" s="40">
        <f t="shared" si="1"/>
        <v>377375</v>
      </c>
      <c r="T25" s="9">
        <v>186476</v>
      </c>
      <c r="U25" s="155">
        <v>190899</v>
      </c>
      <c r="V25" s="158">
        <v>475558</v>
      </c>
      <c r="W25" s="5">
        <v>240768</v>
      </c>
      <c r="X25" s="159">
        <v>234790</v>
      </c>
      <c r="Y25">
        <v>682298</v>
      </c>
      <c r="Z25">
        <v>340529</v>
      </c>
      <c r="AA25" s="41">
        <v>341769</v>
      </c>
      <c r="AP25" s="42"/>
      <c r="AQ25" s="17" t="s">
        <v>4</v>
      </c>
      <c r="AR25" s="17" t="s">
        <v>26</v>
      </c>
      <c r="AS25" s="17" t="s">
        <v>11</v>
      </c>
      <c r="AT25" s="17" t="s">
        <v>4</v>
      </c>
      <c r="AU25" s="17" t="s">
        <v>26</v>
      </c>
      <c r="AV25" s="17" t="s">
        <v>11</v>
      </c>
    </row>
    <row r="26" spans="6:57" ht="14.4" x14ac:dyDescent="0.3">
      <c r="R26" s="171">
        <v>20</v>
      </c>
      <c r="S26" s="40">
        <f t="shared" si="1"/>
        <v>956487</v>
      </c>
      <c r="T26" s="9">
        <v>505951</v>
      </c>
      <c r="U26" s="155">
        <v>450536</v>
      </c>
      <c r="V26" s="158">
        <v>1006808</v>
      </c>
      <c r="W26" s="5">
        <v>487684</v>
      </c>
      <c r="X26" s="159">
        <v>519124</v>
      </c>
      <c r="Y26">
        <v>978031</v>
      </c>
      <c r="Z26">
        <v>470195</v>
      </c>
      <c r="AA26" s="41">
        <v>507836</v>
      </c>
      <c r="AC26" s="210"/>
      <c r="AD26" s="210"/>
      <c r="AE26" s="210"/>
      <c r="AF26" s="210"/>
      <c r="AG26" s="210"/>
      <c r="AH26" s="210"/>
      <c r="AI26" s="210"/>
      <c r="AJ26" s="210"/>
      <c r="AK26" s="210"/>
      <c r="AM26" s="213"/>
      <c r="AN26" s="213"/>
      <c r="AO26" s="213"/>
      <c r="AP26" t="s">
        <v>116</v>
      </c>
      <c r="AQ26">
        <v>8510277</v>
      </c>
      <c r="AR26">
        <v>4235998</v>
      </c>
      <c r="AS26">
        <v>4274279</v>
      </c>
      <c r="AT26">
        <v>9830532</v>
      </c>
      <c r="AU26">
        <v>4880004</v>
      </c>
      <c r="AV26">
        <v>4950528</v>
      </c>
      <c r="AZ26" s="100"/>
    </row>
    <row r="27" spans="6:57" ht="14.4" x14ac:dyDescent="0.3">
      <c r="F27" s="50" t="s">
        <v>87</v>
      </c>
      <c r="R27" s="171">
        <v>21</v>
      </c>
      <c r="S27" s="40">
        <f t="shared" si="1"/>
        <v>366749</v>
      </c>
      <c r="T27" s="9">
        <v>169194</v>
      </c>
      <c r="U27" s="155">
        <v>197555</v>
      </c>
      <c r="V27" s="158">
        <v>446379</v>
      </c>
      <c r="W27" s="5">
        <v>232325</v>
      </c>
      <c r="X27" s="159">
        <v>214054</v>
      </c>
      <c r="Y27">
        <v>676995</v>
      </c>
      <c r="Z27">
        <v>338625</v>
      </c>
      <c r="AA27" s="41">
        <v>338370</v>
      </c>
      <c r="AC27" s="210"/>
      <c r="AD27" s="210"/>
      <c r="AE27" s="210"/>
      <c r="AF27" s="210"/>
      <c r="AG27" s="210"/>
      <c r="AH27" s="210"/>
      <c r="AI27" s="210"/>
      <c r="AJ27" s="210"/>
      <c r="AK27" s="210"/>
      <c r="AM27" s="178"/>
      <c r="AN27" s="178"/>
      <c r="AO27" s="178"/>
      <c r="AP27" t="s">
        <v>117</v>
      </c>
      <c r="AT27" s="179">
        <v>1320255</v>
      </c>
      <c r="AU27" s="179">
        <v>644006</v>
      </c>
      <c r="AV27" s="179">
        <v>676249</v>
      </c>
      <c r="AZ27" s="100"/>
    </row>
    <row r="28" spans="6:57" ht="14.4" x14ac:dyDescent="0.3">
      <c r="R28" s="171">
        <v>22</v>
      </c>
      <c r="S28" s="40">
        <f t="shared" si="1"/>
        <v>707743</v>
      </c>
      <c r="T28" s="9">
        <v>350481</v>
      </c>
      <c r="U28" s="155">
        <v>357262</v>
      </c>
      <c r="V28" s="158">
        <v>755349</v>
      </c>
      <c r="W28" s="5">
        <v>389486</v>
      </c>
      <c r="X28" s="159">
        <v>365863</v>
      </c>
      <c r="Y28">
        <v>801401</v>
      </c>
      <c r="Z28">
        <v>403387</v>
      </c>
      <c r="AA28" s="41">
        <v>398014</v>
      </c>
      <c r="AB28">
        <f>(X6/W6)*1000</f>
        <v>943.64416704556425</v>
      </c>
      <c r="AC28" s="210">
        <f>(AA6/Z6)*1000</f>
        <v>939.26754538096895</v>
      </c>
      <c r="AD28" s="210">
        <f>(AE6/AD6)*1000</f>
        <v>939.8907103825137</v>
      </c>
      <c r="AE28" s="210"/>
      <c r="AF28" s="210"/>
      <c r="AG28" s="210"/>
      <c r="AH28" s="210"/>
      <c r="AI28" s="210"/>
      <c r="AJ28" s="210"/>
      <c r="AK28" s="210"/>
      <c r="AL28" s="213"/>
      <c r="AM28" s="178"/>
      <c r="AN28" s="178"/>
      <c r="AO28" s="178"/>
      <c r="AP28" t="s">
        <v>118</v>
      </c>
      <c r="AQ28" s="53">
        <v>27.015667466052555</v>
      </c>
      <c r="AR28" s="53"/>
      <c r="AS28" s="53"/>
      <c r="AT28" s="53">
        <v>26.75513582354737</v>
      </c>
      <c r="AU28" s="53"/>
      <c r="AV28" s="53"/>
      <c r="BA28" s="212"/>
      <c r="BB28" s="213"/>
      <c r="BC28" s="212"/>
    </row>
    <row r="29" spans="6:57" ht="14.4" x14ac:dyDescent="0.3">
      <c r="R29" s="171">
        <v>23</v>
      </c>
      <c r="S29" s="40">
        <f t="shared" si="1"/>
        <v>398922</v>
      </c>
      <c r="T29" s="9">
        <v>189851</v>
      </c>
      <c r="U29" s="155">
        <v>209071</v>
      </c>
      <c r="V29" s="158">
        <v>503894</v>
      </c>
      <c r="W29" s="5">
        <v>248528</v>
      </c>
      <c r="X29" s="159">
        <v>255366</v>
      </c>
      <c r="Y29">
        <v>669413</v>
      </c>
      <c r="Z29">
        <v>331531</v>
      </c>
      <c r="AA29" s="41">
        <v>337882</v>
      </c>
      <c r="AC29" s="210"/>
      <c r="AD29" s="210"/>
      <c r="AE29" s="210"/>
      <c r="AF29" s="210"/>
      <c r="AG29" s="210"/>
      <c r="AH29" s="210"/>
      <c r="AI29" s="210"/>
      <c r="AJ29" s="210"/>
      <c r="AK29" s="210"/>
      <c r="AL29" s="178"/>
      <c r="AQ29" s="242">
        <v>1991</v>
      </c>
      <c r="AR29" s="242"/>
      <c r="AS29" s="242"/>
      <c r="AT29" s="242">
        <v>2001</v>
      </c>
      <c r="AU29" s="242"/>
      <c r="AV29" s="242"/>
      <c r="AZ29" s="179"/>
      <c r="BA29" s="178"/>
      <c r="BB29" s="178"/>
      <c r="BC29" s="178"/>
      <c r="BD29" s="178"/>
    </row>
    <row r="30" spans="6:57" ht="14.4" x14ac:dyDescent="0.3">
      <c r="R30" s="171">
        <v>24</v>
      </c>
      <c r="S30" s="40">
        <f t="shared" si="1"/>
        <v>394924</v>
      </c>
      <c r="T30" s="9">
        <v>191683</v>
      </c>
      <c r="U30" s="155">
        <v>203241</v>
      </c>
      <c r="V30" s="158">
        <v>477763</v>
      </c>
      <c r="W30" s="5">
        <v>242770</v>
      </c>
      <c r="X30" s="159">
        <v>234993</v>
      </c>
      <c r="Y30">
        <v>657687</v>
      </c>
      <c r="Z30">
        <v>327201</v>
      </c>
      <c r="AA30" s="41">
        <v>330486</v>
      </c>
      <c r="AC30" s="210"/>
      <c r="AD30" s="210"/>
      <c r="AE30" s="210"/>
      <c r="AF30" s="210"/>
      <c r="AG30" s="210"/>
      <c r="AH30" s="210"/>
      <c r="AI30" s="210"/>
      <c r="AJ30" s="210"/>
      <c r="AK30" s="210"/>
      <c r="AL30" s="178"/>
      <c r="AP30" t="s">
        <v>81</v>
      </c>
      <c r="AQ30">
        <v>11317441</v>
      </c>
      <c r="AR30">
        <v>5720441</v>
      </c>
      <c r="AS30">
        <v>5597000</v>
      </c>
      <c r="AT30">
        <v>12207872</v>
      </c>
      <c r="AU30">
        <v>6235873</v>
      </c>
      <c r="AV30">
        <v>5971999</v>
      </c>
      <c r="AZ30" s="53"/>
      <c r="BA30" s="178"/>
      <c r="BB30" s="178"/>
      <c r="BC30" s="178"/>
      <c r="BD30" s="178"/>
    </row>
    <row r="31" spans="6:57" ht="14.4" x14ac:dyDescent="0.3">
      <c r="R31" s="171">
        <v>25</v>
      </c>
      <c r="S31" s="40">
        <f t="shared" si="1"/>
        <v>1106007</v>
      </c>
      <c r="T31" s="9">
        <v>579473</v>
      </c>
      <c r="U31" s="155">
        <v>526534</v>
      </c>
      <c r="V31" s="158">
        <v>1120295</v>
      </c>
      <c r="W31" s="5">
        <v>530815</v>
      </c>
      <c r="X31" s="159">
        <v>589480</v>
      </c>
      <c r="Y31">
        <v>996710</v>
      </c>
      <c r="Z31">
        <v>471972</v>
      </c>
      <c r="AA31" s="41">
        <v>524738</v>
      </c>
      <c r="AC31" s="210"/>
      <c r="AD31" s="210"/>
      <c r="AE31" s="210"/>
      <c r="AF31" s="210"/>
      <c r="AG31" s="210"/>
      <c r="AH31" s="210"/>
      <c r="AI31" s="210"/>
      <c r="AJ31" s="210"/>
      <c r="AK31" s="210"/>
      <c r="AP31" t="s">
        <v>116</v>
      </c>
      <c r="AQ31">
        <v>8510277</v>
      </c>
      <c r="AR31">
        <v>4235998</v>
      </c>
      <c r="AS31">
        <v>4274279</v>
      </c>
      <c r="AT31">
        <v>9830532</v>
      </c>
      <c r="AU31">
        <v>4880004</v>
      </c>
      <c r="AV31">
        <v>4950528</v>
      </c>
    </row>
    <row r="32" spans="6:57" ht="14.4" x14ac:dyDescent="0.3">
      <c r="R32" s="171">
        <v>26</v>
      </c>
      <c r="S32" s="40">
        <f t="shared" si="1"/>
        <v>416313</v>
      </c>
      <c r="T32" s="9">
        <v>199862</v>
      </c>
      <c r="U32" s="155">
        <v>216451</v>
      </c>
      <c r="V32" s="158">
        <v>517244</v>
      </c>
      <c r="W32" s="5">
        <v>260365</v>
      </c>
      <c r="X32" s="159">
        <v>256879</v>
      </c>
      <c r="Y32">
        <v>703464</v>
      </c>
      <c r="Z32">
        <v>352927</v>
      </c>
      <c r="AA32" s="41">
        <v>350537</v>
      </c>
      <c r="AC32" s="210"/>
      <c r="AD32" s="210"/>
      <c r="AE32" s="210"/>
      <c r="AF32" s="210"/>
      <c r="AG32" s="210"/>
      <c r="AH32" s="210"/>
      <c r="AI32" s="210"/>
      <c r="AJ32" s="210"/>
      <c r="AK32" s="210"/>
      <c r="AP32" t="s">
        <v>119</v>
      </c>
      <c r="AQ32">
        <v>11673547</v>
      </c>
      <c r="AR32">
        <v>6016343</v>
      </c>
      <c r="AS32">
        <v>5657204</v>
      </c>
      <c r="AT32">
        <v>14704194</v>
      </c>
      <c r="AU32">
        <v>7510314</v>
      </c>
      <c r="AV32">
        <v>7193880</v>
      </c>
    </row>
    <row r="33" spans="18:52" ht="14.4" x14ac:dyDescent="0.3">
      <c r="R33" s="171">
        <v>27</v>
      </c>
      <c r="S33" s="40">
        <f t="shared" si="1"/>
        <v>317566</v>
      </c>
      <c r="T33" s="9">
        <v>148468</v>
      </c>
      <c r="U33" s="155">
        <v>169098</v>
      </c>
      <c r="V33" s="158">
        <v>451388</v>
      </c>
      <c r="W33" s="5">
        <v>225375</v>
      </c>
      <c r="X33" s="159">
        <v>226013</v>
      </c>
      <c r="Y33">
        <v>610902</v>
      </c>
      <c r="Z33">
        <v>310830</v>
      </c>
      <c r="AA33" s="41">
        <v>300072</v>
      </c>
      <c r="AC33" s="210"/>
      <c r="AD33" s="210"/>
      <c r="AE33" s="210"/>
      <c r="AF33" s="210"/>
      <c r="AG33" s="210"/>
      <c r="AH33" s="210"/>
      <c r="AI33" s="210"/>
      <c r="AJ33" s="210"/>
      <c r="AK33" s="210"/>
      <c r="AP33" t="s">
        <v>120</v>
      </c>
    </row>
    <row r="34" spans="18:52" ht="14.4" x14ac:dyDescent="0.3">
      <c r="R34" s="171">
        <v>28</v>
      </c>
      <c r="S34" s="40">
        <f t="shared" si="1"/>
        <v>686002</v>
      </c>
      <c r="T34" s="9">
        <v>339603</v>
      </c>
      <c r="U34" s="155">
        <v>346399</v>
      </c>
      <c r="V34" s="158">
        <v>769473</v>
      </c>
      <c r="W34" s="5">
        <v>375048</v>
      </c>
      <c r="X34" s="159">
        <v>394425</v>
      </c>
      <c r="Y34">
        <v>762125</v>
      </c>
      <c r="Z34">
        <v>381733</v>
      </c>
      <c r="AA34" s="41">
        <v>380392</v>
      </c>
      <c r="AC34" s="210"/>
      <c r="AD34" s="210"/>
      <c r="AE34" s="226" t="s">
        <v>122</v>
      </c>
      <c r="AF34" s="210"/>
      <c r="AG34" s="210"/>
      <c r="AH34" s="210"/>
      <c r="AI34" s="210"/>
      <c r="AJ34" s="210"/>
      <c r="AK34" s="210"/>
      <c r="AP34" t="s">
        <v>81</v>
      </c>
      <c r="AQ34" s="53">
        <v>35.926941346641158</v>
      </c>
      <c r="AR34" s="53">
        <v>35.813679796043047</v>
      </c>
      <c r="AS34" s="53">
        <v>36.043443522461274</v>
      </c>
      <c r="AT34" s="53">
        <v>33.225391410808783</v>
      </c>
      <c r="AU34" s="53">
        <v>33.479056453356456</v>
      </c>
      <c r="AV34" s="53">
        <v>32.964588397688352</v>
      </c>
      <c r="AW34" s="53">
        <v>28.852964852721346</v>
      </c>
      <c r="AX34" s="53">
        <v>29.157309450725457</v>
      </c>
      <c r="AY34" s="53">
        <v>28.542056421437561</v>
      </c>
    </row>
    <row r="35" spans="18:52" ht="14.4" x14ac:dyDescent="0.3">
      <c r="R35" s="171">
        <v>29</v>
      </c>
      <c r="S35" s="40">
        <f t="shared" si="1"/>
        <v>147766</v>
      </c>
      <c r="T35" s="9">
        <v>65760</v>
      </c>
      <c r="U35" s="155">
        <v>82006</v>
      </c>
      <c r="V35" s="158">
        <v>250555</v>
      </c>
      <c r="W35" s="5">
        <v>127217</v>
      </c>
      <c r="X35" s="159">
        <v>123338</v>
      </c>
      <c r="Y35">
        <v>500836</v>
      </c>
      <c r="Z35">
        <v>255414</v>
      </c>
      <c r="AA35" s="41">
        <v>245422</v>
      </c>
      <c r="AC35" s="210"/>
      <c r="AD35" s="210"/>
      <c r="AE35" s="210" t="s">
        <v>0</v>
      </c>
      <c r="AF35" s="210">
        <v>2011</v>
      </c>
      <c r="AG35" s="210">
        <v>2021</v>
      </c>
      <c r="AH35" s="210">
        <v>2031</v>
      </c>
      <c r="AI35" s="210">
        <v>2036</v>
      </c>
      <c r="AJ35" s="210"/>
      <c r="AK35" s="210"/>
      <c r="AP35" t="s">
        <v>116</v>
      </c>
      <c r="AQ35" s="53">
        <v>27.015667466052555</v>
      </c>
      <c r="AR35" s="53">
        <v>26.520101507677246</v>
      </c>
      <c r="AS35" s="53">
        <v>27.525412495219271</v>
      </c>
      <c r="AT35" s="53">
        <v>26.75513582354737</v>
      </c>
      <c r="AU35" s="53">
        <v>26.199688385027297</v>
      </c>
      <c r="AV35" s="53">
        <v>27.326213194481664</v>
      </c>
      <c r="AW35" s="53">
        <v>26.957231704936323</v>
      </c>
      <c r="AX35" s="53">
        <v>26.554560210496163</v>
      </c>
      <c r="AY35" s="53">
        <v>27.368587659601229</v>
      </c>
    </row>
    <row r="36" spans="18:52" ht="14.4" x14ac:dyDescent="0.3">
      <c r="R36" s="171">
        <v>30</v>
      </c>
      <c r="S36" s="40">
        <f t="shared" si="1"/>
        <v>1197054</v>
      </c>
      <c r="T36" s="9">
        <v>611788</v>
      </c>
      <c r="U36" s="155">
        <v>585266</v>
      </c>
      <c r="V36" s="158">
        <v>1295772</v>
      </c>
      <c r="W36" s="5">
        <v>631780</v>
      </c>
      <c r="X36" s="159">
        <v>663992</v>
      </c>
      <c r="Y36">
        <v>1056492</v>
      </c>
      <c r="Z36">
        <v>504205</v>
      </c>
      <c r="AA36" s="41">
        <v>552287</v>
      </c>
      <c r="AC36" s="210"/>
      <c r="AD36" s="210"/>
      <c r="AE36" s="210" t="s">
        <v>81</v>
      </c>
      <c r="AF36" s="225">
        <v>28.77104702701072</v>
      </c>
      <c r="AG36" s="225">
        <v>23.643207282913163</v>
      </c>
      <c r="AH36" s="225">
        <v>20.276010692306098</v>
      </c>
      <c r="AI36" s="225">
        <v>18.8883222845487</v>
      </c>
      <c r="AJ36" s="210"/>
      <c r="AK36" s="210"/>
      <c r="AP36" t="s">
        <v>119</v>
      </c>
      <c r="AQ36" s="53">
        <v>37.057391187306287</v>
      </c>
      <c r="AR36" s="53">
        <v>37.666218696279707</v>
      </c>
      <c r="AS36" s="53">
        <v>36.431143982319455</v>
      </c>
      <c r="AT36" s="53">
        <v>40.01947276564384</v>
      </c>
      <c r="AU36" s="53">
        <v>40.321255161616243</v>
      </c>
      <c r="AV36" s="53">
        <v>39.709198407829987</v>
      </c>
      <c r="AW36" s="53">
        <v>44.189803442342331</v>
      </c>
      <c r="AX36" s="53">
        <v>44.28813033877838</v>
      </c>
      <c r="AY36" s="53">
        <v>44.089355918961211</v>
      </c>
    </row>
    <row r="37" spans="18:52" ht="14.4" x14ac:dyDescent="0.3">
      <c r="R37" s="171">
        <v>31</v>
      </c>
      <c r="S37" s="40">
        <f t="shared" si="1"/>
        <v>120125</v>
      </c>
      <c r="T37" s="9">
        <v>52344</v>
      </c>
      <c r="U37" s="155">
        <v>67781</v>
      </c>
      <c r="V37" s="158">
        <v>210885</v>
      </c>
      <c r="W37" s="5">
        <v>109660</v>
      </c>
      <c r="X37" s="159">
        <v>101225</v>
      </c>
      <c r="Y37">
        <v>487817</v>
      </c>
      <c r="Z37">
        <v>247063</v>
      </c>
      <c r="AA37" s="41">
        <v>240754</v>
      </c>
      <c r="AC37" s="210"/>
      <c r="AD37" s="210"/>
      <c r="AE37" s="210" t="s">
        <v>116</v>
      </c>
      <c r="AF37" s="225">
        <v>26.880696145429084</v>
      </c>
      <c r="AG37" s="225">
        <v>26.074492296918766</v>
      </c>
      <c r="AH37" s="225">
        <v>22.797820095733439</v>
      </c>
      <c r="AI37" s="225">
        <v>21.193268740438551</v>
      </c>
      <c r="AJ37" s="210"/>
      <c r="AK37" s="210"/>
      <c r="AZ37" s="53"/>
    </row>
    <row r="38" spans="18:52" ht="14.4" x14ac:dyDescent="0.3">
      <c r="R38" s="171">
        <v>32</v>
      </c>
      <c r="S38" s="40">
        <f t="shared" ref="S38:S69" si="12">U38+T38</f>
        <v>521534</v>
      </c>
      <c r="T38" s="9">
        <v>250911</v>
      </c>
      <c r="U38" s="155">
        <v>270623</v>
      </c>
      <c r="V38" s="158">
        <v>662546</v>
      </c>
      <c r="W38" s="5">
        <v>338768</v>
      </c>
      <c r="X38" s="159">
        <v>323778</v>
      </c>
      <c r="Y38">
        <v>605079</v>
      </c>
      <c r="Z38">
        <v>302942</v>
      </c>
      <c r="AA38" s="41">
        <v>302137</v>
      </c>
      <c r="AC38" s="210"/>
      <c r="AD38" s="210"/>
      <c r="AE38" s="210" t="s">
        <v>121</v>
      </c>
      <c r="AF38" s="225">
        <v>34.571734010625285</v>
      </c>
      <c r="AG38" s="225">
        <v>38.823967086834735</v>
      </c>
      <c r="AH38" s="225">
        <v>41.963157131312293</v>
      </c>
      <c r="AI38" s="225">
        <v>42.884242733299338</v>
      </c>
      <c r="AJ38" s="210"/>
      <c r="AK38" s="210"/>
      <c r="AZ38" s="53"/>
    </row>
    <row r="39" spans="18:52" ht="14.4" x14ac:dyDescent="0.3">
      <c r="R39" s="171">
        <v>33</v>
      </c>
      <c r="S39" s="40">
        <f t="shared" si="12"/>
        <v>174011</v>
      </c>
      <c r="T39" s="9">
        <v>79443</v>
      </c>
      <c r="U39" s="155">
        <v>94568</v>
      </c>
      <c r="V39" s="158">
        <v>314546</v>
      </c>
      <c r="W39" s="5">
        <v>154449</v>
      </c>
      <c r="X39" s="159">
        <v>160097</v>
      </c>
      <c r="Y39">
        <v>457133</v>
      </c>
      <c r="Z39">
        <v>231376</v>
      </c>
      <c r="AA39" s="41">
        <v>225757</v>
      </c>
      <c r="AC39" s="210"/>
      <c r="AD39" s="210"/>
      <c r="AE39" s="210" t="s">
        <v>30</v>
      </c>
      <c r="AF39" s="225">
        <v>9.7765228169349108</v>
      </c>
      <c r="AG39" s="225">
        <v>11.460521708683473</v>
      </c>
      <c r="AH39" s="225">
        <v>14.965084232992808</v>
      </c>
      <c r="AI39" s="225">
        <v>17.03212646608873</v>
      </c>
      <c r="AJ39" s="210"/>
      <c r="AK39" s="210"/>
      <c r="AZ39" s="53"/>
    </row>
    <row r="40" spans="18:52" ht="14.4" x14ac:dyDescent="0.3">
      <c r="R40" s="171">
        <v>34</v>
      </c>
      <c r="S40" s="40">
        <f t="shared" si="12"/>
        <v>163053</v>
      </c>
      <c r="T40" s="9">
        <v>75852</v>
      </c>
      <c r="U40" s="155">
        <v>87201</v>
      </c>
      <c r="V40" s="158">
        <v>277251</v>
      </c>
      <c r="W40" s="5">
        <v>141483</v>
      </c>
      <c r="X40" s="159">
        <v>135768</v>
      </c>
      <c r="Y40">
        <v>496470</v>
      </c>
      <c r="Z40">
        <v>256647</v>
      </c>
      <c r="AA40" s="41">
        <v>239823</v>
      </c>
      <c r="AC40" s="210"/>
      <c r="AD40" s="210"/>
      <c r="AE40" s="210"/>
      <c r="AF40" s="210"/>
      <c r="AG40" s="210"/>
      <c r="AH40" s="210"/>
      <c r="AI40" s="210"/>
      <c r="AJ40" s="210"/>
      <c r="AK40" s="210"/>
    </row>
    <row r="41" spans="18:52" ht="14.4" x14ac:dyDescent="0.3">
      <c r="R41" s="171">
        <v>35</v>
      </c>
      <c r="S41" s="40">
        <f t="shared" si="12"/>
        <v>1109465</v>
      </c>
      <c r="T41" s="9">
        <v>526754</v>
      </c>
      <c r="U41" s="155">
        <v>582711</v>
      </c>
      <c r="V41" s="158">
        <v>1257259</v>
      </c>
      <c r="W41" s="5">
        <v>654174</v>
      </c>
      <c r="X41" s="159">
        <v>603085</v>
      </c>
      <c r="Y41">
        <v>1023976</v>
      </c>
      <c r="Z41">
        <v>502684</v>
      </c>
      <c r="AA41" s="41">
        <v>521292</v>
      </c>
      <c r="AC41" s="210"/>
      <c r="AD41" s="210"/>
      <c r="AE41" s="210"/>
      <c r="AF41" s="210"/>
      <c r="AG41" s="210"/>
      <c r="AH41" s="210"/>
      <c r="AI41" s="210"/>
      <c r="AJ41" s="210"/>
      <c r="AK41" s="210"/>
    </row>
    <row r="42" spans="18:52" ht="14.4" x14ac:dyDescent="0.3">
      <c r="R42" s="171">
        <v>36</v>
      </c>
      <c r="S42" s="40">
        <f t="shared" si="12"/>
        <v>274881</v>
      </c>
      <c r="T42" s="9">
        <v>127770</v>
      </c>
      <c r="U42" s="155">
        <v>147111</v>
      </c>
      <c r="V42" s="158">
        <v>400087</v>
      </c>
      <c r="W42" s="5">
        <v>204432</v>
      </c>
      <c r="X42" s="159">
        <v>195655</v>
      </c>
      <c r="Y42">
        <v>583520</v>
      </c>
      <c r="Z42">
        <v>294474</v>
      </c>
      <c r="AA42" s="41">
        <v>289046</v>
      </c>
      <c r="AC42" s="210"/>
      <c r="AD42" s="210"/>
      <c r="AE42" s="210"/>
      <c r="AF42" s="210"/>
      <c r="AG42" s="210"/>
      <c r="AH42" s="210"/>
      <c r="AI42" s="210"/>
      <c r="AJ42" s="210"/>
      <c r="AK42" s="210"/>
    </row>
    <row r="43" spans="18:52" ht="14.4" x14ac:dyDescent="0.3">
      <c r="R43" s="171">
        <v>37</v>
      </c>
      <c r="S43" s="40">
        <f t="shared" si="12"/>
        <v>145140</v>
      </c>
      <c r="T43" s="9">
        <v>67410</v>
      </c>
      <c r="U43" s="155">
        <v>77730</v>
      </c>
      <c r="V43" s="158">
        <v>256868</v>
      </c>
      <c r="W43" s="5">
        <v>128480</v>
      </c>
      <c r="X43" s="159">
        <v>128388</v>
      </c>
      <c r="Y43">
        <v>425817</v>
      </c>
      <c r="Z43">
        <v>216369</v>
      </c>
      <c r="AA43" s="41">
        <v>209448</v>
      </c>
      <c r="AC43" s="210"/>
      <c r="AD43" s="210"/>
      <c r="AE43" s="210"/>
      <c r="AF43" s="210"/>
      <c r="AG43" s="210"/>
      <c r="AH43" s="210"/>
      <c r="AI43" s="210"/>
      <c r="AJ43" s="210"/>
      <c r="AK43" s="210"/>
    </row>
    <row r="44" spans="18:52" ht="14.4" x14ac:dyDescent="0.3">
      <c r="R44" s="171">
        <v>38</v>
      </c>
      <c r="S44" s="40">
        <f t="shared" si="12"/>
        <v>403506</v>
      </c>
      <c r="T44" s="9">
        <v>194826</v>
      </c>
      <c r="U44" s="155">
        <v>208680</v>
      </c>
      <c r="V44" s="158">
        <v>576099</v>
      </c>
      <c r="W44" s="5">
        <v>291412</v>
      </c>
      <c r="X44" s="159">
        <v>284687</v>
      </c>
      <c r="Y44">
        <v>601446</v>
      </c>
      <c r="Z44">
        <v>298289</v>
      </c>
      <c r="AA44" s="41">
        <v>303157</v>
      </c>
      <c r="AC44" s="210"/>
      <c r="AD44" s="210"/>
      <c r="AE44" s="210"/>
      <c r="AF44" s="210"/>
      <c r="AG44" s="210"/>
      <c r="AH44" s="210"/>
      <c r="AI44" s="210"/>
      <c r="AJ44" s="210"/>
      <c r="AK44" s="210"/>
    </row>
    <row r="45" spans="18:52" ht="14.4" x14ac:dyDescent="0.3">
      <c r="R45" s="171">
        <v>39</v>
      </c>
      <c r="S45" s="40">
        <f t="shared" si="12"/>
        <v>86656</v>
      </c>
      <c r="T45" s="9">
        <v>39480</v>
      </c>
      <c r="U45" s="155">
        <v>47176</v>
      </c>
      <c r="V45" s="158">
        <v>173671</v>
      </c>
      <c r="W45" s="5">
        <v>89819</v>
      </c>
      <c r="X45" s="159">
        <v>83852</v>
      </c>
      <c r="Y45">
        <v>416429</v>
      </c>
      <c r="Z45">
        <v>216869</v>
      </c>
      <c r="AA45" s="41">
        <v>199560</v>
      </c>
      <c r="AC45" s="210"/>
      <c r="AD45" s="210"/>
      <c r="AE45" s="210"/>
      <c r="AF45" s="210"/>
      <c r="AG45" s="210"/>
      <c r="AH45" s="210"/>
      <c r="AI45" s="210"/>
      <c r="AJ45" s="210"/>
      <c r="AK45" s="210"/>
    </row>
    <row r="46" spans="18:52" ht="14.4" x14ac:dyDescent="0.3">
      <c r="R46" s="171">
        <v>40</v>
      </c>
      <c r="S46" s="40">
        <f t="shared" si="12"/>
        <v>1042885</v>
      </c>
      <c r="T46" s="9">
        <v>507899</v>
      </c>
      <c r="U46" s="155">
        <v>534986</v>
      </c>
      <c r="V46" s="158">
        <v>1161706</v>
      </c>
      <c r="W46" s="5">
        <v>624708</v>
      </c>
      <c r="X46" s="159">
        <v>536998</v>
      </c>
      <c r="Y46">
        <v>1018408</v>
      </c>
      <c r="Z46">
        <v>505346</v>
      </c>
      <c r="AA46" s="41">
        <v>513062</v>
      </c>
      <c r="AC46" s="210"/>
      <c r="AD46" s="210"/>
      <c r="AE46" s="210"/>
      <c r="AF46" s="210"/>
      <c r="AG46" s="210"/>
      <c r="AH46" s="210"/>
      <c r="AI46" s="210"/>
      <c r="AJ46" s="210"/>
      <c r="AK46" s="210"/>
    </row>
    <row r="47" spans="18:52" ht="14.4" x14ac:dyDescent="0.3">
      <c r="R47" s="171">
        <v>41</v>
      </c>
      <c r="S47" s="40">
        <f t="shared" si="12"/>
        <v>74374</v>
      </c>
      <c r="T47" s="9">
        <v>31850</v>
      </c>
      <c r="U47" s="155">
        <v>42524</v>
      </c>
      <c r="V47" s="158">
        <v>149560</v>
      </c>
      <c r="W47" s="5">
        <v>83169</v>
      </c>
      <c r="X47" s="159">
        <v>66391</v>
      </c>
      <c r="Y47">
        <v>457342</v>
      </c>
      <c r="Z47">
        <v>242420</v>
      </c>
      <c r="AA47" s="41">
        <v>214922</v>
      </c>
      <c r="AC47" s="210"/>
      <c r="AD47" s="210"/>
      <c r="AE47" s="210"/>
      <c r="AF47" s="210"/>
      <c r="AG47" s="210"/>
      <c r="AH47" s="210"/>
      <c r="AI47" s="210"/>
      <c r="AJ47" s="210"/>
      <c r="AK47" s="210"/>
    </row>
    <row r="48" spans="18:52" ht="14.4" x14ac:dyDescent="0.3">
      <c r="R48" s="171">
        <v>42</v>
      </c>
      <c r="S48" s="40">
        <f t="shared" si="12"/>
        <v>298183</v>
      </c>
      <c r="T48" s="9">
        <v>140869</v>
      </c>
      <c r="U48" s="155">
        <v>157314</v>
      </c>
      <c r="V48" s="158">
        <v>416404</v>
      </c>
      <c r="W48" s="5">
        <v>228276</v>
      </c>
      <c r="X48" s="159">
        <v>188128</v>
      </c>
      <c r="Y48">
        <v>505738</v>
      </c>
      <c r="Z48">
        <v>268307</v>
      </c>
      <c r="AA48" s="41">
        <v>237431</v>
      </c>
      <c r="AC48" s="210"/>
      <c r="AD48" s="210"/>
      <c r="AE48" s="210"/>
      <c r="AF48" s="210"/>
      <c r="AG48" s="210"/>
      <c r="AH48" s="210"/>
      <c r="AI48" s="210"/>
      <c r="AJ48" s="210"/>
      <c r="AK48" s="210"/>
    </row>
    <row r="49" spans="18:37" ht="14.4" x14ac:dyDescent="0.3">
      <c r="R49" s="171">
        <v>43</v>
      </c>
      <c r="S49" s="40">
        <f t="shared" si="12"/>
        <v>102764</v>
      </c>
      <c r="T49" s="9">
        <v>50010</v>
      </c>
      <c r="U49" s="155">
        <v>52754</v>
      </c>
      <c r="V49" s="158">
        <v>192558</v>
      </c>
      <c r="W49" s="5">
        <v>94167</v>
      </c>
      <c r="X49" s="159">
        <v>98391</v>
      </c>
      <c r="Y49">
        <v>347450</v>
      </c>
      <c r="Z49">
        <v>181339</v>
      </c>
      <c r="AA49" s="41">
        <v>166111</v>
      </c>
      <c r="AC49" s="210"/>
      <c r="AD49" s="210"/>
      <c r="AE49" s="210"/>
      <c r="AF49" s="210"/>
      <c r="AG49" s="210"/>
      <c r="AH49" s="210"/>
      <c r="AI49" s="210"/>
      <c r="AJ49" s="210"/>
      <c r="AK49" s="210"/>
    </row>
    <row r="50" spans="18:37" ht="14.4" x14ac:dyDescent="0.3">
      <c r="R50" s="171">
        <v>44</v>
      </c>
      <c r="S50" s="40">
        <f t="shared" si="12"/>
        <v>76843</v>
      </c>
      <c r="T50" s="9">
        <v>36570</v>
      </c>
      <c r="U50" s="155">
        <v>40273</v>
      </c>
      <c r="V50" s="158">
        <v>142408</v>
      </c>
      <c r="W50" s="5">
        <v>73993</v>
      </c>
      <c r="X50" s="159">
        <v>68415</v>
      </c>
      <c r="Y50">
        <v>362536</v>
      </c>
      <c r="Z50">
        <v>190508</v>
      </c>
      <c r="AA50" s="41">
        <v>172028</v>
      </c>
      <c r="AC50" s="210"/>
      <c r="AD50" s="210"/>
      <c r="AE50" s="210"/>
      <c r="AF50" s="210"/>
      <c r="AG50" s="210"/>
      <c r="AH50" s="210"/>
      <c r="AI50" s="210"/>
      <c r="AJ50" s="210"/>
      <c r="AK50" s="210"/>
    </row>
    <row r="51" spans="18:37" ht="14.4" x14ac:dyDescent="0.3">
      <c r="R51" s="171">
        <v>45</v>
      </c>
      <c r="S51" s="40">
        <f t="shared" si="12"/>
        <v>898474</v>
      </c>
      <c r="T51" s="9">
        <v>436533</v>
      </c>
      <c r="U51" s="155">
        <v>461941</v>
      </c>
      <c r="V51" s="158">
        <v>965398</v>
      </c>
      <c r="W51" s="5">
        <v>514211</v>
      </c>
      <c r="X51" s="159">
        <v>451187</v>
      </c>
      <c r="Y51">
        <v>866482</v>
      </c>
      <c r="Z51">
        <v>437220</v>
      </c>
      <c r="AA51" s="41">
        <v>429262</v>
      </c>
      <c r="AC51" s="210"/>
      <c r="AD51" s="210"/>
      <c r="AE51" s="210"/>
      <c r="AF51" s="210"/>
      <c r="AG51" s="210"/>
      <c r="AH51" s="210"/>
      <c r="AI51" s="210"/>
      <c r="AJ51" s="210"/>
      <c r="AK51" s="210"/>
    </row>
    <row r="52" spans="18:37" ht="14.4" x14ac:dyDescent="0.3">
      <c r="R52" s="171">
        <v>46</v>
      </c>
      <c r="S52" s="40">
        <f t="shared" si="12"/>
        <v>123970</v>
      </c>
      <c r="T52" s="9">
        <v>58840</v>
      </c>
      <c r="U52" s="155">
        <v>65130</v>
      </c>
      <c r="V52" s="158">
        <v>198865</v>
      </c>
      <c r="W52" s="5">
        <v>105555</v>
      </c>
      <c r="X52" s="159">
        <v>93310</v>
      </c>
      <c r="Y52">
        <v>443599</v>
      </c>
      <c r="Z52">
        <v>233358</v>
      </c>
      <c r="AA52" s="41">
        <v>210241</v>
      </c>
      <c r="AC52" s="210"/>
      <c r="AD52" s="210"/>
      <c r="AE52" s="210"/>
      <c r="AF52" s="210"/>
      <c r="AG52" s="210"/>
      <c r="AH52" s="210"/>
      <c r="AI52" s="210"/>
      <c r="AJ52" s="210"/>
      <c r="AK52" s="210"/>
    </row>
    <row r="53" spans="18:37" ht="14.4" x14ac:dyDescent="0.3">
      <c r="R53" s="171">
        <v>47</v>
      </c>
      <c r="S53" s="40">
        <f t="shared" si="12"/>
        <v>90082</v>
      </c>
      <c r="T53" s="9">
        <v>41219</v>
      </c>
      <c r="U53" s="155">
        <v>48863</v>
      </c>
      <c r="V53" s="158">
        <v>155155</v>
      </c>
      <c r="W53" s="5">
        <v>80260</v>
      </c>
      <c r="X53" s="159">
        <v>74895</v>
      </c>
      <c r="Y53">
        <v>310696</v>
      </c>
      <c r="Z53">
        <v>164935</v>
      </c>
      <c r="AA53" s="41">
        <v>145761</v>
      </c>
      <c r="AC53" s="210"/>
      <c r="AD53" s="210"/>
      <c r="AE53" s="210"/>
      <c r="AF53" s="210"/>
      <c r="AG53" s="210"/>
      <c r="AH53" s="210"/>
      <c r="AI53" s="210"/>
      <c r="AJ53" s="210"/>
      <c r="AK53" s="210"/>
    </row>
    <row r="54" spans="18:37" ht="14.4" x14ac:dyDescent="0.3">
      <c r="R54" s="171">
        <v>48</v>
      </c>
      <c r="S54" s="40">
        <f t="shared" si="12"/>
        <v>284310</v>
      </c>
      <c r="T54" s="9">
        <v>136744</v>
      </c>
      <c r="U54" s="155">
        <v>147566</v>
      </c>
      <c r="V54" s="158">
        <v>346211</v>
      </c>
      <c r="W54" s="5">
        <v>178935</v>
      </c>
      <c r="X54" s="159">
        <v>167276</v>
      </c>
      <c r="Y54">
        <v>430826</v>
      </c>
      <c r="Z54">
        <v>225442</v>
      </c>
      <c r="AA54" s="41">
        <v>205384</v>
      </c>
      <c r="AC54" s="210"/>
      <c r="AD54" s="210"/>
      <c r="AE54" s="210"/>
      <c r="AF54" s="210"/>
      <c r="AG54" s="210"/>
      <c r="AH54" s="210"/>
      <c r="AI54" s="210"/>
      <c r="AJ54" s="210"/>
      <c r="AK54" s="210"/>
    </row>
    <row r="55" spans="18:37" ht="14.4" x14ac:dyDescent="0.3">
      <c r="R55" s="171">
        <v>49</v>
      </c>
      <c r="S55" s="40">
        <f t="shared" si="12"/>
        <v>48440</v>
      </c>
      <c r="T55" s="9">
        <v>22110</v>
      </c>
      <c r="U55" s="155">
        <v>26330</v>
      </c>
      <c r="V55" s="158">
        <v>90220</v>
      </c>
      <c r="W55" s="5">
        <v>47228</v>
      </c>
      <c r="X55" s="159">
        <v>42992</v>
      </c>
      <c r="Y55">
        <v>282427</v>
      </c>
      <c r="Z55">
        <v>151411</v>
      </c>
      <c r="AA55" s="41">
        <v>131016</v>
      </c>
      <c r="AC55" s="210"/>
      <c r="AD55" s="210"/>
      <c r="AE55" s="210"/>
      <c r="AF55" s="210"/>
      <c r="AG55" s="210"/>
      <c r="AH55" s="210"/>
      <c r="AI55" s="210"/>
      <c r="AJ55" s="210"/>
      <c r="AK55" s="210"/>
    </row>
    <row r="56" spans="18:37" ht="14.4" x14ac:dyDescent="0.3">
      <c r="R56" s="171">
        <v>50</v>
      </c>
      <c r="S56" s="40">
        <f t="shared" si="12"/>
        <v>887028</v>
      </c>
      <c r="T56" s="9">
        <v>435649</v>
      </c>
      <c r="U56" s="155">
        <v>451379</v>
      </c>
      <c r="V56" s="158">
        <v>824740</v>
      </c>
      <c r="W56" s="5">
        <v>428332</v>
      </c>
      <c r="X56" s="159">
        <v>396408</v>
      </c>
      <c r="Y56">
        <v>784920</v>
      </c>
      <c r="Z56">
        <v>388647</v>
      </c>
      <c r="AA56" s="41">
        <v>396273</v>
      </c>
      <c r="AC56" s="210"/>
      <c r="AD56" s="210"/>
      <c r="AE56" s="210"/>
      <c r="AF56" s="210"/>
      <c r="AG56" s="210"/>
      <c r="AH56" s="210"/>
      <c r="AI56" s="210"/>
      <c r="AJ56" s="210"/>
      <c r="AK56" s="210"/>
    </row>
    <row r="57" spans="18:37" ht="14.4" x14ac:dyDescent="0.3">
      <c r="R57" s="171">
        <v>51</v>
      </c>
      <c r="S57" s="40">
        <f t="shared" si="12"/>
        <v>57710</v>
      </c>
      <c r="T57" s="9">
        <v>23650</v>
      </c>
      <c r="U57" s="155">
        <v>34060</v>
      </c>
      <c r="V57" s="158">
        <v>93998</v>
      </c>
      <c r="W57" s="5">
        <v>53664</v>
      </c>
      <c r="X57" s="159">
        <v>40334</v>
      </c>
      <c r="Y57">
        <v>320576</v>
      </c>
      <c r="Z57">
        <v>173338</v>
      </c>
      <c r="AA57" s="41">
        <v>147238</v>
      </c>
      <c r="AC57" s="210"/>
      <c r="AD57" s="210"/>
      <c r="AE57" s="210"/>
      <c r="AF57" s="210"/>
      <c r="AG57" s="210"/>
      <c r="AH57" s="210"/>
      <c r="AI57" s="210"/>
      <c r="AJ57" s="210"/>
      <c r="AK57" s="210"/>
    </row>
    <row r="58" spans="18:37" ht="14.4" x14ac:dyDescent="0.3">
      <c r="R58" s="171">
        <v>52</v>
      </c>
      <c r="S58" s="40">
        <f t="shared" si="12"/>
        <v>185365</v>
      </c>
      <c r="T58" s="9">
        <v>82487</v>
      </c>
      <c r="U58" s="155">
        <v>102878</v>
      </c>
      <c r="V58" s="158">
        <v>227140</v>
      </c>
      <c r="W58" s="5">
        <v>123646</v>
      </c>
      <c r="X58" s="159">
        <v>103494</v>
      </c>
      <c r="Y58">
        <v>307743</v>
      </c>
      <c r="Z58">
        <v>166334</v>
      </c>
      <c r="AA58" s="41">
        <v>141409</v>
      </c>
      <c r="AC58" s="210"/>
      <c r="AD58" s="210"/>
      <c r="AE58" s="210"/>
      <c r="AF58" s="210"/>
      <c r="AG58" s="210"/>
      <c r="AH58" s="210"/>
      <c r="AI58" s="210"/>
      <c r="AJ58" s="210"/>
      <c r="AK58" s="210"/>
    </row>
    <row r="59" spans="18:37" ht="14.4" x14ac:dyDescent="0.3">
      <c r="R59" s="171">
        <v>53</v>
      </c>
      <c r="S59" s="40">
        <f t="shared" si="12"/>
        <v>66897</v>
      </c>
      <c r="T59" s="9">
        <v>29215</v>
      </c>
      <c r="U59" s="155">
        <v>37682</v>
      </c>
      <c r="V59" s="158">
        <v>106165</v>
      </c>
      <c r="W59" s="5">
        <v>54390</v>
      </c>
      <c r="X59" s="159">
        <v>51775</v>
      </c>
      <c r="Y59">
        <v>204224</v>
      </c>
      <c r="Z59">
        <v>109710</v>
      </c>
      <c r="AA59" s="41">
        <v>94514</v>
      </c>
      <c r="AC59" s="210"/>
      <c r="AD59" s="210"/>
      <c r="AE59" s="210"/>
      <c r="AF59" s="210"/>
      <c r="AG59" s="210"/>
      <c r="AH59" s="210"/>
      <c r="AI59" s="210"/>
      <c r="AJ59" s="210"/>
      <c r="AK59" s="210"/>
    </row>
    <row r="60" spans="18:37" ht="14.4" x14ac:dyDescent="0.3">
      <c r="R60" s="171">
        <v>54</v>
      </c>
      <c r="S60" s="40">
        <f t="shared" si="12"/>
        <v>62632</v>
      </c>
      <c r="T60" s="9">
        <v>28380</v>
      </c>
      <c r="U60" s="155">
        <v>34252</v>
      </c>
      <c r="V60" s="158">
        <v>92098</v>
      </c>
      <c r="W60" s="5">
        <v>48841</v>
      </c>
      <c r="X60" s="159">
        <v>43257</v>
      </c>
      <c r="Y60">
        <v>230349</v>
      </c>
      <c r="Z60">
        <v>119495</v>
      </c>
      <c r="AA60" s="41">
        <v>110854</v>
      </c>
      <c r="AC60" s="210"/>
      <c r="AD60" s="210"/>
      <c r="AE60" s="210"/>
      <c r="AF60" s="210"/>
      <c r="AG60" s="210"/>
      <c r="AH60" s="210"/>
      <c r="AI60" s="210"/>
      <c r="AJ60" s="210"/>
      <c r="AK60" s="210"/>
    </row>
    <row r="61" spans="18:37" ht="14.4" x14ac:dyDescent="0.3">
      <c r="R61" s="171">
        <v>55</v>
      </c>
      <c r="S61" s="40">
        <f t="shared" si="12"/>
        <v>592305</v>
      </c>
      <c r="T61" s="9">
        <v>299252</v>
      </c>
      <c r="U61" s="155">
        <v>293053</v>
      </c>
      <c r="V61" s="158">
        <v>631902</v>
      </c>
      <c r="W61" s="5">
        <v>299327</v>
      </c>
      <c r="X61" s="159">
        <v>332575</v>
      </c>
      <c r="Y61">
        <v>585492</v>
      </c>
      <c r="Z61">
        <v>277931</v>
      </c>
      <c r="AA61" s="41">
        <v>307561</v>
      </c>
      <c r="AC61" s="210"/>
      <c r="AD61" s="210"/>
      <c r="AE61" s="210"/>
      <c r="AF61" s="210"/>
      <c r="AG61" s="210"/>
      <c r="AH61" s="210"/>
      <c r="AI61" s="210"/>
      <c r="AJ61" s="210"/>
      <c r="AK61" s="210"/>
    </row>
    <row r="62" spans="18:37" ht="14.4" x14ac:dyDescent="0.3">
      <c r="R62" s="171">
        <v>56</v>
      </c>
      <c r="S62" s="40">
        <f t="shared" si="12"/>
        <v>88530</v>
      </c>
      <c r="T62" s="9">
        <v>39930</v>
      </c>
      <c r="U62" s="155">
        <v>48600</v>
      </c>
      <c r="V62" s="158">
        <v>121832</v>
      </c>
      <c r="W62" s="5">
        <v>63636</v>
      </c>
      <c r="X62" s="159">
        <v>58196</v>
      </c>
      <c r="Y62">
        <v>290454</v>
      </c>
      <c r="Z62">
        <v>151823</v>
      </c>
      <c r="AA62" s="41">
        <v>138631</v>
      </c>
      <c r="AC62" s="210"/>
      <c r="AD62" s="210"/>
      <c r="AE62" s="210"/>
      <c r="AF62" s="210"/>
      <c r="AG62" s="210"/>
      <c r="AH62" s="210"/>
      <c r="AI62" s="210"/>
      <c r="AJ62" s="210"/>
      <c r="AK62" s="210"/>
    </row>
    <row r="63" spans="18:37" ht="14.4" x14ac:dyDescent="0.3">
      <c r="R63" s="171">
        <v>57</v>
      </c>
      <c r="S63" s="40">
        <f t="shared" si="12"/>
        <v>47314</v>
      </c>
      <c r="T63" s="9">
        <v>21340</v>
      </c>
      <c r="U63" s="155">
        <v>25974</v>
      </c>
      <c r="V63" s="158">
        <v>83326</v>
      </c>
      <c r="W63" s="5">
        <v>42904</v>
      </c>
      <c r="X63" s="159">
        <v>40422</v>
      </c>
      <c r="Y63">
        <v>182426</v>
      </c>
      <c r="Z63">
        <v>96710</v>
      </c>
      <c r="AA63" s="41">
        <v>85716</v>
      </c>
      <c r="AC63" s="210"/>
      <c r="AD63" s="210"/>
      <c r="AE63" s="210"/>
      <c r="AF63" s="210"/>
      <c r="AG63" s="210"/>
      <c r="AH63" s="210"/>
      <c r="AI63" s="210"/>
      <c r="AJ63" s="210"/>
      <c r="AK63" s="210"/>
    </row>
    <row r="64" spans="18:37" ht="14.4" x14ac:dyDescent="0.3">
      <c r="R64" s="171">
        <v>58</v>
      </c>
      <c r="S64" s="40">
        <f t="shared" si="12"/>
        <v>142444</v>
      </c>
      <c r="T64" s="9">
        <v>69113</v>
      </c>
      <c r="U64" s="155">
        <v>73331</v>
      </c>
      <c r="V64" s="158">
        <v>188630</v>
      </c>
      <c r="W64" s="5">
        <v>90192</v>
      </c>
      <c r="X64" s="159">
        <v>98438</v>
      </c>
      <c r="Y64">
        <v>244495</v>
      </c>
      <c r="Z64">
        <v>123835</v>
      </c>
      <c r="AA64" s="41">
        <v>120660</v>
      </c>
      <c r="AC64" s="210"/>
      <c r="AD64" s="210"/>
      <c r="AE64" s="210"/>
      <c r="AF64" s="210"/>
      <c r="AG64" s="210"/>
      <c r="AH64" s="210"/>
      <c r="AI64" s="210"/>
      <c r="AJ64" s="210"/>
      <c r="AK64" s="210"/>
    </row>
    <row r="65" spans="18:37" ht="14.4" x14ac:dyDescent="0.3">
      <c r="R65" s="171">
        <v>59</v>
      </c>
      <c r="S65" s="40">
        <f t="shared" si="12"/>
        <v>26616</v>
      </c>
      <c r="T65" s="9">
        <v>11100</v>
      </c>
      <c r="U65" s="155">
        <v>15516</v>
      </c>
      <c r="V65" s="158">
        <v>51794</v>
      </c>
      <c r="W65" s="5">
        <v>27693</v>
      </c>
      <c r="X65" s="159">
        <v>24101</v>
      </c>
      <c r="Y65">
        <v>180853</v>
      </c>
      <c r="Z65">
        <v>93992</v>
      </c>
      <c r="AA65" s="41">
        <v>86861</v>
      </c>
      <c r="AC65" s="210"/>
      <c r="AD65" s="210"/>
      <c r="AE65" s="210"/>
      <c r="AF65" s="210"/>
      <c r="AG65" s="210"/>
      <c r="AH65" s="210"/>
      <c r="AI65" s="210"/>
      <c r="AJ65" s="210"/>
      <c r="AK65" s="210"/>
    </row>
    <row r="66" spans="18:37" ht="14.4" x14ac:dyDescent="0.3">
      <c r="R66" s="171">
        <v>60</v>
      </c>
      <c r="S66" s="40">
        <f t="shared" si="12"/>
        <v>711322</v>
      </c>
      <c r="T66" s="9">
        <v>359777</v>
      </c>
      <c r="U66" s="155">
        <v>351545</v>
      </c>
      <c r="V66" s="158">
        <v>757879</v>
      </c>
      <c r="W66" s="5">
        <v>365759</v>
      </c>
      <c r="X66" s="159">
        <v>392120</v>
      </c>
      <c r="Y66">
        <v>668928</v>
      </c>
      <c r="Z66">
        <v>314904</v>
      </c>
      <c r="AA66" s="41">
        <v>354024</v>
      </c>
      <c r="AC66" s="210"/>
      <c r="AD66" s="210"/>
      <c r="AE66" s="210"/>
      <c r="AF66" s="210"/>
      <c r="AG66" s="210"/>
      <c r="AH66" s="210"/>
      <c r="AI66" s="210"/>
      <c r="AJ66" s="210"/>
      <c r="AK66" s="210"/>
    </row>
    <row r="67" spans="18:37" ht="14.4" x14ac:dyDescent="0.3">
      <c r="R67" s="171">
        <v>61</v>
      </c>
      <c r="S67" s="40">
        <f t="shared" si="12"/>
        <v>33448</v>
      </c>
      <c r="T67" s="9">
        <v>14352</v>
      </c>
      <c r="U67" s="155">
        <v>19096</v>
      </c>
      <c r="V67" s="158">
        <v>61871</v>
      </c>
      <c r="W67" s="5">
        <v>32529</v>
      </c>
      <c r="X67" s="159">
        <v>29342</v>
      </c>
      <c r="Y67">
        <v>259961</v>
      </c>
      <c r="Z67">
        <v>133010</v>
      </c>
      <c r="AA67" s="41">
        <v>126951</v>
      </c>
      <c r="AC67" s="210"/>
      <c r="AD67" s="210"/>
      <c r="AE67" s="210"/>
      <c r="AF67" s="210"/>
      <c r="AG67" s="210"/>
      <c r="AH67" s="210"/>
      <c r="AI67" s="210"/>
      <c r="AJ67" s="210"/>
      <c r="AK67" s="210"/>
    </row>
    <row r="68" spans="18:37" ht="14.4" x14ac:dyDescent="0.3">
      <c r="R68" s="171">
        <v>62</v>
      </c>
      <c r="S68" s="40">
        <f t="shared" si="12"/>
        <v>118650</v>
      </c>
      <c r="T68" s="9">
        <v>54130</v>
      </c>
      <c r="U68" s="155">
        <v>64520</v>
      </c>
      <c r="V68" s="158">
        <v>170802</v>
      </c>
      <c r="W68" s="5">
        <v>87559</v>
      </c>
      <c r="X68" s="159">
        <v>83243</v>
      </c>
      <c r="Y68">
        <v>250283</v>
      </c>
      <c r="Z68">
        <v>132177</v>
      </c>
      <c r="AA68" s="41">
        <v>118106</v>
      </c>
      <c r="AC68" s="210"/>
      <c r="AD68" s="210"/>
      <c r="AE68" s="210"/>
      <c r="AF68" s="210"/>
      <c r="AG68" s="210"/>
      <c r="AH68" s="210"/>
      <c r="AI68" s="210"/>
      <c r="AJ68" s="210"/>
      <c r="AK68" s="210"/>
    </row>
    <row r="69" spans="18:37" ht="14.4" x14ac:dyDescent="0.3">
      <c r="R69" s="171">
        <v>63</v>
      </c>
      <c r="S69" s="40">
        <f t="shared" si="12"/>
        <v>34900</v>
      </c>
      <c r="T69" s="9">
        <v>15270</v>
      </c>
      <c r="U69" s="155">
        <v>19630</v>
      </c>
      <c r="V69" s="158">
        <v>64995</v>
      </c>
      <c r="W69" s="5">
        <v>31403</v>
      </c>
      <c r="X69" s="159">
        <v>33592</v>
      </c>
      <c r="Y69">
        <v>145395</v>
      </c>
      <c r="Z69">
        <v>79149</v>
      </c>
      <c r="AA69" s="41">
        <v>66246</v>
      </c>
      <c r="AC69" s="210"/>
      <c r="AD69" s="210"/>
      <c r="AE69" s="210"/>
      <c r="AF69" s="210"/>
      <c r="AG69" s="210"/>
      <c r="AH69" s="210"/>
      <c r="AI69" s="210"/>
      <c r="AJ69" s="210"/>
      <c r="AK69" s="210"/>
    </row>
    <row r="70" spans="18:37" ht="14.4" x14ac:dyDescent="0.3">
      <c r="R70" s="171">
        <v>64</v>
      </c>
      <c r="S70" s="40">
        <f t="shared" ref="S70:S101" si="13">U70+T70</f>
        <v>25410</v>
      </c>
      <c r="T70" s="9">
        <v>10530</v>
      </c>
      <c r="U70" s="155">
        <v>14880</v>
      </c>
      <c r="V70" s="158">
        <v>48593</v>
      </c>
      <c r="W70" s="5">
        <v>25756</v>
      </c>
      <c r="X70" s="159">
        <v>22837</v>
      </c>
      <c r="Y70">
        <v>149494</v>
      </c>
      <c r="Z70">
        <v>78395</v>
      </c>
      <c r="AA70" s="41">
        <v>71099</v>
      </c>
      <c r="AC70" s="210"/>
      <c r="AD70" s="210"/>
      <c r="AE70" s="210"/>
      <c r="AF70" s="210"/>
      <c r="AG70" s="210"/>
      <c r="AH70" s="210"/>
      <c r="AI70" s="210"/>
      <c r="AJ70" s="210"/>
      <c r="AK70" s="210"/>
    </row>
    <row r="71" spans="18:37" ht="14.4" x14ac:dyDescent="0.3">
      <c r="R71" s="171">
        <v>65</v>
      </c>
      <c r="S71" s="40">
        <f t="shared" si="13"/>
        <v>394431</v>
      </c>
      <c r="T71" s="9">
        <v>201560</v>
      </c>
      <c r="U71" s="155">
        <v>192871</v>
      </c>
      <c r="V71" s="158">
        <v>534570</v>
      </c>
      <c r="W71" s="5">
        <v>248232</v>
      </c>
      <c r="X71" s="159">
        <v>286338</v>
      </c>
      <c r="Y71">
        <v>471553</v>
      </c>
      <c r="Z71">
        <v>222967</v>
      </c>
      <c r="AA71" s="41">
        <v>248586</v>
      </c>
      <c r="AC71" s="210"/>
      <c r="AD71" s="210"/>
      <c r="AE71" s="210"/>
      <c r="AF71" s="210"/>
      <c r="AG71" s="210"/>
      <c r="AH71" s="210"/>
      <c r="AI71" s="210"/>
      <c r="AJ71" s="210"/>
      <c r="AK71" s="210"/>
    </row>
    <row r="72" spans="18:37" ht="14.4" x14ac:dyDescent="0.3">
      <c r="R72" s="171">
        <v>66</v>
      </c>
      <c r="S72" s="40">
        <f t="shared" si="13"/>
        <v>29473</v>
      </c>
      <c r="T72" s="9">
        <v>13643</v>
      </c>
      <c r="U72" s="155">
        <v>15830</v>
      </c>
      <c r="V72" s="158">
        <v>60565</v>
      </c>
      <c r="W72" s="5">
        <v>30926</v>
      </c>
      <c r="X72" s="159">
        <v>29639</v>
      </c>
      <c r="Y72">
        <v>180654</v>
      </c>
      <c r="Z72">
        <v>92898</v>
      </c>
      <c r="AA72" s="41">
        <v>87756</v>
      </c>
      <c r="AC72" s="210"/>
      <c r="AD72" s="210"/>
      <c r="AE72" s="210"/>
      <c r="AF72" s="210"/>
      <c r="AG72" s="210"/>
      <c r="AH72" s="210"/>
      <c r="AI72" s="210"/>
      <c r="AJ72" s="210"/>
      <c r="AK72" s="210"/>
    </row>
    <row r="73" spans="18:37" ht="14.4" x14ac:dyDescent="0.3">
      <c r="R73" s="171">
        <v>67</v>
      </c>
      <c r="S73" s="40">
        <f t="shared" si="13"/>
        <v>23029</v>
      </c>
      <c r="T73" s="9">
        <v>9909</v>
      </c>
      <c r="U73" s="155">
        <v>13120</v>
      </c>
      <c r="V73" s="158">
        <v>48075</v>
      </c>
      <c r="W73" s="5">
        <v>24693</v>
      </c>
      <c r="X73" s="159">
        <v>23382</v>
      </c>
      <c r="Y73">
        <v>100529</v>
      </c>
      <c r="Z73">
        <v>54942</v>
      </c>
      <c r="AA73" s="41">
        <v>45587</v>
      </c>
      <c r="AC73" s="210"/>
      <c r="AD73" s="210"/>
      <c r="AE73" s="210"/>
      <c r="AF73" s="210"/>
      <c r="AG73" s="210"/>
      <c r="AH73" s="210"/>
      <c r="AI73" s="210"/>
      <c r="AJ73" s="210"/>
      <c r="AK73" s="210"/>
    </row>
    <row r="74" spans="18:37" ht="14.4" x14ac:dyDescent="0.3">
      <c r="R74" s="171">
        <v>68</v>
      </c>
      <c r="S74" s="40">
        <f t="shared" si="13"/>
        <v>58226</v>
      </c>
      <c r="T74" s="9">
        <v>28580</v>
      </c>
      <c r="U74" s="155">
        <v>29646</v>
      </c>
      <c r="V74" s="158">
        <v>97206</v>
      </c>
      <c r="W74" s="5">
        <v>46113</v>
      </c>
      <c r="X74" s="159">
        <v>51093</v>
      </c>
      <c r="Y74">
        <v>127510</v>
      </c>
      <c r="Z74">
        <v>66099</v>
      </c>
      <c r="AA74" s="41">
        <v>61411</v>
      </c>
      <c r="AC74" s="210"/>
      <c r="AD74" s="210"/>
      <c r="AE74" s="210"/>
      <c r="AF74" s="210"/>
      <c r="AG74" s="210"/>
      <c r="AH74" s="210"/>
      <c r="AI74" s="210"/>
      <c r="AJ74" s="210"/>
      <c r="AK74" s="210"/>
    </row>
    <row r="75" spans="18:37" ht="14.4" x14ac:dyDescent="0.3">
      <c r="R75" s="171">
        <v>69</v>
      </c>
      <c r="S75" s="40">
        <f t="shared" si="13"/>
        <v>12410</v>
      </c>
      <c r="T75" s="9">
        <v>5630</v>
      </c>
      <c r="U75" s="155">
        <v>6780</v>
      </c>
      <c r="V75" s="158">
        <v>27725</v>
      </c>
      <c r="W75" s="5">
        <v>13882</v>
      </c>
      <c r="X75" s="159">
        <v>13843</v>
      </c>
      <c r="Y75">
        <v>99279</v>
      </c>
      <c r="Z75">
        <v>50943</v>
      </c>
      <c r="AA75" s="41">
        <v>48336</v>
      </c>
      <c r="AC75" s="210"/>
      <c r="AD75" s="210"/>
      <c r="AE75" s="210"/>
      <c r="AF75" s="210"/>
      <c r="AG75" s="210"/>
      <c r="AH75" s="210"/>
      <c r="AI75" s="210"/>
      <c r="AJ75" s="210"/>
      <c r="AK75" s="210"/>
    </row>
    <row r="76" spans="18:37" ht="14.4" x14ac:dyDescent="0.3">
      <c r="R76" s="171">
        <v>70</v>
      </c>
      <c r="S76" s="40">
        <f t="shared" si="13"/>
        <v>349767</v>
      </c>
      <c r="T76" s="9">
        <v>182626</v>
      </c>
      <c r="U76" s="155">
        <v>167141</v>
      </c>
      <c r="V76" s="158">
        <v>461809</v>
      </c>
      <c r="W76" s="5">
        <v>224416</v>
      </c>
      <c r="X76" s="159">
        <v>237393</v>
      </c>
      <c r="Y76">
        <v>425210</v>
      </c>
      <c r="Z76">
        <v>200417</v>
      </c>
      <c r="AA76" s="41">
        <v>224793</v>
      </c>
      <c r="AC76" s="210"/>
      <c r="AD76" s="210"/>
      <c r="AE76" s="210"/>
      <c r="AF76" s="210"/>
      <c r="AG76" s="210"/>
      <c r="AH76" s="210"/>
      <c r="AI76" s="210"/>
      <c r="AJ76" s="210"/>
      <c r="AK76" s="210"/>
    </row>
    <row r="77" spans="18:37" ht="14.4" x14ac:dyDescent="0.3">
      <c r="R77" s="171">
        <v>71</v>
      </c>
      <c r="S77" s="40">
        <f t="shared" si="13"/>
        <v>13770</v>
      </c>
      <c r="T77" s="9">
        <v>5930</v>
      </c>
      <c r="U77" s="155">
        <v>7840</v>
      </c>
      <c r="V77" s="158">
        <v>27304</v>
      </c>
      <c r="W77" s="5">
        <v>15071</v>
      </c>
      <c r="X77" s="159">
        <v>12233</v>
      </c>
      <c r="Y77">
        <v>129231</v>
      </c>
      <c r="Z77">
        <v>64878</v>
      </c>
      <c r="AA77" s="41">
        <v>64353</v>
      </c>
      <c r="AC77" s="210"/>
      <c r="AD77" s="210"/>
      <c r="AE77" s="210"/>
      <c r="AF77" s="210"/>
      <c r="AG77" s="210"/>
      <c r="AH77" s="210"/>
      <c r="AI77" s="210"/>
      <c r="AJ77" s="210"/>
      <c r="AK77" s="210"/>
    </row>
    <row r="78" spans="18:37" ht="14.4" x14ac:dyDescent="0.3">
      <c r="R78" s="171">
        <v>72</v>
      </c>
      <c r="S78" s="40">
        <f t="shared" si="13"/>
        <v>47700</v>
      </c>
      <c r="T78" s="9">
        <v>21180</v>
      </c>
      <c r="U78" s="155">
        <v>26520</v>
      </c>
      <c r="V78" s="158">
        <v>81898</v>
      </c>
      <c r="W78" s="5">
        <v>44413</v>
      </c>
      <c r="X78" s="159">
        <v>37485</v>
      </c>
      <c r="Y78">
        <v>102291</v>
      </c>
      <c r="Z78">
        <v>54730</v>
      </c>
      <c r="AA78" s="41">
        <v>47561</v>
      </c>
      <c r="AC78" s="210"/>
      <c r="AD78" s="210"/>
      <c r="AE78" s="210"/>
      <c r="AF78" s="210"/>
      <c r="AG78" s="210"/>
      <c r="AH78" s="210"/>
      <c r="AI78" s="210"/>
      <c r="AJ78" s="210"/>
      <c r="AK78" s="210"/>
    </row>
    <row r="79" spans="18:37" ht="14.4" x14ac:dyDescent="0.3">
      <c r="R79" s="171">
        <v>73</v>
      </c>
      <c r="S79" s="40">
        <f t="shared" si="13"/>
        <v>12860</v>
      </c>
      <c r="T79" s="9">
        <v>5540</v>
      </c>
      <c r="U79" s="155">
        <v>7320</v>
      </c>
      <c r="V79" s="158">
        <v>25343</v>
      </c>
      <c r="W79" s="5">
        <v>14202</v>
      </c>
      <c r="X79" s="159">
        <v>11141</v>
      </c>
      <c r="Y79">
        <v>53272</v>
      </c>
      <c r="Z79">
        <v>29753</v>
      </c>
      <c r="AA79" s="41">
        <v>23519</v>
      </c>
      <c r="AC79" s="210"/>
      <c r="AD79" s="210"/>
      <c r="AE79" s="210"/>
      <c r="AF79" s="210"/>
      <c r="AG79" s="210"/>
      <c r="AH79" s="210"/>
      <c r="AI79" s="210"/>
      <c r="AJ79" s="210"/>
      <c r="AK79" s="210"/>
    </row>
    <row r="80" spans="18:37" ht="14.4" x14ac:dyDescent="0.3">
      <c r="R80" s="171">
        <v>74</v>
      </c>
      <c r="S80" s="40">
        <f t="shared" si="13"/>
        <v>9800</v>
      </c>
      <c r="T80" s="9">
        <v>3560</v>
      </c>
      <c r="U80" s="155">
        <v>6240</v>
      </c>
      <c r="V80" s="158">
        <v>19003</v>
      </c>
      <c r="W80" s="5">
        <v>11340</v>
      </c>
      <c r="X80" s="159">
        <v>7663</v>
      </c>
      <c r="Y80">
        <v>58066</v>
      </c>
      <c r="Z80">
        <v>30857</v>
      </c>
      <c r="AA80" s="41">
        <v>27209</v>
      </c>
      <c r="AC80" s="210"/>
      <c r="AD80" s="210"/>
      <c r="AE80" s="210"/>
      <c r="AF80" s="210"/>
      <c r="AG80" s="210"/>
      <c r="AH80" s="210"/>
      <c r="AI80" s="210"/>
      <c r="AJ80" s="210"/>
      <c r="AK80" s="210"/>
    </row>
    <row r="81" spans="18:37" ht="14.4" x14ac:dyDescent="0.3">
      <c r="R81" s="171">
        <v>75</v>
      </c>
      <c r="S81" s="40">
        <f t="shared" si="13"/>
        <v>131340</v>
      </c>
      <c r="T81" s="9">
        <v>68074</v>
      </c>
      <c r="U81" s="155">
        <v>63266</v>
      </c>
      <c r="V81" s="158">
        <v>183513</v>
      </c>
      <c r="W81" s="5">
        <v>89931</v>
      </c>
      <c r="X81" s="159">
        <v>93582</v>
      </c>
      <c r="Y81">
        <v>184523</v>
      </c>
      <c r="Z81">
        <v>87822</v>
      </c>
      <c r="AA81" s="41">
        <v>96701</v>
      </c>
      <c r="AC81" s="210"/>
      <c r="AD81" s="210"/>
      <c r="AE81" s="210"/>
      <c r="AF81" s="210"/>
      <c r="AG81" s="210"/>
      <c r="AH81" s="210"/>
      <c r="AI81" s="210"/>
      <c r="AJ81" s="210"/>
      <c r="AK81" s="210"/>
    </row>
    <row r="82" spans="18:37" ht="14.4" x14ac:dyDescent="0.3">
      <c r="R82" s="171">
        <v>76</v>
      </c>
      <c r="S82" s="40">
        <f t="shared" si="13"/>
        <v>12920</v>
      </c>
      <c r="T82" s="9">
        <v>5790</v>
      </c>
      <c r="U82" s="155">
        <v>7130</v>
      </c>
      <c r="V82" s="158">
        <v>23279</v>
      </c>
      <c r="W82" s="5">
        <v>13160</v>
      </c>
      <c r="X82" s="159">
        <v>10119</v>
      </c>
      <c r="Y82">
        <v>70813</v>
      </c>
      <c r="Z82">
        <v>36424</v>
      </c>
      <c r="AA82" s="41">
        <v>34389</v>
      </c>
      <c r="AC82" s="210"/>
      <c r="AD82" s="210"/>
      <c r="AE82" s="210"/>
      <c r="AF82" s="210"/>
      <c r="AG82" s="210"/>
      <c r="AH82" s="210"/>
      <c r="AI82" s="210"/>
      <c r="AJ82" s="210"/>
      <c r="AK82" s="210"/>
    </row>
    <row r="83" spans="18:37" ht="14.4" x14ac:dyDescent="0.3">
      <c r="R83" s="171">
        <v>77</v>
      </c>
      <c r="S83" s="40">
        <f t="shared" si="13"/>
        <v>6584</v>
      </c>
      <c r="T83" s="9">
        <v>2680</v>
      </c>
      <c r="U83" s="155">
        <v>3904</v>
      </c>
      <c r="V83" s="158">
        <v>13632</v>
      </c>
      <c r="W83" s="5">
        <v>7975</v>
      </c>
      <c r="X83" s="159">
        <v>5657</v>
      </c>
      <c r="Y83">
        <v>35533</v>
      </c>
      <c r="Z83">
        <v>19652</v>
      </c>
      <c r="AA83" s="41">
        <v>15881</v>
      </c>
      <c r="AC83" s="210"/>
      <c r="AD83" s="210"/>
      <c r="AE83" s="210"/>
      <c r="AF83" s="210"/>
      <c r="AG83" s="210"/>
      <c r="AH83" s="210"/>
      <c r="AI83" s="210"/>
      <c r="AJ83" s="210"/>
      <c r="AK83" s="210"/>
    </row>
    <row r="84" spans="18:37" ht="14.4" x14ac:dyDescent="0.3">
      <c r="R84" s="171">
        <v>78</v>
      </c>
      <c r="S84" s="40">
        <f t="shared" si="13"/>
        <v>17230</v>
      </c>
      <c r="T84" s="9">
        <v>7810</v>
      </c>
      <c r="U84" s="155">
        <v>9420</v>
      </c>
      <c r="V84" s="158">
        <v>28952</v>
      </c>
      <c r="W84" s="5">
        <v>15379</v>
      </c>
      <c r="X84" s="159">
        <v>13573</v>
      </c>
      <c r="Y84">
        <v>41127</v>
      </c>
      <c r="Z84">
        <v>22078</v>
      </c>
      <c r="AA84" s="41">
        <v>19049</v>
      </c>
      <c r="AC84" s="210"/>
      <c r="AD84" s="210"/>
      <c r="AE84" s="210"/>
      <c r="AF84" s="210"/>
      <c r="AG84" s="210"/>
      <c r="AH84" s="210"/>
      <c r="AI84" s="210"/>
      <c r="AJ84" s="210"/>
      <c r="AK84" s="210"/>
    </row>
    <row r="85" spans="18:37" ht="14.4" x14ac:dyDescent="0.3">
      <c r="R85" s="171">
        <v>79</v>
      </c>
      <c r="S85" s="40">
        <f t="shared" si="13"/>
        <v>3550</v>
      </c>
      <c r="T85" s="9">
        <v>1390</v>
      </c>
      <c r="U85" s="155">
        <v>2160</v>
      </c>
      <c r="V85" s="158">
        <v>8813</v>
      </c>
      <c r="W85" s="5">
        <v>5013</v>
      </c>
      <c r="X85" s="159">
        <v>3800</v>
      </c>
      <c r="Y85">
        <v>32804</v>
      </c>
      <c r="Z85">
        <v>17318</v>
      </c>
      <c r="AA85" s="41">
        <v>15486</v>
      </c>
    </row>
    <row r="86" spans="18:37" ht="14.4" x14ac:dyDescent="0.3">
      <c r="R86" s="171">
        <v>80</v>
      </c>
      <c r="S86" s="40">
        <f t="shared" si="13"/>
        <v>122192</v>
      </c>
      <c r="T86" s="9">
        <v>60280</v>
      </c>
      <c r="U86" s="155">
        <v>61912</v>
      </c>
      <c r="V86" s="158">
        <v>135840</v>
      </c>
      <c r="W86" s="5">
        <v>69725</v>
      </c>
      <c r="X86" s="159">
        <v>66115</v>
      </c>
      <c r="Y86">
        <v>141427</v>
      </c>
      <c r="Z86">
        <v>69255</v>
      </c>
      <c r="AA86" s="41">
        <v>72172</v>
      </c>
    </row>
    <row r="87" spans="18:37" ht="14.4" x14ac:dyDescent="0.3">
      <c r="R87" s="171">
        <v>81</v>
      </c>
      <c r="S87" s="40">
        <f t="shared" si="13"/>
        <v>8328</v>
      </c>
      <c r="T87" s="9">
        <v>3064</v>
      </c>
      <c r="U87" s="155">
        <v>5264</v>
      </c>
      <c r="V87" s="158">
        <v>9034</v>
      </c>
      <c r="W87" s="5">
        <v>5511</v>
      </c>
      <c r="X87" s="159">
        <v>3523</v>
      </c>
      <c r="Y87">
        <v>41267</v>
      </c>
      <c r="Z87">
        <v>21294</v>
      </c>
      <c r="AA87" s="41">
        <v>19973</v>
      </c>
    </row>
    <row r="88" spans="18:37" ht="14.4" x14ac:dyDescent="0.3">
      <c r="R88" s="171">
        <v>82</v>
      </c>
      <c r="S88" s="40">
        <f t="shared" si="13"/>
        <v>12365</v>
      </c>
      <c r="T88" s="9">
        <v>5058</v>
      </c>
      <c r="U88" s="155">
        <v>7307</v>
      </c>
      <c r="V88" s="158">
        <v>17198</v>
      </c>
      <c r="W88" s="5">
        <v>9940</v>
      </c>
      <c r="X88" s="159">
        <v>7258</v>
      </c>
      <c r="Y88">
        <v>25662</v>
      </c>
      <c r="Z88">
        <v>14518</v>
      </c>
      <c r="AA88" s="41">
        <v>11144</v>
      </c>
    </row>
    <row r="89" spans="18:37" ht="14.4" x14ac:dyDescent="0.3">
      <c r="R89" s="171">
        <v>83</v>
      </c>
      <c r="S89" s="40">
        <f t="shared" si="13"/>
        <v>3536</v>
      </c>
      <c r="T89" s="9">
        <v>1233</v>
      </c>
      <c r="U89" s="155">
        <v>2303</v>
      </c>
      <c r="V89" s="158">
        <v>6246</v>
      </c>
      <c r="W89" s="5">
        <v>3733</v>
      </c>
      <c r="X89" s="159">
        <v>2513</v>
      </c>
      <c r="Y89">
        <v>13678</v>
      </c>
      <c r="Z89">
        <v>8104</v>
      </c>
      <c r="AA89" s="41">
        <v>5574</v>
      </c>
    </row>
    <row r="90" spans="18:37" ht="14.4" x14ac:dyDescent="0.3">
      <c r="R90" s="171">
        <v>84</v>
      </c>
      <c r="S90" s="40">
        <f t="shared" si="13"/>
        <v>3261</v>
      </c>
      <c r="T90" s="9">
        <v>1000</v>
      </c>
      <c r="U90" s="155">
        <v>2261</v>
      </c>
      <c r="V90" s="158">
        <v>5579</v>
      </c>
      <c r="W90" s="5">
        <v>3530</v>
      </c>
      <c r="X90" s="159">
        <v>2049</v>
      </c>
      <c r="Y90">
        <v>14779</v>
      </c>
      <c r="Z90">
        <v>8458</v>
      </c>
      <c r="AA90" s="41">
        <v>6321</v>
      </c>
    </row>
    <row r="91" spans="18:37" ht="14.4" x14ac:dyDescent="0.3">
      <c r="R91" s="171">
        <v>85</v>
      </c>
      <c r="S91" s="40">
        <f t="shared" si="13"/>
        <v>30723</v>
      </c>
      <c r="T91" s="9">
        <v>14513</v>
      </c>
      <c r="U91" s="155">
        <v>16210</v>
      </c>
      <c r="V91" s="158">
        <v>40633</v>
      </c>
      <c r="W91" s="5">
        <v>21402</v>
      </c>
      <c r="X91" s="159">
        <v>19231</v>
      </c>
      <c r="Y91">
        <v>43142</v>
      </c>
      <c r="Z91">
        <v>22656</v>
      </c>
      <c r="AA91" s="41">
        <v>20486</v>
      </c>
    </row>
    <row r="92" spans="18:37" ht="14.4" x14ac:dyDescent="0.3">
      <c r="R92" s="171">
        <v>86</v>
      </c>
      <c r="S92" s="40">
        <f t="shared" si="13"/>
        <v>3587</v>
      </c>
      <c r="T92" s="9">
        <v>1074</v>
      </c>
      <c r="U92" s="155">
        <v>2513</v>
      </c>
      <c r="V92" s="158">
        <v>5270</v>
      </c>
      <c r="W92" s="5">
        <v>3189</v>
      </c>
      <c r="X92" s="159">
        <v>2081</v>
      </c>
      <c r="Y92">
        <v>15954</v>
      </c>
      <c r="Z92">
        <v>8677</v>
      </c>
      <c r="AA92" s="41">
        <v>7277</v>
      </c>
    </row>
    <row r="93" spans="18:37" ht="14.4" x14ac:dyDescent="0.3">
      <c r="R93" s="171">
        <v>87</v>
      </c>
      <c r="S93" s="40">
        <f t="shared" si="13"/>
        <v>2817</v>
      </c>
      <c r="T93" s="9">
        <v>985</v>
      </c>
      <c r="U93" s="155">
        <v>1832</v>
      </c>
      <c r="V93" s="158">
        <v>4195</v>
      </c>
      <c r="W93" s="5">
        <v>2561</v>
      </c>
      <c r="X93" s="159">
        <v>1634</v>
      </c>
      <c r="Y93">
        <v>7998</v>
      </c>
      <c r="Z93">
        <v>4658</v>
      </c>
      <c r="AA93" s="41">
        <v>3340</v>
      </c>
    </row>
    <row r="94" spans="18:37" ht="14.4" x14ac:dyDescent="0.3">
      <c r="R94" s="171">
        <v>88</v>
      </c>
      <c r="S94" s="40">
        <f t="shared" si="13"/>
        <v>3677</v>
      </c>
      <c r="T94" s="9">
        <v>1712</v>
      </c>
      <c r="U94" s="155">
        <v>1965</v>
      </c>
      <c r="V94" s="158">
        <v>5725</v>
      </c>
      <c r="W94" s="5">
        <v>3238</v>
      </c>
      <c r="X94" s="159">
        <v>2487</v>
      </c>
      <c r="Y94">
        <v>7728</v>
      </c>
      <c r="Z94">
        <v>4363</v>
      </c>
      <c r="AA94" s="41">
        <v>3365</v>
      </c>
    </row>
    <row r="95" spans="18:37" ht="14.4" x14ac:dyDescent="0.3">
      <c r="R95" s="171">
        <v>89</v>
      </c>
      <c r="S95" s="40">
        <f t="shared" si="13"/>
        <v>1217</v>
      </c>
      <c r="T95" s="9">
        <v>480</v>
      </c>
      <c r="U95" s="155">
        <v>737</v>
      </c>
      <c r="V95" s="158">
        <v>2218</v>
      </c>
      <c r="W95" s="5">
        <v>1264</v>
      </c>
      <c r="X95" s="159">
        <v>954</v>
      </c>
      <c r="Y95">
        <v>6630</v>
      </c>
      <c r="Z95">
        <v>3463</v>
      </c>
      <c r="AA95" s="41">
        <v>3167</v>
      </c>
    </row>
    <row r="96" spans="18:37" ht="14.4" x14ac:dyDescent="0.3">
      <c r="R96" s="171">
        <v>90</v>
      </c>
      <c r="S96" s="40">
        <f t="shared" si="13"/>
        <v>20797</v>
      </c>
      <c r="T96" s="9">
        <v>10317</v>
      </c>
      <c r="U96" s="155">
        <v>10480</v>
      </c>
      <c r="V96" s="158">
        <v>27122</v>
      </c>
      <c r="W96" s="5">
        <v>13398</v>
      </c>
      <c r="X96" s="159">
        <v>13724</v>
      </c>
      <c r="Y96">
        <v>26921</v>
      </c>
      <c r="Z96">
        <v>12830</v>
      </c>
      <c r="AA96" s="41">
        <v>14091</v>
      </c>
    </row>
    <row r="97" spans="18:27" ht="14.4" x14ac:dyDescent="0.3">
      <c r="R97" s="171">
        <v>91</v>
      </c>
      <c r="S97" s="40">
        <f t="shared" si="13"/>
        <v>3097</v>
      </c>
      <c r="T97" s="9">
        <v>1336</v>
      </c>
      <c r="U97" s="155">
        <v>1761</v>
      </c>
      <c r="V97" s="158">
        <v>2122</v>
      </c>
      <c r="W97" s="5">
        <v>1190</v>
      </c>
      <c r="X97" s="159">
        <v>932</v>
      </c>
      <c r="Y97">
        <v>7554</v>
      </c>
      <c r="Z97">
        <v>3737</v>
      </c>
      <c r="AA97" s="41">
        <v>3817</v>
      </c>
    </row>
    <row r="98" spans="18:27" ht="14.4" x14ac:dyDescent="0.3">
      <c r="R98" s="171">
        <v>92</v>
      </c>
      <c r="S98" s="40">
        <f t="shared" si="13"/>
        <v>2088</v>
      </c>
      <c r="T98" s="9">
        <v>981</v>
      </c>
      <c r="U98" s="155">
        <v>1107</v>
      </c>
      <c r="V98" s="158">
        <v>4247</v>
      </c>
      <c r="W98" s="5">
        <v>2311</v>
      </c>
      <c r="X98" s="159">
        <v>1936</v>
      </c>
      <c r="Y98">
        <v>4852</v>
      </c>
      <c r="Z98">
        <v>2588</v>
      </c>
      <c r="AA98" s="41">
        <v>2264</v>
      </c>
    </row>
    <row r="99" spans="18:27" ht="14.4" x14ac:dyDescent="0.3">
      <c r="R99" s="171">
        <v>93</v>
      </c>
      <c r="S99" s="40">
        <f t="shared" si="13"/>
        <v>684</v>
      </c>
      <c r="T99" s="9">
        <v>274</v>
      </c>
      <c r="U99" s="155">
        <v>410</v>
      </c>
      <c r="V99" s="158">
        <v>1752</v>
      </c>
      <c r="W99" s="5">
        <v>991</v>
      </c>
      <c r="X99" s="159">
        <v>761</v>
      </c>
      <c r="Y99">
        <v>2751</v>
      </c>
      <c r="Z99">
        <v>1492</v>
      </c>
      <c r="AA99" s="41">
        <v>1259</v>
      </c>
    </row>
    <row r="100" spans="18:27" ht="14.4" x14ac:dyDescent="0.3">
      <c r="R100" s="171">
        <v>94</v>
      </c>
      <c r="S100" s="40">
        <f t="shared" si="13"/>
        <v>310</v>
      </c>
      <c r="T100" s="9">
        <v>114</v>
      </c>
      <c r="U100" s="155">
        <v>196</v>
      </c>
      <c r="V100" s="158">
        <v>1548</v>
      </c>
      <c r="W100" s="5">
        <v>900</v>
      </c>
      <c r="X100" s="159">
        <v>648</v>
      </c>
      <c r="Y100">
        <v>2998</v>
      </c>
      <c r="Z100">
        <v>1587</v>
      </c>
      <c r="AA100" s="41">
        <v>1411</v>
      </c>
    </row>
    <row r="101" spans="18:27" ht="14.4" x14ac:dyDescent="0.3">
      <c r="R101" s="171">
        <v>95</v>
      </c>
      <c r="S101" s="40">
        <f t="shared" si="13"/>
        <v>6050</v>
      </c>
      <c r="T101" s="9">
        <v>3042</v>
      </c>
      <c r="U101" s="155">
        <v>3008</v>
      </c>
      <c r="V101" s="158">
        <v>10894</v>
      </c>
      <c r="W101" s="5">
        <v>5508</v>
      </c>
      <c r="X101" s="159">
        <v>5386</v>
      </c>
      <c r="Y101">
        <v>7956</v>
      </c>
      <c r="Z101">
        <v>3878</v>
      </c>
      <c r="AA101" s="41">
        <v>4078</v>
      </c>
    </row>
    <row r="102" spans="18:27" ht="14.4" x14ac:dyDescent="0.3">
      <c r="R102" s="171">
        <v>96</v>
      </c>
      <c r="S102" s="40">
        <f t="shared" ref="S102:S107" si="14">U102+T102</f>
        <v>977</v>
      </c>
      <c r="T102" s="9">
        <v>433</v>
      </c>
      <c r="U102" s="155">
        <v>544</v>
      </c>
      <c r="V102" s="158">
        <v>2058</v>
      </c>
      <c r="W102" s="5">
        <v>1150</v>
      </c>
      <c r="X102" s="159">
        <v>908</v>
      </c>
      <c r="Y102">
        <v>3368</v>
      </c>
      <c r="Z102">
        <v>1776</v>
      </c>
      <c r="AA102" s="41">
        <v>1592</v>
      </c>
    </row>
    <row r="103" spans="18:27" ht="14.4" x14ac:dyDescent="0.3">
      <c r="R103" s="171">
        <v>97</v>
      </c>
      <c r="S103" s="40">
        <f t="shared" si="14"/>
        <v>599</v>
      </c>
      <c r="T103" s="9">
        <v>261</v>
      </c>
      <c r="U103" s="155">
        <v>338</v>
      </c>
      <c r="V103" s="158">
        <v>1594</v>
      </c>
      <c r="W103" s="5">
        <v>864</v>
      </c>
      <c r="X103" s="159">
        <v>730</v>
      </c>
      <c r="Y103">
        <v>2187</v>
      </c>
      <c r="Z103">
        <v>1179</v>
      </c>
      <c r="AA103" s="41">
        <v>1008</v>
      </c>
    </row>
    <row r="104" spans="18:27" ht="14.4" x14ac:dyDescent="0.3">
      <c r="R104" s="171">
        <v>98</v>
      </c>
      <c r="S104" s="40">
        <f t="shared" si="14"/>
        <v>1530</v>
      </c>
      <c r="T104" s="9">
        <v>659</v>
      </c>
      <c r="U104" s="155">
        <v>871</v>
      </c>
      <c r="V104" s="158">
        <v>3793</v>
      </c>
      <c r="W104" s="5">
        <v>1969</v>
      </c>
      <c r="X104" s="159">
        <v>1824</v>
      </c>
      <c r="Y104">
        <v>3067</v>
      </c>
      <c r="Z104">
        <v>1562</v>
      </c>
      <c r="AA104" s="41">
        <v>1505</v>
      </c>
    </row>
    <row r="105" spans="18:27" ht="14.4" x14ac:dyDescent="0.3">
      <c r="R105" s="171">
        <v>99</v>
      </c>
      <c r="S105" s="40">
        <f t="shared" si="14"/>
        <v>2237</v>
      </c>
      <c r="T105" s="9">
        <v>931</v>
      </c>
      <c r="U105" s="155">
        <v>1306</v>
      </c>
      <c r="V105" s="158">
        <v>2305</v>
      </c>
      <c r="W105" s="5">
        <v>1193</v>
      </c>
      <c r="X105" s="159">
        <v>1112</v>
      </c>
      <c r="Y105">
        <v>1784</v>
      </c>
      <c r="Z105">
        <v>861</v>
      </c>
      <c r="AA105" s="41">
        <v>923</v>
      </c>
    </row>
    <row r="106" spans="18:27" ht="14.4" x14ac:dyDescent="0.3">
      <c r="R106" s="171" t="s">
        <v>8</v>
      </c>
      <c r="S106" s="40">
        <f t="shared" si="14"/>
        <v>4064</v>
      </c>
      <c r="T106" s="9">
        <v>2158</v>
      </c>
      <c r="U106" s="155">
        <v>1906</v>
      </c>
      <c r="V106" s="158">
        <v>3900</v>
      </c>
      <c r="W106" s="5">
        <v>1411</v>
      </c>
      <c r="X106" s="159">
        <v>2489</v>
      </c>
      <c r="Y106">
        <v>16289</v>
      </c>
      <c r="Z106">
        <v>7921</v>
      </c>
      <c r="AA106" s="41">
        <v>8368</v>
      </c>
    </row>
    <row r="107" spans="18:27" ht="15" thickBot="1" x14ac:dyDescent="0.35">
      <c r="R107" s="151" t="s">
        <v>66</v>
      </c>
      <c r="S107" s="36">
        <f t="shared" si="14"/>
        <v>158471</v>
      </c>
      <c r="T107" s="134">
        <v>67107</v>
      </c>
      <c r="U107" s="156">
        <v>91364</v>
      </c>
      <c r="V107" s="160">
        <v>62062</v>
      </c>
      <c r="W107" s="135">
        <v>34379</v>
      </c>
      <c r="X107" s="161">
        <v>27683</v>
      </c>
      <c r="Y107" s="37">
        <v>119171</v>
      </c>
      <c r="Z107" s="37">
        <v>61347</v>
      </c>
      <c r="AA107" s="38">
        <v>57824</v>
      </c>
    </row>
    <row r="108" spans="18:27" x14ac:dyDescent="0.3">
      <c r="R108" s="153"/>
    </row>
  </sheetData>
  <mergeCells count="20">
    <mergeCell ref="AQ29:AS29"/>
    <mergeCell ref="AT29:AV29"/>
    <mergeCell ref="AQ24:AS24"/>
    <mergeCell ref="AT24:AV24"/>
    <mergeCell ref="AN2:AP2"/>
    <mergeCell ref="AQ2:AS2"/>
    <mergeCell ref="AT2:AV2"/>
    <mergeCell ref="AW2:AY2"/>
    <mergeCell ref="AB24:AK24"/>
    <mergeCell ref="AB1:AK1"/>
    <mergeCell ref="B2:E2"/>
    <mergeCell ref="F2:I2"/>
    <mergeCell ref="J2:M2"/>
    <mergeCell ref="N2:Q2"/>
    <mergeCell ref="AC2:AE2"/>
    <mergeCell ref="AF2:AH2"/>
    <mergeCell ref="AI2:AK2"/>
    <mergeCell ref="Y2:AA2"/>
    <mergeCell ref="V2:X2"/>
    <mergeCell ref="S2:U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M85"/>
  <sheetViews>
    <sheetView tabSelected="1" zoomScale="68" zoomScaleNormal="130" workbookViewId="0">
      <selection activeCell="I24" sqref="I24"/>
    </sheetView>
  </sheetViews>
  <sheetFormatPr defaultRowHeight="14.4" x14ac:dyDescent="0.3"/>
  <cols>
    <col min="2" max="2" width="11.88671875" bestFit="1" customWidth="1"/>
    <col min="3" max="4" width="19.5546875" bestFit="1" customWidth="1"/>
    <col min="5" max="8" width="16.5546875" bestFit="1" customWidth="1"/>
    <col min="9" max="9" width="11.77734375" customWidth="1"/>
    <col min="10" max="10" width="10.5546875" customWidth="1"/>
    <col min="11" max="11" width="9.33203125" customWidth="1"/>
    <col min="12" max="16" width="11.88671875" bestFit="1" customWidth="1"/>
    <col min="17" max="17" width="11.33203125" bestFit="1" customWidth="1"/>
    <col min="30" max="30" width="8.5546875" bestFit="1" customWidth="1"/>
    <col min="31" max="31" width="6.6640625" bestFit="1" customWidth="1"/>
    <col min="32" max="32" width="10.44140625" bestFit="1" customWidth="1"/>
    <col min="33" max="33" width="10.44140625" customWidth="1"/>
    <col min="34" max="34" width="10.44140625" bestFit="1" customWidth="1"/>
    <col min="35" max="35" width="10.44140625" customWidth="1"/>
    <col min="36" max="36" width="10.44140625" bestFit="1" customWidth="1"/>
    <col min="37" max="37" width="10.44140625" customWidth="1"/>
    <col min="38" max="38" width="10.44140625" bestFit="1" customWidth="1"/>
  </cols>
  <sheetData>
    <row r="3" spans="2:21" x14ac:dyDescent="0.3">
      <c r="F3" s="50"/>
      <c r="G3" s="50"/>
      <c r="H3" s="50"/>
      <c r="I3" s="50"/>
      <c r="J3" s="50"/>
      <c r="K3" s="50"/>
      <c r="L3" s="50"/>
      <c r="M3" s="50"/>
      <c r="O3" s="49"/>
      <c r="P3" s="50"/>
      <c r="Q3" s="49"/>
      <c r="R3" s="50"/>
      <c r="S3" s="50"/>
      <c r="T3" s="50"/>
      <c r="U3" s="50"/>
    </row>
    <row r="4" spans="2:21" x14ac:dyDescent="0.3">
      <c r="F4" s="50"/>
      <c r="G4" s="51"/>
      <c r="H4" s="51"/>
      <c r="I4" s="51"/>
      <c r="J4" s="50"/>
      <c r="K4" s="51"/>
      <c r="L4" s="51"/>
      <c r="M4" s="51"/>
      <c r="N4" s="2"/>
      <c r="O4" s="51"/>
      <c r="P4" s="51"/>
      <c r="Q4" s="51"/>
      <c r="R4" s="50"/>
      <c r="S4" s="51"/>
      <c r="T4" s="51"/>
      <c r="U4" s="51"/>
    </row>
    <row r="5" spans="2:21" ht="15" thickBot="1" x14ac:dyDescent="0.35">
      <c r="N5" s="3"/>
    </row>
    <row r="6" spans="2:21" ht="15" thickBot="1" x14ac:dyDescent="0.35">
      <c r="B6" s="106" t="s">
        <v>0</v>
      </c>
      <c r="C6" s="103">
        <v>1961</v>
      </c>
      <c r="D6" s="103">
        <v>1991</v>
      </c>
      <c r="E6" s="103">
        <v>2001</v>
      </c>
      <c r="F6" s="103">
        <v>2011</v>
      </c>
      <c r="G6" s="104">
        <v>2021</v>
      </c>
      <c r="H6" s="104">
        <v>2026</v>
      </c>
      <c r="I6" s="103">
        <v>2031</v>
      </c>
      <c r="J6" s="105">
        <v>2036</v>
      </c>
    </row>
    <row r="7" spans="2:21" x14ac:dyDescent="0.3">
      <c r="B7" s="107" t="s">
        <v>82</v>
      </c>
      <c r="C7" s="15">
        <v>2.6513480791522586</v>
      </c>
      <c r="D7" s="53">
        <v>2.1288088699889602</v>
      </c>
      <c r="E7" s="53">
        <v>1.535740613660471</v>
      </c>
      <c r="F7" s="53">
        <v>1.6029345278240879</v>
      </c>
      <c r="G7" s="53">
        <v>1.5537464985994398</v>
      </c>
      <c r="H7" s="53">
        <v>1.4401764693405732</v>
      </c>
      <c r="I7" s="53">
        <v>1.326177500569842</v>
      </c>
      <c r="J7" s="56">
        <v>1.2259051504334524</v>
      </c>
    </row>
    <row r="8" spans="2:21" x14ac:dyDescent="0.3">
      <c r="B8" s="108" t="s">
        <v>68</v>
      </c>
      <c r="C8" s="15">
        <v>11.55588962368903</v>
      </c>
      <c r="D8" s="53">
        <v>9.327680049724588</v>
      </c>
      <c r="E8" s="53">
        <v>8.1904551224167648</v>
      </c>
      <c r="F8" s="53">
        <v>7.1248755257639544</v>
      </c>
      <c r="G8" s="53">
        <v>6.0333508403361344</v>
      </c>
      <c r="H8" s="53">
        <v>5.5889027933908837</v>
      </c>
      <c r="I8" s="53">
        <v>5.1492985764313399</v>
      </c>
      <c r="J8" s="56">
        <v>4.7547169811320753</v>
      </c>
    </row>
    <row r="9" spans="2:21" x14ac:dyDescent="0.3">
      <c r="B9" s="109" t="s">
        <v>75</v>
      </c>
      <c r="C9" s="15">
        <v>32.966293083926473</v>
      </c>
      <c r="D9" s="53">
        <v>33.609461395015593</v>
      </c>
      <c r="E9" s="53">
        <v>33.110339666236996</v>
      </c>
      <c r="F9" s="53">
        <v>29.503708358038637</v>
      </c>
      <c r="G9" s="53">
        <v>24.741771708683473</v>
      </c>
      <c r="H9" s="53">
        <v>22.65891785267355</v>
      </c>
      <c r="I9" s="53">
        <v>21.024057688721275</v>
      </c>
      <c r="J9" s="56">
        <v>19.740948495665478</v>
      </c>
    </row>
    <row r="10" spans="2:21" x14ac:dyDescent="0.3">
      <c r="B10" s="108" t="s">
        <v>77</v>
      </c>
      <c r="C10" s="15">
        <v>47.023346340504489</v>
      </c>
      <c r="D10" s="53">
        <v>47.714956605555628</v>
      </c>
      <c r="E10" s="53">
        <v>48.89213876492893</v>
      </c>
      <c r="F10" s="53">
        <v>52.248845879924588</v>
      </c>
      <c r="G10" s="53">
        <v>56.212797619047613</v>
      </c>
      <c r="H10" s="53">
        <v>57.265573631408152</v>
      </c>
      <c r="I10" s="53">
        <v>57.537454153629376</v>
      </c>
      <c r="J10" s="56">
        <v>57.244263131055583</v>
      </c>
    </row>
    <row r="11" spans="2:21" ht="15" thickBot="1" x14ac:dyDescent="0.35">
      <c r="B11" s="110" t="s">
        <v>30</v>
      </c>
      <c r="C11" s="101">
        <v>5.8031213904073811</v>
      </c>
      <c r="D11" s="102">
        <v>7.21909307971523</v>
      </c>
      <c r="E11" s="102">
        <v>8.2713258327568457</v>
      </c>
      <c r="F11" s="102">
        <v>9.5196357084487335</v>
      </c>
      <c r="G11" s="102">
        <v>11.460521708683473</v>
      </c>
      <c r="H11" s="102">
        <v>13.048550278914883</v>
      </c>
      <c r="I11" s="102">
        <v>14.965084232992808</v>
      </c>
      <c r="J11" s="58">
        <v>17.03212646608873</v>
      </c>
    </row>
    <row r="12" spans="2:21" x14ac:dyDescent="0.3">
      <c r="N12" s="3"/>
    </row>
    <row r="13" spans="2:21" x14ac:dyDescent="0.3">
      <c r="N13" s="3"/>
    </row>
    <row r="14" spans="2:21" x14ac:dyDescent="0.3">
      <c r="N14" s="3"/>
    </row>
    <row r="15" spans="2:21" x14ac:dyDescent="0.3">
      <c r="J15" s="3"/>
    </row>
    <row r="16" spans="2:21" ht="15" thickBot="1" x14ac:dyDescent="0.35"/>
    <row r="17" spans="2:11" x14ac:dyDescent="0.3">
      <c r="B17" s="52" t="s">
        <v>0</v>
      </c>
      <c r="C17" s="66">
        <v>1961</v>
      </c>
      <c r="D17" s="66">
        <v>1971</v>
      </c>
      <c r="E17" s="66">
        <v>1991</v>
      </c>
      <c r="F17" s="66">
        <v>2001</v>
      </c>
      <c r="G17" s="66">
        <v>2011</v>
      </c>
      <c r="H17" s="66">
        <v>2021</v>
      </c>
      <c r="I17" s="66">
        <v>2026</v>
      </c>
      <c r="J17" s="66">
        <v>2031</v>
      </c>
      <c r="K17" s="67">
        <v>2036</v>
      </c>
    </row>
    <row r="18" spans="2:11" x14ac:dyDescent="0.3">
      <c r="B18" s="68" t="s">
        <v>27</v>
      </c>
      <c r="C18" s="64">
        <v>14.221466411307643</v>
      </c>
      <c r="D18" s="64">
        <v>14.242848619699727</v>
      </c>
      <c r="E18" s="65">
        <v>11.456488919713548</v>
      </c>
      <c r="F18" s="65">
        <v>9.7097949009717777</v>
      </c>
      <c r="G18" s="65">
        <v>8.70303051268281</v>
      </c>
      <c r="H18" s="65">
        <v>7.5870973389355738</v>
      </c>
      <c r="I18" s="65">
        <v>7.0290792627314564</v>
      </c>
      <c r="J18" s="65">
        <v>6.475476077001181</v>
      </c>
      <c r="K18" s="69">
        <v>5.9806221315655277</v>
      </c>
    </row>
    <row r="19" spans="2:11" x14ac:dyDescent="0.3">
      <c r="B19" s="68" t="s">
        <v>69</v>
      </c>
      <c r="C19" s="64">
        <v>24.887095422752861</v>
      </c>
      <c r="D19" s="64">
        <v>28.115623223297696</v>
      </c>
      <c r="E19" s="65">
        <v>24.357190876329497</v>
      </c>
      <c r="F19" s="65">
        <v>23.459570065312381</v>
      </c>
      <c r="G19" s="65">
        <v>20.068016514327912</v>
      </c>
      <c r="H19" s="65">
        <v>16.056109943977592</v>
      </c>
      <c r="I19" s="65">
        <v>14.732644706980297</v>
      </c>
      <c r="J19" s="65">
        <v>13.800534615304919</v>
      </c>
      <c r="K19" s="69">
        <v>12.907700152983173</v>
      </c>
    </row>
    <row r="20" spans="2:11" x14ac:dyDescent="0.3">
      <c r="B20" s="68" t="s">
        <v>80</v>
      </c>
      <c r="C20" s="64">
        <v>55.182654525870397</v>
      </c>
      <c r="D20" s="64">
        <v>51.62032424597632</v>
      </c>
      <c r="E20" s="65">
        <v>56.967227124241724</v>
      </c>
      <c r="F20" s="65">
        <v>58.404631370049337</v>
      </c>
      <c r="G20" s="65">
        <v>61.452430156054362</v>
      </c>
      <c r="H20" s="65">
        <v>64.898459383753504</v>
      </c>
      <c r="I20" s="65">
        <v>65.191846777101404</v>
      </c>
      <c r="J20" s="65">
        <v>64.760977227045728</v>
      </c>
      <c r="K20" s="69">
        <v>64.0775114737379</v>
      </c>
    </row>
    <row r="21" spans="2:11" ht="15" thickBot="1" x14ac:dyDescent="0.35">
      <c r="B21" s="70" t="s">
        <v>30</v>
      </c>
      <c r="C21" s="71">
        <v>5.7087830351332487</v>
      </c>
      <c r="D21" s="71">
        <v>6.0212042619797987</v>
      </c>
      <c r="E21" s="72">
        <v>7.21909307971523</v>
      </c>
      <c r="F21" s="72">
        <v>8.257378277642017</v>
      </c>
      <c r="G21" s="72">
        <v>9.492608057641478</v>
      </c>
      <c r="H21" s="72">
        <v>11.460521708683473</v>
      </c>
      <c r="I21" s="72">
        <v>13.048550278914883</v>
      </c>
      <c r="J21" s="72">
        <v>14.965084232992808</v>
      </c>
      <c r="K21" s="73">
        <v>17.03212646608873</v>
      </c>
    </row>
    <row r="29" spans="2:11" x14ac:dyDescent="0.3">
      <c r="G29">
        <f>(G33-K33)/G33*100</f>
        <v>34.349548465107866</v>
      </c>
    </row>
    <row r="31" spans="2:11" ht="15" thickBot="1" x14ac:dyDescent="0.35"/>
    <row r="32" spans="2:11" ht="15" thickBot="1" x14ac:dyDescent="0.35">
      <c r="B32" s="98" t="s">
        <v>0</v>
      </c>
      <c r="C32" s="96">
        <v>1961</v>
      </c>
      <c r="D32" s="96">
        <v>1981</v>
      </c>
      <c r="E32" s="96">
        <v>1991</v>
      </c>
      <c r="F32" s="96">
        <v>2001</v>
      </c>
      <c r="G32" s="96">
        <v>2011</v>
      </c>
      <c r="H32" s="96">
        <v>2021</v>
      </c>
      <c r="I32" s="96">
        <v>2026</v>
      </c>
      <c r="J32" s="96">
        <v>2031</v>
      </c>
      <c r="K32" s="97">
        <v>2036</v>
      </c>
    </row>
    <row r="33" spans="2:39" x14ac:dyDescent="0.3">
      <c r="B33" s="89" t="s">
        <v>81</v>
      </c>
      <c r="C33" s="80">
        <v>39.049890676572119</v>
      </c>
      <c r="D33" s="80">
        <v>39.656719640691321</v>
      </c>
      <c r="E33" s="80">
        <v>35.926941346641158</v>
      </c>
      <c r="F33" s="80">
        <v>33.169364966284157</v>
      </c>
      <c r="G33" s="80">
        <v>28.771047027010724</v>
      </c>
      <c r="H33" s="80">
        <v>23.643207282913167</v>
      </c>
      <c r="I33" s="80">
        <v>21.761723969711753</v>
      </c>
      <c r="J33" s="80">
        <v>20.276010692306098</v>
      </c>
      <c r="K33" s="86">
        <v>18.8883222845487</v>
      </c>
    </row>
    <row r="34" spans="2:39" x14ac:dyDescent="0.3">
      <c r="B34" s="89" t="s">
        <v>14</v>
      </c>
      <c r="C34" s="80">
        <v>8.1000437293711514</v>
      </c>
      <c r="D34" s="80">
        <v>9.8315858172067632</v>
      </c>
      <c r="E34" s="80">
        <v>9.5608795392819932</v>
      </c>
      <c r="F34" s="80">
        <v>9.5949371628484013</v>
      </c>
      <c r="G34" s="80">
        <v>9.3519264611433623</v>
      </c>
      <c r="H34" s="80">
        <v>8.6856617647058822</v>
      </c>
      <c r="I34" s="80">
        <v>7.9262731456932576</v>
      </c>
      <c r="J34" s="80">
        <v>7.2235230734163576</v>
      </c>
      <c r="K34" s="86">
        <v>6.833248342682305</v>
      </c>
    </row>
    <row r="35" spans="2:39" x14ac:dyDescent="0.3">
      <c r="B35" s="89" t="s">
        <v>15</v>
      </c>
      <c r="C35" s="80">
        <v>8.4001749174846019</v>
      </c>
      <c r="D35" s="80">
        <v>8.0521094089400176</v>
      </c>
      <c r="E35" s="80">
        <v>8.96733829577955</v>
      </c>
      <c r="F35" s="80">
        <v>8.6679050968002418</v>
      </c>
      <c r="G35" s="80">
        <v>9.0139308849065394</v>
      </c>
      <c r="H35" s="80">
        <v>8.8979341736694675</v>
      </c>
      <c r="I35" s="80">
        <v>8.2720003393641157</v>
      </c>
      <c r="J35" s="80">
        <v>7.602726952485547</v>
      </c>
      <c r="K35" s="86">
        <v>6.976032636409994</v>
      </c>
    </row>
    <row r="36" spans="2:39" x14ac:dyDescent="0.3">
      <c r="B36" s="89" t="s">
        <v>16</v>
      </c>
      <c r="C36" s="80">
        <v>8.6999999999999993</v>
      </c>
      <c r="D36" s="80">
        <v>7.4631411649793904</v>
      </c>
      <c r="E36" s="80">
        <v>8.4874496309910086</v>
      </c>
      <c r="F36" s="80">
        <v>8.4471776128348974</v>
      </c>
      <c r="G36" s="80">
        <v>8.5148387993791808</v>
      </c>
      <c r="H36" s="80">
        <v>8.4908963585434183</v>
      </c>
      <c r="I36" s="80">
        <v>8.5074341951767867</v>
      </c>
      <c r="J36" s="80">
        <v>7.9715700698315333</v>
      </c>
      <c r="K36" s="86">
        <v>7.3839877613462512</v>
      </c>
    </row>
    <row r="37" spans="2:39" x14ac:dyDescent="0.3">
      <c r="B37" s="89" t="s">
        <v>17</v>
      </c>
      <c r="C37" s="80">
        <v>7.349934405943273</v>
      </c>
      <c r="D37" s="80">
        <v>6.1768242321831579</v>
      </c>
      <c r="E37" s="80">
        <v>6.9069511970392305</v>
      </c>
      <c r="F37" s="80">
        <v>7.5017674392318794</v>
      </c>
      <c r="G37" s="80">
        <v>7.3926118170921011</v>
      </c>
      <c r="H37" s="80">
        <v>8.0291491596638664</v>
      </c>
      <c r="I37" s="80">
        <v>8.1214075126731284</v>
      </c>
      <c r="J37" s="80">
        <v>8.209867589465178</v>
      </c>
      <c r="K37" s="86">
        <v>7.7531871494135647</v>
      </c>
      <c r="AF37">
        <v>2021</v>
      </c>
      <c r="AH37">
        <v>2026</v>
      </c>
      <c r="AJ37">
        <v>2031</v>
      </c>
      <c r="AL37">
        <v>2036</v>
      </c>
    </row>
    <row r="38" spans="2:39" x14ac:dyDescent="0.3">
      <c r="B38" s="89" t="s">
        <v>18</v>
      </c>
      <c r="C38" s="80">
        <v>5.9998688118865475</v>
      </c>
      <c r="D38" s="80">
        <v>6.1822868797372346</v>
      </c>
      <c r="E38" s="80">
        <v>6.4113234817712881</v>
      </c>
      <c r="F38" s="80">
        <v>7.2381703838590008</v>
      </c>
      <c r="G38" s="80">
        <v>7.2691955809635331</v>
      </c>
      <c r="H38" s="80">
        <v>7.4733018207282909</v>
      </c>
      <c r="I38" s="80">
        <v>7.6759921097842927</v>
      </c>
      <c r="J38" s="80">
        <v>7.8348080150852688</v>
      </c>
      <c r="K38" s="86">
        <v>7.9836817950025489</v>
      </c>
      <c r="AD38" s="172"/>
      <c r="AE38" s="100"/>
    </row>
    <row r="39" spans="2:39" x14ac:dyDescent="0.3">
      <c r="B39" s="89" t="s">
        <v>19</v>
      </c>
      <c r="C39" s="80">
        <v>5.4499781353144243</v>
      </c>
      <c r="D39" s="80">
        <v>5.3190216519622817</v>
      </c>
      <c r="E39" s="80">
        <v>5.0634442775552033</v>
      </c>
      <c r="F39" s="80">
        <v>5.6042794580903621</v>
      </c>
      <c r="G39" s="80">
        <v>6.4122076080130901</v>
      </c>
      <c r="H39" s="80">
        <v>6.8189775910364139</v>
      </c>
      <c r="I39" s="80">
        <v>7.1393726005896454</v>
      </c>
      <c r="J39" s="80">
        <v>7.397583870366149</v>
      </c>
      <c r="K39" s="86">
        <v>7.6124426313105564</v>
      </c>
      <c r="AD39" s="172" t="s">
        <v>112</v>
      </c>
      <c r="AE39" s="100" t="s">
        <v>109</v>
      </c>
      <c r="AF39">
        <v>15200913</v>
      </c>
      <c r="AG39" s="53">
        <f>(AF39/AF$43)*100</f>
        <v>32.081879604950579</v>
      </c>
      <c r="AH39">
        <v>14848355</v>
      </c>
      <c r="AI39" s="53">
        <f>(AH39/AH$43)*100</f>
        <v>29.975840833221241</v>
      </c>
      <c r="AJ39">
        <v>14812586</v>
      </c>
      <c r="AK39" s="53">
        <f>(AJ39/AJ$43)*100</f>
        <v>28.848006137690497</v>
      </c>
      <c r="AL39">
        <v>14630630</v>
      </c>
      <c r="AM39" s="53">
        <f>(AL39/AL$43)*100</f>
        <v>27.729471778014876</v>
      </c>
    </row>
    <row r="40" spans="2:39" x14ac:dyDescent="0.3">
      <c r="B40" s="89" t="s">
        <v>20</v>
      </c>
      <c r="C40" s="80">
        <v>4.2499344059432733</v>
      </c>
      <c r="D40" s="80">
        <v>4.5913932042540067</v>
      </c>
      <c r="E40" s="80">
        <v>4.5879935297836445</v>
      </c>
      <c r="F40" s="80">
        <v>4.7707246854066847</v>
      </c>
      <c r="G40" s="80">
        <v>5.5606277167569864</v>
      </c>
      <c r="H40" s="80">
        <v>6.2718837535014007</v>
      </c>
      <c r="I40" s="80">
        <v>6.4733705219844309</v>
      </c>
      <c r="J40" s="80">
        <v>6.840174889657888</v>
      </c>
      <c r="K40" s="86">
        <v>7.1514533401325853</v>
      </c>
      <c r="AD40" s="172" t="s">
        <v>112</v>
      </c>
      <c r="AE40" s="100" t="s">
        <v>110</v>
      </c>
      <c r="AF40">
        <v>12262933</v>
      </c>
      <c r="AG40" s="53">
        <f t="shared" ref="AG40:AI43" si="0">(AF40/AF$43)*100</f>
        <v>25.881204642745825</v>
      </c>
      <c r="AH40">
        <v>12517871</v>
      </c>
      <c r="AI40" s="53">
        <f t="shared" si="0"/>
        <v>25.271062596954074</v>
      </c>
      <c r="AJ40">
        <v>12154654</v>
      </c>
      <c r="AK40" s="53">
        <f t="shared" ref="AK40" si="1">(AJ40/AJ$43)*100</f>
        <v>23.67159476363576</v>
      </c>
      <c r="AL40">
        <v>11304794</v>
      </c>
      <c r="AM40" s="53">
        <f t="shared" ref="AM40" si="2">(AL40/AL$43)*100</f>
        <v>21.426006001058866</v>
      </c>
    </row>
    <row r="41" spans="2:39" x14ac:dyDescent="0.3">
      <c r="B41" s="89" t="s">
        <v>21</v>
      </c>
      <c r="C41" s="80">
        <v>4.3999562706288495</v>
      </c>
      <c r="D41" s="80">
        <v>3.8632184917903234</v>
      </c>
      <c r="E41" s="80">
        <v>3.9986711644754589</v>
      </c>
      <c r="F41" s="80">
        <v>3.6520945988904665</v>
      </c>
      <c r="G41" s="80">
        <v>4.4022547364670377</v>
      </c>
      <c r="H41" s="80">
        <v>5.5803571428571432</v>
      </c>
      <c r="I41" s="80">
        <v>5.8985725496850279</v>
      </c>
      <c r="J41" s="80">
        <v>6.1480760065480009</v>
      </c>
      <c r="K41" s="86">
        <v>6.5578786333503309</v>
      </c>
      <c r="AD41" s="172" t="s">
        <v>112</v>
      </c>
      <c r="AE41" s="100" t="s">
        <v>111</v>
      </c>
      <c r="AF41">
        <v>14671407</v>
      </c>
      <c r="AG41" s="53">
        <f t="shared" si="0"/>
        <v>30.964344905416478</v>
      </c>
      <c r="AH41">
        <v>16010207</v>
      </c>
      <c r="AI41" s="53">
        <f t="shared" si="0"/>
        <v>32.32138622351934</v>
      </c>
      <c r="AJ41">
        <v>17178735</v>
      </c>
      <c r="AK41" s="53">
        <f t="shared" ref="AK41" si="3">(AJ41/AJ$43)*100</f>
        <v>33.456160370495638</v>
      </c>
      <c r="AL41">
        <v>18435642</v>
      </c>
      <c r="AM41" s="53">
        <f t="shared" ref="AM41" si="4">(AL41/AL$43)*100</f>
        <v>34.941121096534175</v>
      </c>
    </row>
    <row r="42" spans="2:39" x14ac:dyDescent="0.3">
      <c r="B42" s="89" t="s">
        <v>22</v>
      </c>
      <c r="C42" s="80">
        <v>2.4499781353144248</v>
      </c>
      <c r="D42" s="80">
        <v>2.4719125078089306</v>
      </c>
      <c r="E42" s="80">
        <v>2.8481681608659213</v>
      </c>
      <c r="F42" s="80">
        <v>2.9275749320874045</v>
      </c>
      <c r="G42" s="80">
        <v>3.5348365513325346</v>
      </c>
      <c r="H42" s="80">
        <v>4.6502976190476195</v>
      </c>
      <c r="I42" s="80">
        <v>5.1774238021507202</v>
      </c>
      <c r="J42" s="80">
        <v>5.5326467601898095</v>
      </c>
      <c r="K42" s="86">
        <v>5.8255991840897501</v>
      </c>
      <c r="AD42" s="172" t="s">
        <v>112</v>
      </c>
      <c r="AE42" s="100" t="s">
        <v>30</v>
      </c>
      <c r="AF42">
        <v>5246363</v>
      </c>
      <c r="AG42" s="53">
        <f t="shared" si="0"/>
        <v>11.072570846887112</v>
      </c>
      <c r="AH42">
        <v>6157974</v>
      </c>
      <c r="AI42" s="53">
        <f t="shared" si="0"/>
        <v>12.431710346305348</v>
      </c>
      <c r="AJ42">
        <v>7201026</v>
      </c>
      <c r="AK42" s="53">
        <f t="shared" ref="AK42" si="5">(AJ42/AJ$43)*100</f>
        <v>14.024238728178107</v>
      </c>
      <c r="AL42">
        <v>8390956</v>
      </c>
      <c r="AM42" s="53">
        <f t="shared" ref="AM42" si="6">(AL42/AL$43)*100</f>
        <v>15.903401124392087</v>
      </c>
    </row>
    <row r="43" spans="2:39" ht="15" thickBot="1" x14ac:dyDescent="0.35">
      <c r="B43" s="88" t="s">
        <v>30</v>
      </c>
      <c r="C43" s="94">
        <v>5.7002186468557543</v>
      </c>
      <c r="D43" s="94">
        <v>6.3917870004465716</v>
      </c>
      <c r="E43" s="94">
        <v>7.21909307971523</v>
      </c>
      <c r="F43" s="94">
        <v>8.2573782776420153</v>
      </c>
      <c r="G43" s="94">
        <v>9.4926080576414797</v>
      </c>
      <c r="H43" s="94">
        <v>11.460521708683475</v>
      </c>
      <c r="I43" s="94">
        <v>13.048550278914885</v>
      </c>
      <c r="J43" s="94">
        <v>14.965084232992808</v>
      </c>
      <c r="K43" s="84">
        <v>17.032126466088734</v>
      </c>
      <c r="AD43" s="172" t="s">
        <v>112</v>
      </c>
      <c r="AE43" s="176" t="s">
        <v>1</v>
      </c>
      <c r="AF43">
        <v>47381616</v>
      </c>
      <c r="AG43" s="53">
        <f t="shared" si="0"/>
        <v>100</v>
      </c>
      <c r="AH43">
        <v>49534407</v>
      </c>
      <c r="AI43" s="53">
        <f t="shared" si="0"/>
        <v>100</v>
      </c>
      <c r="AJ43">
        <v>51347001</v>
      </c>
      <c r="AK43" s="53">
        <f t="shared" ref="AK43" si="7">(AJ43/AJ$43)*100</f>
        <v>100</v>
      </c>
      <c r="AL43">
        <v>52762022</v>
      </c>
      <c r="AM43" s="53">
        <f t="shared" ref="AM43" si="8">(AL43/AL$43)*100</f>
        <v>100</v>
      </c>
    </row>
    <row r="45" spans="2:39" ht="15" thickBot="1" x14ac:dyDescent="0.35">
      <c r="AE45" s="100" t="s">
        <v>109</v>
      </c>
    </row>
    <row r="46" spans="2:39" ht="15" thickBot="1" x14ac:dyDescent="0.35">
      <c r="B46" s="204" t="s">
        <v>0</v>
      </c>
      <c r="C46" s="205">
        <v>1961</v>
      </c>
      <c r="D46" s="206">
        <v>1971</v>
      </c>
      <c r="E46" s="205">
        <v>1981</v>
      </c>
      <c r="F46" s="205">
        <v>1991</v>
      </c>
      <c r="G46" s="205">
        <v>2001</v>
      </c>
      <c r="H46" s="48">
        <v>2011</v>
      </c>
      <c r="I46" s="201">
        <v>2021</v>
      </c>
      <c r="J46" s="201">
        <v>2026</v>
      </c>
      <c r="K46" s="201">
        <v>2031</v>
      </c>
      <c r="L46" s="201">
        <v>2036</v>
      </c>
    </row>
    <row r="47" spans="2:39" x14ac:dyDescent="0.3">
      <c r="B47" s="207" t="s">
        <v>109</v>
      </c>
      <c r="C47" s="203">
        <v>47.14993440594327</v>
      </c>
      <c r="D47" s="202">
        <v>50.47</v>
      </c>
      <c r="E47" s="203">
        <v>49.488305457898086</v>
      </c>
      <c r="F47" s="203">
        <v>45.487820885923099</v>
      </c>
      <c r="G47" s="203">
        <v>42.76430212913256</v>
      </c>
      <c r="H47" s="200">
        <v>38.122973488154088</v>
      </c>
      <c r="I47" s="65">
        <v>32.081879604950579</v>
      </c>
      <c r="J47" s="65">
        <v>29.975840833221241</v>
      </c>
      <c r="K47" s="65">
        <v>28.848006137690497</v>
      </c>
      <c r="L47" s="65">
        <v>27.729471778014876</v>
      </c>
    </row>
    <row r="48" spans="2:39" x14ac:dyDescent="0.3">
      <c r="B48" s="68" t="s">
        <v>110</v>
      </c>
      <c r="C48" s="200">
        <v>24.450109323427874</v>
      </c>
      <c r="D48" s="42">
        <v>21.240000000000002</v>
      </c>
      <c r="E48" s="200">
        <v>21.692074806102568</v>
      </c>
      <c r="F48" s="200">
        <v>24.361739123809787</v>
      </c>
      <c r="G48" s="200">
        <v>24.616850148867019</v>
      </c>
      <c r="H48" s="200">
        <v>24.921381501377823</v>
      </c>
      <c r="I48" s="65">
        <v>25.881204642745825</v>
      </c>
      <c r="J48" s="65">
        <v>25.271062596954074</v>
      </c>
      <c r="K48" s="65">
        <v>23.67159476363576</v>
      </c>
      <c r="L48" s="65">
        <v>21.426006001058866</v>
      </c>
    </row>
    <row r="49" spans="2:12" x14ac:dyDescent="0.3">
      <c r="B49" s="68" t="s">
        <v>111</v>
      </c>
      <c r="C49" s="200">
        <v>22.549715759087519</v>
      </c>
      <c r="D49" s="42">
        <v>22.25</v>
      </c>
      <c r="E49" s="200">
        <v>22.427832735552776</v>
      </c>
      <c r="F49" s="200">
        <v>22.909600614451517</v>
      </c>
      <c r="G49" s="200">
        <v>24.192844058333918</v>
      </c>
      <c r="H49" s="200">
        <v>27.179122193533185</v>
      </c>
      <c r="I49" s="65">
        <v>30.964344905416478</v>
      </c>
      <c r="J49" s="65">
        <v>32.32138622351934</v>
      </c>
      <c r="K49" s="65">
        <v>33.456160370495638</v>
      </c>
      <c r="L49" s="65">
        <v>34.941121096534175</v>
      </c>
    </row>
    <row r="50" spans="2:12" ht="15" thickBot="1" x14ac:dyDescent="0.35">
      <c r="B50" s="70" t="s">
        <v>30</v>
      </c>
      <c r="C50" s="208">
        <v>5.7002186468557543</v>
      </c>
      <c r="D50" s="209">
        <v>6.02</v>
      </c>
      <c r="E50" s="208">
        <v>6.3917870004465716</v>
      </c>
      <c r="F50" s="208">
        <v>7.21909307971523</v>
      </c>
      <c r="G50" s="208">
        <v>8.2573782776420153</v>
      </c>
      <c r="H50" s="200">
        <v>9.4926080576414797</v>
      </c>
      <c r="I50" s="65">
        <v>11.072570846887112</v>
      </c>
      <c r="J50" s="65">
        <v>12.431710346305348</v>
      </c>
      <c r="K50" s="65">
        <v>14.024238728178107</v>
      </c>
      <c r="L50" s="65">
        <v>15.903401124392087</v>
      </c>
    </row>
    <row r="53" spans="2:12" ht="15" thickBot="1" x14ac:dyDescent="0.35"/>
    <row r="54" spans="2:12" x14ac:dyDescent="0.3">
      <c r="B54" s="119"/>
      <c r="C54" s="120" t="s">
        <v>1</v>
      </c>
      <c r="D54" s="120" t="s">
        <v>26</v>
      </c>
      <c r="E54" s="121" t="s">
        <v>11</v>
      </c>
      <c r="F54" s="118" t="s">
        <v>83</v>
      </c>
    </row>
    <row r="55" spans="2:12" x14ac:dyDescent="0.3">
      <c r="B55" s="122">
        <v>1951</v>
      </c>
      <c r="C55" s="123">
        <v>14645946</v>
      </c>
      <c r="D55" s="124">
        <v>7242892</v>
      </c>
      <c r="E55" s="125">
        <v>7403054</v>
      </c>
      <c r="F55" s="80">
        <f>(E55/C55)*100</f>
        <v>50.54677929305489</v>
      </c>
    </row>
    <row r="56" spans="2:12" x14ac:dyDescent="0.3">
      <c r="B56" s="122">
        <v>1961</v>
      </c>
      <c r="C56" s="124">
        <f>D56+E56</f>
        <v>17548846</v>
      </c>
      <c r="D56" s="126">
        <v>8770586</v>
      </c>
      <c r="E56" s="127">
        <v>8778260</v>
      </c>
      <c r="F56" s="80">
        <f t="shared" ref="F56:F64" si="9">(E56/C56)*100</f>
        <v>50.021864685575338</v>
      </c>
    </row>
    <row r="57" spans="2:12" x14ac:dyDescent="0.3">
      <c r="B57" s="122">
        <v>1971</v>
      </c>
      <c r="C57" s="126">
        <v>21944615</v>
      </c>
      <c r="D57" s="126">
        <v>11041083</v>
      </c>
      <c r="E57" s="127">
        <v>10903532</v>
      </c>
      <c r="F57" s="80">
        <f t="shared" si="9"/>
        <v>49.686595094058383</v>
      </c>
    </row>
    <row r="58" spans="2:12" x14ac:dyDescent="0.3">
      <c r="B58" s="122">
        <v>1981</v>
      </c>
      <c r="C58" s="124">
        <f>D58+E58</f>
        <v>26370271</v>
      </c>
      <c r="D58" s="124">
        <v>13309786</v>
      </c>
      <c r="E58" s="125">
        <v>13060485</v>
      </c>
      <c r="F58" s="80">
        <f t="shared" si="9"/>
        <v>49.527306715960563</v>
      </c>
    </row>
    <row r="59" spans="2:12" x14ac:dyDescent="0.3">
      <c r="B59" s="122">
        <v>1991</v>
      </c>
      <c r="C59" s="124">
        <f>E59+D59</f>
        <v>31659736</v>
      </c>
      <c r="D59" s="124">
        <v>15595590</v>
      </c>
      <c r="E59" s="125">
        <v>16064146</v>
      </c>
      <c r="F59" s="80">
        <f t="shared" si="9"/>
        <v>50.739987219097472</v>
      </c>
    </row>
    <row r="60" spans="2:12" x14ac:dyDescent="0.3">
      <c r="B60" s="122">
        <v>2001</v>
      </c>
      <c r="C60" s="124">
        <v>36804660</v>
      </c>
      <c r="D60" s="124">
        <v>18660570</v>
      </c>
      <c r="E60" s="125">
        <v>18144090</v>
      </c>
      <c r="F60" s="80">
        <f t="shared" si="9"/>
        <v>49.298349719845255</v>
      </c>
      <c r="I60" t="s">
        <v>98</v>
      </c>
    </row>
    <row r="61" spans="2:12" x14ac:dyDescent="0.3">
      <c r="B61" s="122">
        <v>2011</v>
      </c>
      <c r="C61" s="124">
        <v>41974218</v>
      </c>
      <c r="D61" s="124">
        <v>21212136</v>
      </c>
      <c r="E61" s="125">
        <v>20762082</v>
      </c>
      <c r="F61" s="80">
        <f t="shared" si="9"/>
        <v>49.463892335051959</v>
      </c>
      <c r="H61" s="16">
        <f>C61-C60</f>
        <v>5169558</v>
      </c>
      <c r="I61">
        <f>H61/C60*100</f>
        <v>14.045933313879274</v>
      </c>
    </row>
    <row r="62" spans="2:12" x14ac:dyDescent="0.3">
      <c r="B62" s="122">
        <v>2021</v>
      </c>
      <c r="C62" s="128">
        <v>45696000</v>
      </c>
      <c r="D62" s="128">
        <v>23003000</v>
      </c>
      <c r="E62" s="129">
        <v>22693000</v>
      </c>
      <c r="F62" s="80">
        <f t="shared" si="9"/>
        <v>49.660801820728288</v>
      </c>
      <c r="H62" s="16">
        <f>C62-C61</f>
        <v>3721782</v>
      </c>
      <c r="I62">
        <f>H62/C61*100</f>
        <v>8.8668286804056731</v>
      </c>
    </row>
    <row r="63" spans="2:12" x14ac:dyDescent="0.3">
      <c r="B63" s="122">
        <v>2031</v>
      </c>
      <c r="C63" s="128">
        <v>48259000</v>
      </c>
      <c r="D63" s="128">
        <v>24204000</v>
      </c>
      <c r="E63" s="129">
        <v>24055000</v>
      </c>
      <c r="F63" s="80">
        <f t="shared" si="9"/>
        <v>49.845624650324297</v>
      </c>
      <c r="H63" s="16">
        <f>C63-C62</f>
        <v>2563000</v>
      </c>
      <c r="I63">
        <f>H63/C62*100</f>
        <v>5.608806022408964</v>
      </c>
    </row>
    <row r="64" spans="2:12" ht="15" thickBot="1" x14ac:dyDescent="0.35">
      <c r="B64" s="130">
        <v>2036</v>
      </c>
      <c r="C64" s="131">
        <v>49025000</v>
      </c>
      <c r="D64" s="131">
        <v>24542000</v>
      </c>
      <c r="E64" s="132">
        <v>24483000</v>
      </c>
      <c r="F64" s="80">
        <f t="shared" si="9"/>
        <v>49.939826619071901</v>
      </c>
      <c r="H64" s="16">
        <f>C64-C63</f>
        <v>766000</v>
      </c>
      <c r="I64">
        <f>H64/C63*100</f>
        <v>1.5872686959945295</v>
      </c>
    </row>
    <row r="68" spans="2:12" ht="15" thickBot="1" x14ac:dyDescent="0.35"/>
    <row r="69" spans="2:12" ht="15" thickBot="1" x14ac:dyDescent="0.35">
      <c r="B69" s="180" t="s">
        <v>0</v>
      </c>
      <c r="C69" s="103">
        <v>1961</v>
      </c>
      <c r="D69" s="103">
        <v>1971</v>
      </c>
      <c r="E69" s="103">
        <v>1981</v>
      </c>
      <c r="F69" s="103">
        <v>1991</v>
      </c>
      <c r="G69" s="103">
        <v>2001</v>
      </c>
      <c r="H69" s="103">
        <v>2011</v>
      </c>
      <c r="I69" s="103">
        <v>2021</v>
      </c>
      <c r="J69" s="103">
        <v>2026</v>
      </c>
      <c r="K69" s="103">
        <v>2031</v>
      </c>
      <c r="L69" s="105">
        <v>2036</v>
      </c>
    </row>
    <row r="70" spans="2:12" x14ac:dyDescent="0.3">
      <c r="B70" s="40" t="s">
        <v>27</v>
      </c>
      <c r="C70" s="46">
        <v>14.221466411307643</v>
      </c>
      <c r="D70" s="46">
        <v>14.242848619699727</v>
      </c>
      <c r="E70" s="227">
        <v>39.659999999999997</v>
      </c>
      <c r="F70" s="53">
        <v>11.456488919713548</v>
      </c>
      <c r="G70" s="53">
        <v>9.7097949009717777</v>
      </c>
      <c r="H70" s="53">
        <v>8.70303051268281</v>
      </c>
      <c r="I70" s="53">
        <v>7.5870973389355738</v>
      </c>
      <c r="J70" s="53">
        <v>7.0290792627314564</v>
      </c>
      <c r="K70" s="53">
        <v>6.475476077001181</v>
      </c>
      <c r="L70" s="56">
        <v>5.9806221315655277</v>
      </c>
    </row>
    <row r="71" spans="2:12" x14ac:dyDescent="0.3">
      <c r="B71" s="40" t="s">
        <v>69</v>
      </c>
      <c r="C71" s="46">
        <v>24.887095422752861</v>
      </c>
      <c r="D71" s="46">
        <v>28.115623223297696</v>
      </c>
      <c r="E71" s="228"/>
      <c r="F71" s="53">
        <v>24.357190876329497</v>
      </c>
      <c r="G71" s="53">
        <v>23.459570065312381</v>
      </c>
      <c r="H71" s="53">
        <v>20.068016514327912</v>
      </c>
      <c r="I71" s="53">
        <v>16.056109943977592</v>
      </c>
      <c r="J71" s="53">
        <v>14.732644706980297</v>
      </c>
      <c r="K71" s="53">
        <v>13.800534615304919</v>
      </c>
      <c r="L71" s="56">
        <v>12.907700152983173</v>
      </c>
    </row>
    <row r="72" spans="2:12" x14ac:dyDescent="0.3">
      <c r="B72" s="40" t="s">
        <v>99</v>
      </c>
      <c r="C72">
        <v>16.5</v>
      </c>
      <c r="D72">
        <v>15.12</v>
      </c>
      <c r="E72">
        <v>17.88</v>
      </c>
      <c r="F72">
        <v>18.53</v>
      </c>
      <c r="G72">
        <v>18.260000000000002</v>
      </c>
      <c r="H72">
        <v>18.37</v>
      </c>
      <c r="I72">
        <v>17.579999999999998</v>
      </c>
      <c r="J72">
        <v>16.2</v>
      </c>
      <c r="K72">
        <v>14.83</v>
      </c>
      <c r="L72" s="41">
        <v>13.81</v>
      </c>
    </row>
    <row r="73" spans="2:12" x14ac:dyDescent="0.3">
      <c r="B73" s="40" t="s">
        <v>100</v>
      </c>
      <c r="C73" s="80">
        <v>38.599650165030788</v>
      </c>
      <c r="D73" s="80">
        <v>36.067798132715325</v>
      </c>
      <c r="E73">
        <v>36.07</v>
      </c>
      <c r="F73" s="80">
        <v>38.304001442481756</v>
      </c>
      <c r="G73" s="80">
        <v>40.141789110400687</v>
      </c>
      <c r="H73" s="80">
        <v>43.086572810004462</v>
      </c>
      <c r="I73" s="80">
        <v>47.314863445378158</v>
      </c>
      <c r="J73" s="80">
        <v>48.993573292044033</v>
      </c>
      <c r="K73" s="80">
        <v>49.934727201143829</v>
      </c>
      <c r="L73" s="86">
        <v>50.268230494645593</v>
      </c>
    </row>
    <row r="74" spans="2:12" ht="15" thickBot="1" x14ac:dyDescent="0.35">
      <c r="B74" s="36" t="s">
        <v>30</v>
      </c>
      <c r="C74" s="94">
        <v>5.7002186468557543</v>
      </c>
      <c r="D74" s="94">
        <v>6.3917870004465716</v>
      </c>
      <c r="E74" s="94">
        <v>6.3917870004465716</v>
      </c>
      <c r="F74" s="94">
        <v>7.21909307971523</v>
      </c>
      <c r="G74" s="94">
        <v>8.2573782776420153</v>
      </c>
      <c r="H74" s="94">
        <v>9.4926080576414797</v>
      </c>
      <c r="I74" s="94">
        <v>11.460521708683475</v>
      </c>
      <c r="J74" s="94">
        <v>13.048550278914885</v>
      </c>
      <c r="K74" s="94">
        <v>14.965084232992808</v>
      </c>
      <c r="L74" s="84">
        <v>17.032126466088734</v>
      </c>
    </row>
    <row r="75" spans="2:12" x14ac:dyDescent="0.3">
      <c r="C75" s="80"/>
      <c r="D75" s="80"/>
      <c r="E75" s="80"/>
      <c r="F75" s="80"/>
      <c r="G75" s="80"/>
      <c r="H75" s="80"/>
      <c r="I75" s="80"/>
      <c r="J75" s="80"/>
      <c r="K75" s="80"/>
    </row>
    <row r="76" spans="2:12" ht="15" thickBot="1" x14ac:dyDescent="0.35"/>
    <row r="77" spans="2:12" ht="15" thickBot="1" x14ac:dyDescent="0.35">
      <c r="B77" s="180" t="s">
        <v>0</v>
      </c>
      <c r="C77" s="103">
        <v>1961</v>
      </c>
      <c r="D77" s="103">
        <v>1971</v>
      </c>
      <c r="E77" s="103">
        <v>1991</v>
      </c>
      <c r="F77" s="103">
        <v>2001</v>
      </c>
      <c r="G77" s="103">
        <v>2011</v>
      </c>
      <c r="H77" s="103">
        <v>2021</v>
      </c>
      <c r="I77" s="103">
        <v>2026</v>
      </c>
      <c r="J77" s="103">
        <v>2031</v>
      </c>
      <c r="K77" s="105">
        <v>2036</v>
      </c>
    </row>
    <row r="78" spans="2:12" x14ac:dyDescent="0.3">
      <c r="B78" s="40" t="s">
        <v>27</v>
      </c>
      <c r="C78" s="16">
        <f>(C70*17548846)/100</f>
        <v>2495703.2394621051</v>
      </c>
      <c r="D78" s="16">
        <f>(D70*21944615)/100</f>
        <v>3125538.2946259188</v>
      </c>
      <c r="E78" s="16">
        <f>(F70*31659736)/100</f>
        <v>3627094.1468505617</v>
      </c>
      <c r="F78" s="16">
        <f>(G70*36804660)/100</f>
        <v>3573656.9999999995</v>
      </c>
      <c r="G78" s="16">
        <f>(H70*41974218)/100</f>
        <v>3653029.0000000005</v>
      </c>
      <c r="H78" s="16">
        <f>(I70*45696000)/100</f>
        <v>3467000</v>
      </c>
      <c r="I78" s="16">
        <f>(J70*47147000)/100</f>
        <v>3314000</v>
      </c>
      <c r="J78" s="16">
        <f>(K70*48259000)/100</f>
        <v>3125000</v>
      </c>
      <c r="K78" s="198">
        <f>(L70*49025000)/100</f>
        <v>2932000</v>
      </c>
    </row>
    <row r="79" spans="2:12" x14ac:dyDescent="0.3">
      <c r="B79" s="40" t="s">
        <v>69</v>
      </c>
      <c r="C79" s="16">
        <f t="shared" ref="C79:C82" si="10">(C71*17548846)/100</f>
        <v>4367398.0496119484</v>
      </c>
      <c r="D79" s="16">
        <f t="shared" ref="D79:D82" si="11">(D71*21944615)/100</f>
        <v>6169865.2712032702</v>
      </c>
      <c r="E79" s="16">
        <f>(F71*31659736)/100</f>
        <v>7711422.3284620056</v>
      </c>
      <c r="F79" s="16">
        <f>(G71*36804660)/100</f>
        <v>8634215</v>
      </c>
      <c r="G79" s="16">
        <f>(H71*41974218)/100</f>
        <v>8423392.9999999981</v>
      </c>
      <c r="H79" s="16">
        <f>(I71*45696000)/100</f>
        <v>7337000</v>
      </c>
      <c r="I79" s="16">
        <f>(J71*47147000)/100</f>
        <v>6946000.0000000009</v>
      </c>
      <c r="J79" s="16">
        <f>(K71*48259000)/100</f>
        <v>6660000.0000000009</v>
      </c>
      <c r="K79" s="198">
        <f>(L71*49025000)/100</f>
        <v>6328000</v>
      </c>
    </row>
    <row r="80" spans="2:12" x14ac:dyDescent="0.3">
      <c r="B80" s="40" t="s">
        <v>99</v>
      </c>
      <c r="C80" s="16">
        <f t="shared" si="10"/>
        <v>2895559.59</v>
      </c>
      <c r="D80" s="16">
        <f t="shared" si="11"/>
        <v>3318025.7880000002</v>
      </c>
      <c r="E80" s="16">
        <f>(F72*31659736)/100</f>
        <v>5866549.0808000006</v>
      </c>
      <c r="F80" s="16">
        <f>(G72*36804660)/100</f>
        <v>6720530.9160000002</v>
      </c>
      <c r="G80" s="16">
        <f>(H72*41974218)/100</f>
        <v>7710663.8466000007</v>
      </c>
      <c r="H80" s="16">
        <f>(I72*45696000)/100</f>
        <v>8033356.7999999989</v>
      </c>
      <c r="I80" s="16">
        <f>(J72*47147000)/100</f>
        <v>7637814</v>
      </c>
      <c r="J80" s="16">
        <f>(K72*48259000)/100</f>
        <v>7156809.7000000002</v>
      </c>
      <c r="K80" s="198">
        <f>(L72*49025000)/100</f>
        <v>6770352.5</v>
      </c>
    </row>
    <row r="81" spans="2:13" x14ac:dyDescent="0.3">
      <c r="B81" s="40" t="s">
        <v>100</v>
      </c>
      <c r="C81" s="16">
        <f t="shared" si="10"/>
        <v>6773793.1639999989</v>
      </c>
      <c r="D81" s="16">
        <f t="shared" si="11"/>
        <v>7914939.4392015673</v>
      </c>
      <c r="E81" s="16">
        <f>(F73*31659736)/100</f>
        <v>12126945.734125914</v>
      </c>
      <c r="F81" s="16">
        <f>(G73*36804660)/100</f>
        <v>14774048.999999998</v>
      </c>
      <c r="G81" s="16">
        <f>(H73*41974218)/100</f>
        <v>18085251.999999996</v>
      </c>
      <c r="H81" s="16">
        <f>(I73*45696000)/100</f>
        <v>21621000.000000004</v>
      </c>
      <c r="I81" s="16">
        <f>(J73*47147000)/100</f>
        <v>23099000</v>
      </c>
      <c r="J81" s="16">
        <f>(K73*48259000)/100</f>
        <v>24098000</v>
      </c>
      <c r="K81" s="198">
        <f>(L73*49025000)/100</f>
        <v>24644000</v>
      </c>
    </row>
    <row r="82" spans="2:13" ht="15" thickBot="1" x14ac:dyDescent="0.35">
      <c r="B82" s="36" t="s">
        <v>30</v>
      </c>
      <c r="C82" s="168">
        <f t="shared" si="10"/>
        <v>1000322.5920000002</v>
      </c>
      <c r="D82" s="168">
        <f t="shared" si="11"/>
        <v>1402653.0488680485</v>
      </c>
      <c r="E82" s="168">
        <f>(F74*31659736)/100</f>
        <v>2285545.8106321115</v>
      </c>
      <c r="F82" s="168">
        <f>(G74*36804660)/100</f>
        <v>3039100</v>
      </c>
      <c r="G82" s="168">
        <f>(H74*41974218)/100</f>
        <v>3984448.0000000005</v>
      </c>
      <c r="H82" s="168">
        <f>(I74*45696000)/100</f>
        <v>5237000.0000000009</v>
      </c>
      <c r="I82" s="168">
        <f>(J74*47147000)/100</f>
        <v>6152000.0000000009</v>
      </c>
      <c r="J82" s="168">
        <f>(K74*48259000)/100</f>
        <v>7221999.9999999991</v>
      </c>
      <c r="K82" s="199">
        <f>(L74*49025000)/100</f>
        <v>8350000.0000000009</v>
      </c>
    </row>
    <row r="83" spans="2:13" x14ac:dyDescent="0.3">
      <c r="C83" s="16">
        <f>SUM(C78:C82)</f>
        <v>17532776.635074053</v>
      </c>
      <c r="D83" s="16">
        <f t="shared" ref="D83:J83" si="12">SUM(D78:D82)</f>
        <v>21931021.841898806</v>
      </c>
      <c r="E83" s="16">
        <f>SUM(E78:E82)</f>
        <v>31617557.100870594</v>
      </c>
      <c r="F83" s="16">
        <f t="shared" si="12"/>
        <v>36741551.916000001</v>
      </c>
      <c r="G83" s="16">
        <f t="shared" si="12"/>
        <v>41856785.846599996</v>
      </c>
      <c r="H83" s="16">
        <f t="shared" si="12"/>
        <v>45695356.799999997</v>
      </c>
      <c r="I83" s="16">
        <f t="shared" si="12"/>
        <v>47148814</v>
      </c>
      <c r="J83" s="16">
        <f t="shared" si="12"/>
        <v>48261809.700000003</v>
      </c>
      <c r="K83" s="16">
        <f>SUM(K78:K82)</f>
        <v>49024352.5</v>
      </c>
    </row>
    <row r="84" spans="2:13" x14ac:dyDescent="0.3">
      <c r="G84" s="16">
        <f>((G83-C83)/C83)*100</f>
        <v>138.73449549836923</v>
      </c>
      <c r="H84" s="16">
        <f>((H83-G83)/G83)*100</f>
        <v>9.1707255484639809</v>
      </c>
      <c r="I84" s="16">
        <f>((I83-G83)/G83)*100</f>
        <v>12.643178510635385</v>
      </c>
      <c r="J84" s="16">
        <f>((J83-G83)/G83)*100</f>
        <v>15.302235285990751</v>
      </c>
      <c r="K84" s="16">
        <f>((K83-G83)/G83)*100</f>
        <v>17.124025432024954</v>
      </c>
    </row>
    <row r="85" spans="2:13" x14ac:dyDescent="0.3">
      <c r="M85" s="29"/>
    </row>
  </sheetData>
  <mergeCells count="1">
    <mergeCell ref="E70:E7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7CEE-4366-48E1-B286-D9A2BD589ABE}">
  <dimension ref="B2:Q15"/>
  <sheetViews>
    <sheetView workbookViewId="0">
      <selection activeCell="F13" sqref="F13"/>
    </sheetView>
  </sheetViews>
  <sheetFormatPr defaultRowHeight="14.4" x14ac:dyDescent="0.3"/>
  <cols>
    <col min="2" max="2" width="13.5546875" customWidth="1"/>
    <col min="3" max="3" width="16.21875" customWidth="1"/>
    <col min="4" max="4" width="16.88671875" customWidth="1"/>
    <col min="11" max="11" width="8.88671875" customWidth="1"/>
  </cols>
  <sheetData>
    <row r="2" spans="2:17" x14ac:dyDescent="0.3">
      <c r="B2" s="246" t="s">
        <v>78</v>
      </c>
      <c r="C2" s="246"/>
      <c r="D2" s="246"/>
    </row>
    <row r="3" spans="2:17" s="49" customFormat="1" ht="15" thickBot="1" x14ac:dyDescent="0.35">
      <c r="B3" s="48" t="s">
        <v>0</v>
      </c>
      <c r="C3" s="48" t="s">
        <v>72</v>
      </c>
      <c r="D3" s="48"/>
      <c r="E3" s="49" t="s">
        <v>26</v>
      </c>
      <c r="F3" s="49" t="s">
        <v>11</v>
      </c>
      <c r="K3" s="49" t="s">
        <v>102</v>
      </c>
    </row>
    <row r="4" spans="2:17" x14ac:dyDescent="0.3">
      <c r="B4" s="42" t="s">
        <v>7</v>
      </c>
      <c r="C4" s="42">
        <v>100</v>
      </c>
      <c r="D4" s="45">
        <v>14645946</v>
      </c>
      <c r="E4">
        <v>7242892</v>
      </c>
      <c r="F4">
        <v>7403054</v>
      </c>
      <c r="K4" s="195"/>
      <c r="L4" s="236" t="s">
        <v>105</v>
      </c>
      <c r="M4" s="238"/>
      <c r="N4" s="236" t="s">
        <v>106</v>
      </c>
      <c r="O4" s="238"/>
      <c r="P4" s="236" t="s">
        <v>107</v>
      </c>
      <c r="Q4" s="238"/>
    </row>
    <row r="5" spans="2:17" ht="15" thickBot="1" x14ac:dyDescent="0.35">
      <c r="B5" s="42" t="s">
        <v>67</v>
      </c>
      <c r="C5" s="42">
        <v>2.8</v>
      </c>
      <c r="D5" s="44">
        <f t="shared" ref="D5:D11" si="0">(D$4*C5)/100</f>
        <v>410086.48799999995</v>
      </c>
      <c r="G5" s="42"/>
      <c r="K5" s="196" t="s">
        <v>0</v>
      </c>
      <c r="L5" s="151" t="s">
        <v>26</v>
      </c>
      <c r="M5" s="197" t="s">
        <v>11</v>
      </c>
      <c r="N5" s="151" t="s">
        <v>26</v>
      </c>
      <c r="O5" s="197" t="s">
        <v>11</v>
      </c>
      <c r="P5" s="151" t="s">
        <v>26</v>
      </c>
      <c r="Q5" s="197" t="s">
        <v>11</v>
      </c>
    </row>
    <row r="6" spans="2:17" x14ac:dyDescent="0.3">
      <c r="B6" s="42" t="s">
        <v>68</v>
      </c>
      <c r="C6" s="42">
        <v>9.8000000000000007</v>
      </c>
      <c r="D6" s="44">
        <f t="shared" si="0"/>
        <v>1435302.7080000001</v>
      </c>
      <c r="F6" s="40"/>
      <c r="G6" s="42"/>
      <c r="K6" s="192">
        <v>0</v>
      </c>
      <c r="L6" s="172">
        <v>1000</v>
      </c>
      <c r="M6" s="175">
        <v>1000</v>
      </c>
      <c r="N6" s="172">
        <v>0</v>
      </c>
      <c r="O6" s="175">
        <v>0</v>
      </c>
      <c r="P6" s="172">
        <v>0</v>
      </c>
      <c r="Q6" s="175">
        <v>0</v>
      </c>
    </row>
    <row r="7" spans="2:17" x14ac:dyDescent="0.3">
      <c r="B7" s="47" t="s">
        <v>69</v>
      </c>
      <c r="C7" s="42">
        <v>24.4</v>
      </c>
      <c r="D7" s="44">
        <f t="shared" si="0"/>
        <v>3573610.8239999996</v>
      </c>
      <c r="F7" s="40"/>
      <c r="G7" s="42"/>
      <c r="K7" s="193" t="s">
        <v>68</v>
      </c>
      <c r="L7" s="172">
        <v>1000</v>
      </c>
      <c r="M7" s="175">
        <v>1000</v>
      </c>
      <c r="N7" s="172">
        <v>0</v>
      </c>
      <c r="O7" s="175">
        <v>0</v>
      </c>
      <c r="P7" s="172">
        <v>0</v>
      </c>
      <c r="Q7" s="175">
        <v>0</v>
      </c>
    </row>
    <row r="8" spans="2:17" x14ac:dyDescent="0.3">
      <c r="B8" s="42" t="s">
        <v>73</v>
      </c>
      <c r="C8" s="42">
        <v>32.299999999999997</v>
      </c>
      <c r="D8" s="44">
        <f t="shared" si="0"/>
        <v>4730640.5579999993</v>
      </c>
      <c r="F8" s="40"/>
      <c r="K8" s="192" t="s">
        <v>69</v>
      </c>
      <c r="L8" s="172">
        <v>943</v>
      </c>
      <c r="M8" s="175">
        <v>880</v>
      </c>
      <c r="N8" s="172">
        <v>55</v>
      </c>
      <c r="O8" s="175">
        <v>117</v>
      </c>
      <c r="P8" s="172">
        <v>2</v>
      </c>
      <c r="Q8" s="175">
        <v>3</v>
      </c>
    </row>
    <row r="9" spans="2:17" ht="15" thickBot="1" x14ac:dyDescent="0.35">
      <c r="B9" s="42" t="s">
        <v>74</v>
      </c>
      <c r="C9" s="42">
        <v>12.8</v>
      </c>
      <c r="D9" s="44">
        <f t="shared" si="0"/>
        <v>1874681.0880000002</v>
      </c>
      <c r="F9" s="36"/>
      <c r="K9" s="192" t="s">
        <v>99</v>
      </c>
      <c r="L9" s="172">
        <v>537</v>
      </c>
      <c r="M9" s="175">
        <v>223</v>
      </c>
      <c r="N9" s="172">
        <v>451</v>
      </c>
      <c r="O9" s="175">
        <v>743</v>
      </c>
      <c r="P9" s="172">
        <v>12</v>
      </c>
      <c r="Q9" s="175">
        <v>34</v>
      </c>
    </row>
    <row r="10" spans="2:17" x14ac:dyDescent="0.3">
      <c r="B10" s="42" t="s">
        <v>71</v>
      </c>
      <c r="C10" s="42">
        <v>9</v>
      </c>
      <c r="D10" s="44">
        <f t="shared" si="0"/>
        <v>1318135.1399999999</v>
      </c>
      <c r="K10" s="192" t="s">
        <v>103</v>
      </c>
      <c r="L10" s="172">
        <v>101</v>
      </c>
      <c r="M10" s="175">
        <v>37</v>
      </c>
      <c r="N10" s="172">
        <v>868</v>
      </c>
      <c r="O10" s="175">
        <v>882</v>
      </c>
      <c r="P10" s="172">
        <v>31</v>
      </c>
      <c r="Q10" s="175">
        <v>81</v>
      </c>
    </row>
    <row r="11" spans="2:17" x14ac:dyDescent="0.3">
      <c r="B11" s="42" t="s">
        <v>70</v>
      </c>
      <c r="C11" s="42">
        <v>8.8000000000000007</v>
      </c>
      <c r="D11" s="44">
        <f t="shared" si="0"/>
        <v>1288843.2480000001</v>
      </c>
      <c r="K11" s="192" t="s">
        <v>74</v>
      </c>
      <c r="L11" s="172">
        <v>27</v>
      </c>
      <c r="M11" s="175">
        <v>21</v>
      </c>
      <c r="N11" s="172">
        <v>919</v>
      </c>
      <c r="O11" s="175">
        <v>785</v>
      </c>
      <c r="P11" s="172">
        <v>54</v>
      </c>
      <c r="Q11" s="175">
        <v>194</v>
      </c>
    </row>
    <row r="12" spans="2:17" ht="15" thickBot="1" x14ac:dyDescent="0.35">
      <c r="D12" s="15"/>
      <c r="K12" s="194" t="s">
        <v>104</v>
      </c>
      <c r="L12" s="191">
        <v>18</v>
      </c>
      <c r="M12" s="177">
        <v>15</v>
      </c>
      <c r="N12" s="191">
        <v>840</v>
      </c>
      <c r="O12" s="177">
        <v>500</v>
      </c>
      <c r="P12" s="191">
        <v>142</v>
      </c>
      <c r="Q12" s="177">
        <v>485</v>
      </c>
    </row>
    <row r="13" spans="2:17" x14ac:dyDescent="0.3">
      <c r="D13" s="15"/>
    </row>
    <row r="14" spans="2:17" x14ac:dyDescent="0.3">
      <c r="D14" s="15"/>
    </row>
    <row r="15" spans="2:17" x14ac:dyDescent="0.3">
      <c r="D15" s="15"/>
    </row>
  </sheetData>
  <mergeCells count="4">
    <mergeCell ref="B2:D2"/>
    <mergeCell ref="L4:M4"/>
    <mergeCell ref="N4:O4"/>
    <mergeCell ref="P4:Q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41AF9-0799-4611-B29E-972C779628FA}">
  <dimension ref="B1:Q30"/>
  <sheetViews>
    <sheetView workbookViewId="0">
      <selection activeCell="N21" sqref="N21"/>
    </sheetView>
  </sheetViews>
  <sheetFormatPr defaultRowHeight="14.4" x14ac:dyDescent="0.3"/>
  <cols>
    <col min="5" max="6" width="12.33203125" bestFit="1" customWidth="1"/>
    <col min="7" max="7" width="11.44140625" bestFit="1" customWidth="1"/>
    <col min="8" max="8" width="11.44140625" customWidth="1"/>
    <col min="12" max="12" width="11.44140625" bestFit="1" customWidth="1"/>
    <col min="16" max="16" width="11.44140625" bestFit="1" customWidth="1"/>
  </cols>
  <sheetData>
    <row r="1" spans="2:17" x14ac:dyDescent="0.3">
      <c r="C1" s="246" t="s">
        <v>72</v>
      </c>
      <c r="D1" s="246"/>
      <c r="E1" s="246" t="s">
        <v>79</v>
      </c>
      <c r="F1" s="246"/>
    </row>
    <row r="2" spans="2:17" x14ac:dyDescent="0.3">
      <c r="B2" s="42"/>
      <c r="C2" s="17" t="s">
        <v>64</v>
      </c>
      <c r="D2" s="17" t="s">
        <v>65</v>
      </c>
      <c r="E2" s="17" t="s">
        <v>64</v>
      </c>
      <c r="F2" s="17" t="s">
        <v>65</v>
      </c>
      <c r="G2" s="79" t="s">
        <v>1</v>
      </c>
      <c r="H2" s="100" t="s">
        <v>101</v>
      </c>
    </row>
    <row r="3" spans="2:17" ht="16.2" thickBot="1" x14ac:dyDescent="0.35">
      <c r="B3" s="42" t="s">
        <v>10</v>
      </c>
      <c r="C3" s="42">
        <v>1000</v>
      </c>
      <c r="D3" s="42">
        <v>1000</v>
      </c>
      <c r="E3" s="43">
        <v>8770586</v>
      </c>
      <c r="F3" s="43">
        <v>8778260</v>
      </c>
      <c r="G3" s="60">
        <f>E3+F3</f>
        <v>17548846</v>
      </c>
      <c r="H3" s="60">
        <f>(F3/E3)*1000</f>
        <v>1000.8749700419106</v>
      </c>
    </row>
    <row r="4" spans="2:17" ht="15" thickBot="1" x14ac:dyDescent="0.35">
      <c r="B4" s="42">
        <v>0</v>
      </c>
      <c r="C4" s="42">
        <v>26</v>
      </c>
      <c r="D4" s="42">
        <v>27</v>
      </c>
      <c r="E4" s="44">
        <f t="shared" ref="E4:E23" si="0">(E$3*C4)/1000</f>
        <v>228035.236</v>
      </c>
      <c r="F4" s="44">
        <f t="shared" ref="F4:F23" si="1">(F$3*D4)/1000</f>
        <v>237013.02</v>
      </c>
      <c r="G4" s="60">
        <f t="shared" ref="G4:G23" si="2">E4+F4</f>
        <v>465048.25599999999</v>
      </c>
      <c r="H4" s="60">
        <f t="shared" ref="H4:H23" si="3">(F4/E4)*1000</f>
        <v>1039.3701611973684</v>
      </c>
      <c r="I4" s="15">
        <f>(G4/17548846)*100</f>
        <v>2.6500218646855753</v>
      </c>
      <c r="K4" s="32" t="s">
        <v>0</v>
      </c>
      <c r="L4" s="77">
        <v>1961</v>
      </c>
      <c r="M4" s="59"/>
    </row>
    <row r="5" spans="2:17" x14ac:dyDescent="0.3">
      <c r="B5" s="42">
        <v>1</v>
      </c>
      <c r="C5" s="42">
        <v>27</v>
      </c>
      <c r="D5" s="42">
        <v>27</v>
      </c>
      <c r="E5" s="44">
        <f t="shared" si="0"/>
        <v>236805.82199999999</v>
      </c>
      <c r="F5" s="44">
        <f t="shared" si="1"/>
        <v>237013.02</v>
      </c>
      <c r="G5" s="60">
        <f t="shared" si="2"/>
        <v>473818.84199999995</v>
      </c>
      <c r="H5" s="60">
        <f t="shared" si="3"/>
        <v>1000.8749700419106</v>
      </c>
      <c r="I5" s="15">
        <f t="shared" ref="I5:I23" si="4">(G5/17548846)*100</f>
        <v>2.6999999999999997</v>
      </c>
      <c r="K5" s="54" t="s">
        <v>37</v>
      </c>
      <c r="L5" s="60">
        <v>465048.25599999999</v>
      </c>
      <c r="M5" s="75">
        <f>(L5/17540068)*100</f>
        <v>2.6513480791522586</v>
      </c>
      <c r="O5" s="32" t="s">
        <v>0</v>
      </c>
      <c r="P5" s="77">
        <v>1961</v>
      </c>
      <c r="Q5" s="59"/>
    </row>
    <row r="6" spans="2:17" x14ac:dyDescent="0.3">
      <c r="B6" s="42">
        <v>2</v>
      </c>
      <c r="C6" s="42">
        <v>30</v>
      </c>
      <c r="D6" s="42">
        <v>31</v>
      </c>
      <c r="E6" s="44">
        <f t="shared" si="0"/>
        <v>263117.58</v>
      </c>
      <c r="F6" s="44">
        <f t="shared" si="1"/>
        <v>272126.06</v>
      </c>
      <c r="G6" s="60">
        <f t="shared" si="2"/>
        <v>535243.64</v>
      </c>
      <c r="H6" s="60">
        <f t="shared" si="3"/>
        <v>1034.2374690433073</v>
      </c>
      <c r="I6" s="15">
        <f t="shared" si="4"/>
        <v>3.0500218646855757</v>
      </c>
      <c r="K6" s="40" t="s">
        <v>68</v>
      </c>
      <c r="L6" s="60">
        <f>SUM(G5:G8)</f>
        <v>2026910.898</v>
      </c>
      <c r="M6" s="75">
        <f t="shared" ref="M6:M9" si="5">(L6/17540068)*100</f>
        <v>11.55588962368903</v>
      </c>
      <c r="O6" s="40" t="s">
        <v>27</v>
      </c>
      <c r="P6" s="60">
        <f>SUM(G4:G8)</f>
        <v>2491959.1539999996</v>
      </c>
      <c r="Q6" s="62">
        <f>(P6/17522519)*100</f>
        <v>14.221466411307643</v>
      </c>
    </row>
    <row r="7" spans="2:17" x14ac:dyDescent="0.3">
      <c r="B7" s="42">
        <v>3</v>
      </c>
      <c r="C7" s="42">
        <v>28</v>
      </c>
      <c r="D7" s="42">
        <v>31</v>
      </c>
      <c r="E7" s="44">
        <f t="shared" si="0"/>
        <v>245576.408</v>
      </c>
      <c r="F7" s="44">
        <f t="shared" si="1"/>
        <v>272126.06</v>
      </c>
      <c r="G7" s="60">
        <f t="shared" si="2"/>
        <v>517702.46799999999</v>
      </c>
      <c r="H7" s="60">
        <f t="shared" si="3"/>
        <v>1108.1115739749723</v>
      </c>
      <c r="I7" s="15">
        <f t="shared" si="4"/>
        <v>2.950065594056726</v>
      </c>
      <c r="K7" s="57" t="s">
        <v>75</v>
      </c>
      <c r="L7" s="60">
        <f>SUM(G9:G11)</f>
        <v>5782310.2240000004</v>
      </c>
      <c r="M7" s="75">
        <f t="shared" si="5"/>
        <v>32.966293083926473</v>
      </c>
      <c r="O7" s="40" t="s">
        <v>69</v>
      </c>
      <c r="P7" s="60">
        <f>SUM(G9:G10)</f>
        <v>4360846.0240000002</v>
      </c>
      <c r="Q7" s="62">
        <f t="shared" ref="Q7:Q10" si="6">(P7/17522519)*100</f>
        <v>24.887095422752861</v>
      </c>
    </row>
    <row r="8" spans="2:17" x14ac:dyDescent="0.3">
      <c r="B8" s="42">
        <v>4</v>
      </c>
      <c r="C8" s="42">
        <v>28</v>
      </c>
      <c r="D8" s="42">
        <v>29</v>
      </c>
      <c r="E8" s="44">
        <f t="shared" si="0"/>
        <v>245576.408</v>
      </c>
      <c r="F8" s="44">
        <f t="shared" si="1"/>
        <v>254569.54</v>
      </c>
      <c r="G8" s="60">
        <f t="shared" si="2"/>
        <v>500145.94799999997</v>
      </c>
      <c r="H8" s="60">
        <f t="shared" si="3"/>
        <v>1036.6205046862644</v>
      </c>
      <c r="I8" s="15">
        <f t="shared" si="4"/>
        <v>2.8500218646855751</v>
      </c>
      <c r="K8" s="40" t="s">
        <v>77</v>
      </c>
      <c r="L8" s="60">
        <f>SUM(G12:G19)</f>
        <v>8247926.9239999987</v>
      </c>
      <c r="M8" s="75">
        <f t="shared" si="5"/>
        <v>47.023346340504489</v>
      </c>
      <c r="O8" s="40" t="s">
        <v>80</v>
      </c>
      <c r="P8" s="60">
        <f>SUM(G11:G19)</f>
        <v>9669391.1240000017</v>
      </c>
      <c r="Q8" s="62">
        <f t="shared" si="6"/>
        <v>55.182654525870397</v>
      </c>
    </row>
    <row r="9" spans="2:17" ht="15" thickBot="1" x14ac:dyDescent="0.35">
      <c r="B9" s="42" t="s">
        <v>28</v>
      </c>
      <c r="C9" s="42">
        <v>143</v>
      </c>
      <c r="D9" s="42">
        <v>145</v>
      </c>
      <c r="E9" s="44">
        <f t="shared" si="0"/>
        <v>1254193.798</v>
      </c>
      <c r="F9" s="44">
        <f t="shared" si="1"/>
        <v>1272847.7</v>
      </c>
      <c r="G9" s="60">
        <f t="shared" si="2"/>
        <v>2527041.4979999997</v>
      </c>
      <c r="H9" s="60">
        <f t="shared" si="3"/>
        <v>1014.873221371168</v>
      </c>
      <c r="I9" s="15">
        <f t="shared" si="4"/>
        <v>14.400043729371149</v>
      </c>
      <c r="K9" s="36" t="s">
        <v>30</v>
      </c>
      <c r="L9" s="60">
        <f>SUM(G20:G23)</f>
        <v>1017871.4380000001</v>
      </c>
      <c r="M9" s="75">
        <f t="shared" si="5"/>
        <v>5.8031213904073811</v>
      </c>
      <c r="O9" s="36" t="s">
        <v>30</v>
      </c>
      <c r="P9" s="60">
        <f>SUM(G20:G22)</f>
        <v>1000322.5920000001</v>
      </c>
      <c r="Q9" s="62">
        <f t="shared" si="6"/>
        <v>5.7087830351332487</v>
      </c>
    </row>
    <row r="10" spans="2:17" ht="15" thickBot="1" x14ac:dyDescent="0.35">
      <c r="B10" s="42" t="s">
        <v>29</v>
      </c>
      <c r="C10" s="42">
        <v>111</v>
      </c>
      <c r="D10" s="42">
        <v>98</v>
      </c>
      <c r="E10" s="44">
        <f t="shared" si="0"/>
        <v>973535.04599999997</v>
      </c>
      <c r="F10" s="44">
        <f t="shared" si="1"/>
        <v>860269.48</v>
      </c>
      <c r="G10" s="60">
        <f t="shared" si="2"/>
        <v>1833804.5260000001</v>
      </c>
      <c r="H10" s="60">
        <f t="shared" si="3"/>
        <v>883.65537895592104</v>
      </c>
      <c r="I10" s="15">
        <f t="shared" si="4"/>
        <v>10.449715759087521</v>
      </c>
      <c r="K10" s="36"/>
      <c r="L10" s="78">
        <f>SUM(L5:L9)</f>
        <v>17540067.739999998</v>
      </c>
      <c r="M10" s="76">
        <f>(L10/17540068)*100</f>
        <v>99.999998517679629</v>
      </c>
      <c r="O10" s="36"/>
      <c r="P10" s="78">
        <f>SUM(P6:P9)</f>
        <v>17522518.894000001</v>
      </c>
      <c r="Q10" s="63">
        <f t="shared" si="6"/>
        <v>99.999999395064151</v>
      </c>
    </row>
    <row r="11" spans="2:17" ht="15" thickBot="1" x14ac:dyDescent="0.35">
      <c r="B11" s="42" t="s">
        <v>14</v>
      </c>
      <c r="C11" s="42">
        <v>80</v>
      </c>
      <c r="D11" s="42">
        <v>82</v>
      </c>
      <c r="E11" s="44">
        <f t="shared" si="0"/>
        <v>701646.88</v>
      </c>
      <c r="F11" s="44">
        <f t="shared" si="1"/>
        <v>719817.32</v>
      </c>
      <c r="G11" s="60">
        <f t="shared" si="2"/>
        <v>1421464.2</v>
      </c>
      <c r="H11" s="60">
        <f t="shared" si="3"/>
        <v>1025.8968442929581</v>
      </c>
      <c r="I11" s="15">
        <f t="shared" si="4"/>
        <v>8.1000437293711514</v>
      </c>
    </row>
    <row r="12" spans="2:17" ht="15" thickBot="1" x14ac:dyDescent="0.35">
      <c r="B12" s="42" t="s">
        <v>15</v>
      </c>
      <c r="C12" s="42">
        <v>80</v>
      </c>
      <c r="D12" s="42">
        <v>88</v>
      </c>
      <c r="E12" s="44">
        <f t="shared" si="0"/>
        <v>701646.88</v>
      </c>
      <c r="F12" s="44">
        <f t="shared" si="1"/>
        <v>772486.88</v>
      </c>
      <c r="G12" s="60">
        <f t="shared" si="2"/>
        <v>1474133.76</v>
      </c>
      <c r="H12" s="60">
        <f t="shared" si="3"/>
        <v>1100.9624670461017</v>
      </c>
      <c r="I12" s="15">
        <f t="shared" si="4"/>
        <v>8.4001749174846019</v>
      </c>
      <c r="K12" s="32" t="s">
        <v>0</v>
      </c>
      <c r="L12" s="59">
        <v>1961</v>
      </c>
    </row>
    <row r="13" spans="2:17" x14ac:dyDescent="0.3">
      <c r="B13" s="42" t="s">
        <v>16</v>
      </c>
      <c r="C13" s="42">
        <v>87</v>
      </c>
      <c r="D13" s="42">
        <v>87</v>
      </c>
      <c r="E13" s="44">
        <f t="shared" si="0"/>
        <v>763040.98199999996</v>
      </c>
      <c r="F13" s="44">
        <f t="shared" si="1"/>
        <v>763708.62</v>
      </c>
      <c r="G13" s="60">
        <f t="shared" si="2"/>
        <v>1526749.602</v>
      </c>
      <c r="H13" s="60">
        <f t="shared" si="3"/>
        <v>1000.8749700419106</v>
      </c>
      <c r="I13" s="15">
        <f t="shared" si="4"/>
        <v>8.6999999999999993</v>
      </c>
      <c r="K13" s="74" t="s">
        <v>37</v>
      </c>
      <c r="L13" s="75">
        <v>2.6513480791522586</v>
      </c>
      <c r="O13" s="32" t="s">
        <v>0</v>
      </c>
      <c r="P13" s="59">
        <v>1961</v>
      </c>
    </row>
    <row r="14" spans="2:17" x14ac:dyDescent="0.3">
      <c r="B14" s="42" t="s">
        <v>17</v>
      </c>
      <c r="C14" s="42">
        <v>75</v>
      </c>
      <c r="D14" s="42">
        <v>72</v>
      </c>
      <c r="E14" s="44">
        <f t="shared" si="0"/>
        <v>657793.94999999995</v>
      </c>
      <c r="F14" s="44">
        <f t="shared" si="1"/>
        <v>632034.72</v>
      </c>
      <c r="G14" s="60">
        <f t="shared" si="2"/>
        <v>1289828.67</v>
      </c>
      <c r="H14" s="60">
        <f t="shared" si="3"/>
        <v>960.83997124023415</v>
      </c>
      <c r="I14" s="15">
        <f t="shared" si="4"/>
        <v>7.349934405943273</v>
      </c>
      <c r="K14" s="40" t="s">
        <v>68</v>
      </c>
      <c r="L14" s="75">
        <v>11.55588962368903</v>
      </c>
      <c r="O14" s="40" t="s">
        <v>27</v>
      </c>
      <c r="P14" s="62">
        <v>14.221466411307643</v>
      </c>
    </row>
    <row r="15" spans="2:17" x14ac:dyDescent="0.3">
      <c r="B15" s="42" t="s">
        <v>18</v>
      </c>
      <c r="C15" s="42">
        <v>63</v>
      </c>
      <c r="D15" s="42">
        <v>57</v>
      </c>
      <c r="E15" s="44">
        <f t="shared" si="0"/>
        <v>552546.91799999995</v>
      </c>
      <c r="F15" s="44">
        <f t="shared" si="1"/>
        <v>500360.82</v>
      </c>
      <c r="G15" s="60">
        <f t="shared" si="2"/>
        <v>1052907.7379999999</v>
      </c>
      <c r="H15" s="60">
        <f t="shared" si="3"/>
        <v>905.55354432363345</v>
      </c>
      <c r="I15" s="15">
        <f t="shared" si="4"/>
        <v>5.9998688118865475</v>
      </c>
      <c r="K15" s="57" t="s">
        <v>75</v>
      </c>
      <c r="L15" s="75">
        <v>32.966293083926473</v>
      </c>
      <c r="O15" s="40" t="s">
        <v>69</v>
      </c>
      <c r="P15" s="62">
        <v>24.887095422752861</v>
      </c>
    </row>
    <row r="16" spans="2:17" x14ac:dyDescent="0.3">
      <c r="B16" s="42" t="s">
        <v>19</v>
      </c>
      <c r="C16" s="42">
        <v>55</v>
      </c>
      <c r="D16" s="42">
        <v>54</v>
      </c>
      <c r="E16" s="44">
        <f t="shared" si="0"/>
        <v>482382.23</v>
      </c>
      <c r="F16" s="44">
        <f t="shared" si="1"/>
        <v>474026.04</v>
      </c>
      <c r="G16" s="60">
        <f t="shared" si="2"/>
        <v>956408.27</v>
      </c>
      <c r="H16" s="60">
        <f t="shared" si="3"/>
        <v>982.67724331387581</v>
      </c>
      <c r="I16" s="15">
        <f t="shared" si="4"/>
        <v>5.4499781353144243</v>
      </c>
      <c r="K16" s="40" t="s">
        <v>77</v>
      </c>
      <c r="L16" s="75">
        <v>47.023346340504489</v>
      </c>
      <c r="O16" s="40" t="s">
        <v>80</v>
      </c>
      <c r="P16" s="62">
        <v>55.182654525870397</v>
      </c>
    </row>
    <row r="17" spans="2:16" ht="15" thickBot="1" x14ac:dyDescent="0.35">
      <c r="B17" s="42" t="s">
        <v>20</v>
      </c>
      <c r="C17" s="42">
        <v>44</v>
      </c>
      <c r="D17" s="42">
        <v>41</v>
      </c>
      <c r="E17" s="44">
        <f t="shared" si="0"/>
        <v>385905.78399999999</v>
      </c>
      <c r="F17" s="44">
        <f t="shared" si="1"/>
        <v>359908.66</v>
      </c>
      <c r="G17" s="60">
        <f t="shared" si="2"/>
        <v>745814.4439999999</v>
      </c>
      <c r="H17" s="60">
        <f t="shared" si="3"/>
        <v>932.63349481178022</v>
      </c>
      <c r="I17" s="15">
        <f t="shared" si="4"/>
        <v>4.2499344059432733</v>
      </c>
      <c r="K17" s="36" t="s">
        <v>30</v>
      </c>
      <c r="L17" s="76">
        <v>5.8031213904073811</v>
      </c>
      <c r="O17" s="36" t="s">
        <v>30</v>
      </c>
      <c r="P17" s="63">
        <v>5.7087830351332487</v>
      </c>
    </row>
    <row r="18" spans="2:16" x14ac:dyDescent="0.3">
      <c r="B18" s="42" t="s">
        <v>21</v>
      </c>
      <c r="C18" s="42">
        <v>45</v>
      </c>
      <c r="D18" s="42">
        <v>43</v>
      </c>
      <c r="E18" s="44">
        <f t="shared" si="0"/>
        <v>394676.37</v>
      </c>
      <c r="F18" s="44">
        <f t="shared" si="1"/>
        <v>377465.18</v>
      </c>
      <c r="G18" s="60">
        <f t="shared" si="2"/>
        <v>772141.55</v>
      </c>
      <c r="H18" s="60">
        <f t="shared" si="3"/>
        <v>956.39163804004795</v>
      </c>
      <c r="I18" s="15">
        <f t="shared" si="4"/>
        <v>4.3999562706288495</v>
      </c>
    </row>
    <row r="19" spans="2:16" ht="15" thickBot="1" x14ac:dyDescent="0.35">
      <c r="B19" s="42" t="s">
        <v>22</v>
      </c>
      <c r="C19" s="42">
        <v>25</v>
      </c>
      <c r="D19" s="42">
        <v>24</v>
      </c>
      <c r="E19" s="44">
        <f t="shared" si="0"/>
        <v>219264.65</v>
      </c>
      <c r="F19" s="44">
        <f t="shared" si="1"/>
        <v>210678.24</v>
      </c>
      <c r="G19" s="60">
        <f t="shared" si="2"/>
        <v>429942.89</v>
      </c>
      <c r="H19" s="60">
        <f t="shared" si="3"/>
        <v>960.83997124023415</v>
      </c>
      <c r="I19" s="15">
        <f t="shared" si="4"/>
        <v>2.4499781353144248</v>
      </c>
      <c r="L19" s="15">
        <v>1961</v>
      </c>
    </row>
    <row r="20" spans="2:16" x14ac:dyDescent="0.3">
      <c r="B20" s="42" t="s">
        <v>23</v>
      </c>
      <c r="C20" s="42">
        <v>26</v>
      </c>
      <c r="D20" s="42">
        <v>29</v>
      </c>
      <c r="E20" s="44">
        <f t="shared" si="0"/>
        <v>228035.236</v>
      </c>
      <c r="F20" s="44">
        <f t="shared" si="1"/>
        <v>254569.54</v>
      </c>
      <c r="G20" s="60">
        <f t="shared" si="2"/>
        <v>482604.77600000001</v>
      </c>
      <c r="H20" s="60">
        <f t="shared" si="3"/>
        <v>1116.3605435082848</v>
      </c>
      <c r="I20" s="15">
        <f t="shared" si="4"/>
        <v>2.7500655940567262</v>
      </c>
      <c r="K20" s="32" t="s">
        <v>81</v>
      </c>
      <c r="L20" s="81">
        <f>SUM(I4:I10)</f>
        <v>39.049890676572119</v>
      </c>
      <c r="M20" s="46"/>
    </row>
    <row r="21" spans="2:16" x14ac:dyDescent="0.3">
      <c r="B21" s="42" t="s">
        <v>24</v>
      </c>
      <c r="C21" s="42">
        <v>10</v>
      </c>
      <c r="D21" s="42">
        <v>11</v>
      </c>
      <c r="E21" s="44">
        <f t="shared" si="0"/>
        <v>87705.86</v>
      </c>
      <c r="F21" s="44">
        <f t="shared" si="1"/>
        <v>96560.86</v>
      </c>
      <c r="G21" s="60">
        <f t="shared" si="2"/>
        <v>184266.72</v>
      </c>
      <c r="H21" s="60">
        <f t="shared" si="3"/>
        <v>1100.9624670461017</v>
      </c>
      <c r="I21" s="15">
        <f t="shared" si="4"/>
        <v>1.0500218646855752</v>
      </c>
      <c r="K21" s="68" t="s">
        <v>14</v>
      </c>
      <c r="L21" s="82">
        <v>8.1000437293711514</v>
      </c>
      <c r="M21" s="15"/>
    </row>
    <row r="22" spans="2:16" x14ac:dyDescent="0.3">
      <c r="B22" s="42" t="s">
        <v>25</v>
      </c>
      <c r="C22" s="42">
        <v>16</v>
      </c>
      <c r="D22" s="42">
        <v>22</v>
      </c>
      <c r="E22" s="44">
        <f t="shared" si="0"/>
        <v>140329.37599999999</v>
      </c>
      <c r="F22" s="44">
        <f t="shared" si="1"/>
        <v>193121.72</v>
      </c>
      <c r="G22" s="60">
        <f t="shared" si="2"/>
        <v>333451.09600000002</v>
      </c>
      <c r="H22" s="60">
        <f t="shared" si="3"/>
        <v>1376.2030838076271</v>
      </c>
      <c r="I22" s="15">
        <f t="shared" si="4"/>
        <v>1.9001311881134524</v>
      </c>
      <c r="K22" s="68" t="s">
        <v>15</v>
      </c>
      <c r="L22" s="82">
        <v>8.4001749174846019</v>
      </c>
      <c r="M22" s="15"/>
    </row>
    <row r="23" spans="2:16" x14ac:dyDescent="0.3">
      <c r="B23" s="42" t="s">
        <v>66</v>
      </c>
      <c r="C23" s="42">
        <v>1</v>
      </c>
      <c r="D23" s="42">
        <v>1</v>
      </c>
      <c r="E23" s="44">
        <f t="shared" si="0"/>
        <v>8770.5859999999993</v>
      </c>
      <c r="F23" s="44">
        <f t="shared" si="1"/>
        <v>8778.26</v>
      </c>
      <c r="G23" s="60">
        <f t="shared" si="2"/>
        <v>17548.845999999998</v>
      </c>
      <c r="H23" s="60">
        <f t="shared" si="3"/>
        <v>1000.8749700419106</v>
      </c>
      <c r="I23" s="15">
        <f t="shared" si="4"/>
        <v>9.9999999999999978E-2</v>
      </c>
      <c r="K23" s="68" t="s">
        <v>16</v>
      </c>
      <c r="L23" s="82">
        <v>8.6999999999999993</v>
      </c>
      <c r="M23" s="15"/>
    </row>
    <row r="24" spans="2:16" x14ac:dyDescent="0.3">
      <c r="K24" s="68" t="s">
        <v>17</v>
      </c>
      <c r="L24" s="82">
        <v>7.349934405943273</v>
      </c>
      <c r="M24" s="15"/>
    </row>
    <row r="25" spans="2:16" x14ac:dyDescent="0.3">
      <c r="K25" s="68" t="s">
        <v>18</v>
      </c>
      <c r="L25" s="82">
        <v>5.9998688118865475</v>
      </c>
      <c r="M25" s="15"/>
    </row>
    <row r="26" spans="2:16" x14ac:dyDescent="0.3">
      <c r="K26" s="68" t="s">
        <v>19</v>
      </c>
      <c r="L26" s="82">
        <v>5.4499781353144243</v>
      </c>
      <c r="M26" s="15"/>
    </row>
    <row r="27" spans="2:16" x14ac:dyDescent="0.3">
      <c r="K27" s="68" t="s">
        <v>20</v>
      </c>
      <c r="L27" s="82">
        <v>4.2499344059432733</v>
      </c>
      <c r="M27" s="15"/>
    </row>
    <row r="28" spans="2:16" x14ac:dyDescent="0.3">
      <c r="K28" s="68" t="s">
        <v>21</v>
      </c>
      <c r="L28" s="82">
        <v>4.3999562706288495</v>
      </c>
      <c r="M28" s="15"/>
    </row>
    <row r="29" spans="2:16" x14ac:dyDescent="0.3">
      <c r="K29" s="68" t="s">
        <v>22</v>
      </c>
      <c r="L29" s="82">
        <v>2.4499781353144248</v>
      </c>
      <c r="M29" s="15"/>
    </row>
    <row r="30" spans="2:16" ht="15" thickBot="1" x14ac:dyDescent="0.35">
      <c r="K30" s="83" t="s">
        <v>30</v>
      </c>
      <c r="L30" s="84">
        <f>SUM(I20:I22)</f>
        <v>5.7002186468557543</v>
      </c>
    </row>
  </sheetData>
  <mergeCells count="2">
    <mergeCell ref="C1:D1"/>
    <mergeCell ref="E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4270-4947-4DA2-9994-B740CCBD367D}">
  <dimension ref="A1:Q15"/>
  <sheetViews>
    <sheetView workbookViewId="0">
      <selection activeCell="Q4" sqref="Q4:Q7"/>
    </sheetView>
  </sheetViews>
  <sheetFormatPr defaultRowHeight="14.4" x14ac:dyDescent="0.3"/>
  <cols>
    <col min="1" max="1" width="13.33203125" bestFit="1" customWidth="1"/>
    <col min="5" max="5" width="13.44140625" bestFit="1" customWidth="1"/>
    <col min="6" max="7" width="12.6640625" bestFit="1" customWidth="1"/>
    <col min="8" max="8" width="12.6640625" customWidth="1"/>
    <col min="9" max="9" width="13.88671875" bestFit="1" customWidth="1"/>
    <col min="12" max="12" width="11.21875" bestFit="1" customWidth="1"/>
  </cols>
  <sheetData>
    <row r="1" spans="1:17" ht="28.8" customHeight="1" x14ac:dyDescent="0.3">
      <c r="A1">
        <v>1971</v>
      </c>
      <c r="B1" s="229" t="s">
        <v>34</v>
      </c>
      <c r="C1" s="229"/>
      <c r="D1" s="229"/>
      <c r="E1" s="229" t="s">
        <v>35</v>
      </c>
      <c r="F1" s="229"/>
      <c r="G1" s="229"/>
      <c r="H1" s="100"/>
    </row>
    <row r="2" spans="1:17" ht="15" thickBot="1" x14ac:dyDescent="0.35">
      <c r="B2" t="s">
        <v>26</v>
      </c>
      <c r="C2" t="s">
        <v>11</v>
      </c>
      <c r="D2" t="s">
        <v>4</v>
      </c>
      <c r="E2" t="s">
        <v>26</v>
      </c>
      <c r="F2" t="s">
        <v>11</v>
      </c>
      <c r="G2" t="s">
        <v>4</v>
      </c>
      <c r="H2" t="s">
        <v>101</v>
      </c>
    </row>
    <row r="3" spans="1:17" ht="16.2" thickBot="1" x14ac:dyDescent="0.35">
      <c r="A3" t="s">
        <v>7</v>
      </c>
      <c r="B3">
        <v>50.31</v>
      </c>
      <c r="C3">
        <v>49.69</v>
      </c>
      <c r="D3">
        <v>100</v>
      </c>
      <c r="E3" s="12">
        <v>11041083</v>
      </c>
      <c r="F3" s="13">
        <v>10903532</v>
      </c>
      <c r="G3" s="14">
        <v>21944615</v>
      </c>
      <c r="H3" s="173">
        <f>(F3/E3)*1000</f>
        <v>987.54189240312746</v>
      </c>
      <c r="I3" s="15"/>
      <c r="K3" s="32" t="s">
        <v>0</v>
      </c>
      <c r="L3" s="59">
        <v>1971</v>
      </c>
      <c r="N3" s="32" t="s">
        <v>0</v>
      </c>
      <c r="O3" t="s">
        <v>26</v>
      </c>
      <c r="P3" t="s">
        <v>11</v>
      </c>
      <c r="Q3" t="s">
        <v>4</v>
      </c>
    </row>
    <row r="4" spans="1:17" ht="15.6" x14ac:dyDescent="0.3">
      <c r="A4" t="s">
        <v>27</v>
      </c>
      <c r="B4">
        <v>7.01</v>
      </c>
      <c r="C4">
        <v>7.23</v>
      </c>
      <c r="D4">
        <v>14.24</v>
      </c>
      <c r="E4" s="16">
        <f>(G$3*B4)/100</f>
        <v>1538317.5115</v>
      </c>
      <c r="F4" s="16">
        <f>(G$3*C4)/100</f>
        <v>1586595.6645000002</v>
      </c>
      <c r="G4" s="16">
        <f>(G$3*D4)/100</f>
        <v>3124913.1760000004</v>
      </c>
      <c r="H4" s="173">
        <f t="shared" ref="H4:H15" si="0">(F4/E4)*1000</f>
        <v>1031.3837375178318</v>
      </c>
      <c r="I4" s="80">
        <f>(G4/21944615)*100</f>
        <v>14.240000000000002</v>
      </c>
      <c r="K4" s="40" t="s">
        <v>27</v>
      </c>
      <c r="L4" s="75">
        <v>14.242848619699727</v>
      </c>
      <c r="N4" s="40" t="s">
        <v>109</v>
      </c>
      <c r="O4">
        <f>SUM(B4:B7)</f>
        <v>25.45</v>
      </c>
      <c r="P4">
        <f t="shared" ref="P4:Q4" si="1">SUM(C4:C7)</f>
        <v>25.02</v>
      </c>
      <c r="Q4">
        <f t="shared" si="1"/>
        <v>50.47</v>
      </c>
    </row>
    <row r="5" spans="1:17" ht="15.6" x14ac:dyDescent="0.3">
      <c r="A5" s="11" t="s">
        <v>28</v>
      </c>
      <c r="B5">
        <v>7.55</v>
      </c>
      <c r="C5">
        <v>7.7</v>
      </c>
      <c r="D5">
        <v>15.25</v>
      </c>
      <c r="E5" s="16">
        <f t="shared" ref="E5:E14" si="2">(G$3*B5)/100</f>
        <v>1656818.4325000001</v>
      </c>
      <c r="F5" s="16">
        <f t="shared" ref="F5:F14" si="3">(G$3*C5)/100</f>
        <v>1689735.355</v>
      </c>
      <c r="G5" s="16">
        <f t="shared" ref="G5:G14" si="4">(G$3*D5)/100</f>
        <v>3346553.7875000001</v>
      </c>
      <c r="H5" s="173">
        <f t="shared" si="0"/>
        <v>1019.8675496688741</v>
      </c>
      <c r="I5" s="80">
        <f t="shared" ref="I5:I15" si="5">(G5/21944615)*100</f>
        <v>15.25</v>
      </c>
      <c r="K5" s="40" t="s">
        <v>69</v>
      </c>
      <c r="L5" s="75">
        <v>28.115623223297696</v>
      </c>
      <c r="N5" s="40" t="s">
        <v>110</v>
      </c>
      <c r="O5">
        <f>SUM(B8:B10)</f>
        <v>10.29</v>
      </c>
      <c r="P5">
        <f t="shared" ref="P5:Q5" si="6">SUM(C8:C10)</f>
        <v>10.95</v>
      </c>
      <c r="Q5">
        <f t="shared" si="6"/>
        <v>21.240000000000002</v>
      </c>
    </row>
    <row r="6" spans="1:17" ht="15.6" x14ac:dyDescent="0.3">
      <c r="A6" s="10" t="s">
        <v>29</v>
      </c>
      <c r="B6">
        <v>6.71</v>
      </c>
      <c r="C6">
        <v>6.15</v>
      </c>
      <c r="D6">
        <v>12.86</v>
      </c>
      <c r="E6" s="16">
        <f t="shared" si="2"/>
        <v>1472483.6665000001</v>
      </c>
      <c r="F6" s="16">
        <f t="shared" si="3"/>
        <v>1349593.8225</v>
      </c>
      <c r="G6" s="16">
        <f t="shared" si="4"/>
        <v>2822077.4889999996</v>
      </c>
      <c r="H6" s="173">
        <f t="shared" si="0"/>
        <v>916.54247391952299</v>
      </c>
      <c r="I6" s="80">
        <f t="shared" si="5"/>
        <v>12.86</v>
      </c>
      <c r="K6" s="40" t="s">
        <v>80</v>
      </c>
      <c r="L6" s="75">
        <v>51.62032424597632</v>
      </c>
      <c r="N6" s="40" t="s">
        <v>111</v>
      </c>
      <c r="O6">
        <f>SUM(B11:B13)</f>
        <v>11.66</v>
      </c>
      <c r="P6">
        <f t="shared" ref="P6:Q6" si="7">SUM(C11:C13)</f>
        <v>10.59</v>
      </c>
      <c r="Q6">
        <f t="shared" si="7"/>
        <v>22.25</v>
      </c>
    </row>
    <row r="7" spans="1:17" ht="16.2" thickBot="1" x14ac:dyDescent="0.35">
      <c r="A7" t="s">
        <v>14</v>
      </c>
      <c r="B7">
        <v>4.18</v>
      </c>
      <c r="C7">
        <v>3.94</v>
      </c>
      <c r="D7">
        <v>8.1199999999999992</v>
      </c>
      <c r="E7" s="16">
        <f t="shared" si="2"/>
        <v>917284.90699999989</v>
      </c>
      <c r="F7" s="16">
        <f t="shared" si="3"/>
        <v>864617.83099999989</v>
      </c>
      <c r="G7" s="16">
        <f t="shared" si="4"/>
        <v>1781902.7379999999</v>
      </c>
      <c r="H7" s="173">
        <f t="shared" si="0"/>
        <v>942.58373205741634</v>
      </c>
      <c r="I7" s="80">
        <f t="shared" si="5"/>
        <v>8.1199999999999992</v>
      </c>
      <c r="K7" s="36" t="s">
        <v>30</v>
      </c>
      <c r="L7" s="76">
        <v>6.0212042619797987</v>
      </c>
      <c r="N7" s="36" t="s">
        <v>30</v>
      </c>
      <c r="O7">
        <f>B14</f>
        <v>2.9</v>
      </c>
      <c r="P7">
        <f t="shared" ref="P7:Q7" si="8">C14</f>
        <v>3.12</v>
      </c>
      <c r="Q7">
        <f t="shared" si="8"/>
        <v>6.02</v>
      </c>
    </row>
    <row r="8" spans="1:17" ht="15.6" x14ac:dyDescent="0.3">
      <c r="A8" t="s">
        <v>15</v>
      </c>
      <c r="B8">
        <v>3.39</v>
      </c>
      <c r="C8">
        <v>3.61</v>
      </c>
      <c r="D8">
        <v>7</v>
      </c>
      <c r="E8" s="16">
        <f t="shared" si="2"/>
        <v>743922.44850000006</v>
      </c>
      <c r="F8" s="16">
        <f t="shared" si="3"/>
        <v>792200.60149999987</v>
      </c>
      <c r="G8" s="16">
        <f t="shared" si="4"/>
        <v>1536123.05</v>
      </c>
      <c r="H8" s="173">
        <f t="shared" si="0"/>
        <v>1064.8967551622418</v>
      </c>
      <c r="I8" s="80">
        <f t="shared" si="5"/>
        <v>7.0000000000000009</v>
      </c>
      <c r="L8" s="16">
        <f>SUM(L4:L7)</f>
        <v>100.00000035095356</v>
      </c>
    </row>
    <row r="9" spans="1:17" ht="15.6" x14ac:dyDescent="0.3">
      <c r="A9" t="s">
        <v>16</v>
      </c>
      <c r="B9">
        <v>3.61</v>
      </c>
      <c r="C9">
        <v>3.92</v>
      </c>
      <c r="D9">
        <v>7.53</v>
      </c>
      <c r="E9" s="16">
        <f t="shared" si="2"/>
        <v>792200.60149999987</v>
      </c>
      <c r="F9" s="16">
        <f t="shared" si="3"/>
        <v>860228.90799999994</v>
      </c>
      <c r="G9" s="16">
        <f t="shared" si="4"/>
        <v>1652429.5095000002</v>
      </c>
      <c r="H9" s="173">
        <f t="shared" si="0"/>
        <v>1085.8725761772853</v>
      </c>
      <c r="I9" s="80">
        <f t="shared" si="5"/>
        <v>7.53</v>
      </c>
    </row>
    <row r="10" spans="1:17" ht="16.2" thickBot="1" x14ac:dyDescent="0.35">
      <c r="A10" t="s">
        <v>17</v>
      </c>
      <c r="B10">
        <v>3.29</v>
      </c>
      <c r="C10">
        <v>3.42</v>
      </c>
      <c r="D10">
        <v>6.71</v>
      </c>
      <c r="E10" s="16">
        <f t="shared" si="2"/>
        <v>721977.83349999995</v>
      </c>
      <c r="F10" s="16">
        <f t="shared" si="3"/>
        <v>750505.83299999998</v>
      </c>
      <c r="G10" s="16">
        <f t="shared" si="4"/>
        <v>1472483.6665000001</v>
      </c>
      <c r="H10" s="173">
        <f t="shared" si="0"/>
        <v>1039.5136778115502</v>
      </c>
      <c r="I10" s="80">
        <f t="shared" si="5"/>
        <v>6.7100000000000009</v>
      </c>
    </row>
    <row r="11" spans="1:17" ht="15.6" x14ac:dyDescent="0.3">
      <c r="A11" t="s">
        <v>18</v>
      </c>
      <c r="B11">
        <v>3.4</v>
      </c>
      <c r="C11">
        <v>3.09</v>
      </c>
      <c r="D11">
        <v>6.49</v>
      </c>
      <c r="E11" s="16">
        <f t="shared" si="2"/>
        <v>746116.91</v>
      </c>
      <c r="F11" s="16">
        <f t="shared" si="3"/>
        <v>678088.60349999997</v>
      </c>
      <c r="G11" s="16">
        <f t="shared" si="4"/>
        <v>1424205.5134999999</v>
      </c>
      <c r="H11" s="173">
        <f t="shared" si="0"/>
        <v>908.82352941176464</v>
      </c>
      <c r="I11" s="80">
        <f t="shared" si="5"/>
        <v>6.49</v>
      </c>
      <c r="K11" s="32" t="s">
        <v>0</v>
      </c>
      <c r="L11" s="59">
        <v>1971</v>
      </c>
    </row>
    <row r="12" spans="1:17" ht="15.6" x14ac:dyDescent="0.3">
      <c r="A12" t="s">
        <v>32</v>
      </c>
      <c r="B12">
        <v>4.97</v>
      </c>
      <c r="C12">
        <v>4.42</v>
      </c>
      <c r="D12">
        <v>9.39</v>
      </c>
      <c r="E12" s="16">
        <f t="shared" si="2"/>
        <v>1090647.3655000001</v>
      </c>
      <c r="F12" s="16">
        <f t="shared" si="3"/>
        <v>969951.98300000001</v>
      </c>
      <c r="G12" s="16">
        <f t="shared" si="4"/>
        <v>2060599.3485000003</v>
      </c>
      <c r="H12" s="173">
        <f t="shared" si="0"/>
        <v>889.33601609657944</v>
      </c>
      <c r="I12" s="80">
        <f t="shared" si="5"/>
        <v>9.39</v>
      </c>
      <c r="K12" s="40" t="s">
        <v>27</v>
      </c>
      <c r="L12" s="62">
        <v>14.242848619699727</v>
      </c>
    </row>
    <row r="13" spans="1:17" ht="15.6" x14ac:dyDescent="0.3">
      <c r="A13" t="s">
        <v>33</v>
      </c>
      <c r="B13">
        <v>3.29</v>
      </c>
      <c r="C13">
        <v>3.08</v>
      </c>
      <c r="D13">
        <v>6.37</v>
      </c>
      <c r="E13" s="16">
        <f t="shared" si="2"/>
        <v>721977.83349999995</v>
      </c>
      <c r="F13" s="16">
        <f t="shared" si="3"/>
        <v>675894.14199999999</v>
      </c>
      <c r="G13" s="16">
        <f t="shared" si="4"/>
        <v>1397871.9755000002</v>
      </c>
      <c r="H13" s="173">
        <f t="shared" si="0"/>
        <v>936.17021276595744</v>
      </c>
      <c r="I13" s="80">
        <f t="shared" si="5"/>
        <v>6.370000000000001</v>
      </c>
      <c r="K13" s="40" t="s">
        <v>69</v>
      </c>
      <c r="L13" s="62">
        <v>28.115623223297696</v>
      </c>
    </row>
    <row r="14" spans="1:17" ht="15.6" x14ac:dyDescent="0.3">
      <c r="A14" t="s">
        <v>30</v>
      </c>
      <c r="B14">
        <v>2.9</v>
      </c>
      <c r="C14">
        <v>3.12</v>
      </c>
      <c r="D14">
        <v>6.02</v>
      </c>
      <c r="E14" s="16">
        <f t="shared" si="2"/>
        <v>636393.83499999996</v>
      </c>
      <c r="F14" s="16">
        <f t="shared" si="3"/>
        <v>684671.98800000001</v>
      </c>
      <c r="G14" s="16">
        <f t="shared" si="4"/>
        <v>1321065.8229999999</v>
      </c>
      <c r="H14" s="173">
        <f t="shared" si="0"/>
        <v>1075.8620689655174</v>
      </c>
      <c r="I14" s="80">
        <f t="shared" si="5"/>
        <v>6.02</v>
      </c>
      <c r="K14" s="40" t="s">
        <v>80</v>
      </c>
      <c r="L14" s="62">
        <v>51.62032424597632</v>
      </c>
    </row>
    <row r="15" spans="1:17" ht="16.2" thickBot="1" x14ac:dyDescent="0.35">
      <c r="A15" t="s">
        <v>31</v>
      </c>
      <c r="B15">
        <v>0.01</v>
      </c>
      <c r="C15">
        <v>0.01</v>
      </c>
      <c r="D15">
        <v>0.02</v>
      </c>
      <c r="E15" s="16">
        <f>(G$3*B15)/100</f>
        <v>2194.4614999999999</v>
      </c>
      <c r="F15" s="16">
        <f>(G$3*C15)/100</f>
        <v>2194.4614999999999</v>
      </c>
      <c r="G15" s="16">
        <f>(G$3*D15)/100</f>
        <v>4388.9229999999998</v>
      </c>
      <c r="H15" s="173">
        <f t="shared" si="0"/>
        <v>1000</v>
      </c>
      <c r="I15" s="80">
        <f t="shared" si="5"/>
        <v>1.9999999999999997E-2</v>
      </c>
      <c r="K15" s="36" t="s">
        <v>30</v>
      </c>
      <c r="L15" s="63">
        <v>6.0212042619797987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76C7F-F86A-4A60-983E-45ADAC378337}">
  <dimension ref="A1:I19"/>
  <sheetViews>
    <sheetView workbookViewId="0">
      <selection activeCell="L4" sqref="L4"/>
    </sheetView>
  </sheetViews>
  <sheetFormatPr defaultRowHeight="14.4" x14ac:dyDescent="0.3"/>
  <cols>
    <col min="1" max="1" width="12.77734375" bestFit="1" customWidth="1"/>
    <col min="6" max="6" width="12.5546875" bestFit="1" customWidth="1"/>
  </cols>
  <sheetData>
    <row r="1" spans="1:9" x14ac:dyDescent="0.3">
      <c r="A1">
        <v>1981</v>
      </c>
    </row>
    <row r="2" spans="1:9" x14ac:dyDescent="0.3">
      <c r="B2" t="s">
        <v>26</v>
      </c>
      <c r="C2" t="s">
        <v>11</v>
      </c>
      <c r="D2" t="s">
        <v>4</v>
      </c>
      <c r="E2" t="s">
        <v>101</v>
      </c>
    </row>
    <row r="3" spans="1:9" x14ac:dyDescent="0.3">
      <c r="A3" t="s">
        <v>10</v>
      </c>
      <c r="B3">
        <v>13309786</v>
      </c>
      <c r="C3">
        <v>13060485</v>
      </c>
      <c r="D3">
        <f>B3+C3</f>
        <v>26370271</v>
      </c>
      <c r="E3" s="179">
        <f>(C3/B3)*1000</f>
        <v>981.26934572802293</v>
      </c>
    </row>
    <row r="4" spans="1:9" ht="15" thickBot="1" x14ac:dyDescent="0.35">
      <c r="A4" t="s">
        <v>12</v>
      </c>
      <c r="B4">
        <v>3454752</v>
      </c>
      <c r="C4">
        <v>3470718</v>
      </c>
      <c r="D4">
        <f t="shared" ref="D4:D17" si="0">B4+C4</f>
        <v>6925470</v>
      </c>
      <c r="E4" s="179">
        <f t="shared" ref="E4:E18" si="1">(C4/B4)*1000</f>
        <v>1004.6214605274126</v>
      </c>
      <c r="F4" s="80">
        <f>(D4/26360844)*100</f>
        <v>26.271806775230715</v>
      </c>
    </row>
    <row r="5" spans="1:9" ht="15" thickBot="1" x14ac:dyDescent="0.35">
      <c r="A5" s="10" t="s">
        <v>13</v>
      </c>
      <c r="B5">
        <v>1784668</v>
      </c>
      <c r="C5">
        <v>1743708</v>
      </c>
      <c r="D5">
        <f t="shared" si="0"/>
        <v>3528376</v>
      </c>
      <c r="E5" s="179">
        <f t="shared" si="1"/>
        <v>977.04895252226186</v>
      </c>
      <c r="F5" s="80">
        <f t="shared" ref="F5:F18" si="2">(D5/26360844)*100</f>
        <v>13.384912865460604</v>
      </c>
      <c r="H5" s="99"/>
      <c r="I5" s="97">
        <v>1981</v>
      </c>
    </row>
    <row r="6" spans="1:9" x14ac:dyDescent="0.3">
      <c r="A6" t="s">
        <v>14</v>
      </c>
      <c r="B6">
        <v>1305417</v>
      </c>
      <c r="C6">
        <v>1286272</v>
      </c>
      <c r="D6">
        <f t="shared" si="0"/>
        <v>2591689</v>
      </c>
      <c r="E6" s="179">
        <f t="shared" si="1"/>
        <v>985.3341882325725</v>
      </c>
      <c r="F6" s="80">
        <f t="shared" si="2"/>
        <v>9.8315858172067632</v>
      </c>
      <c r="H6" s="40" t="s">
        <v>81</v>
      </c>
      <c r="I6" s="86">
        <f>SUM(F4:F5)</f>
        <v>39.656719640691321</v>
      </c>
    </row>
    <row r="7" spans="1:9" x14ac:dyDescent="0.3">
      <c r="A7" t="s">
        <v>15</v>
      </c>
      <c r="B7">
        <v>1081239</v>
      </c>
      <c r="C7">
        <v>1041365</v>
      </c>
      <c r="D7">
        <f t="shared" si="0"/>
        <v>2122604</v>
      </c>
      <c r="E7" s="179">
        <f t="shared" si="1"/>
        <v>963.12193696305815</v>
      </c>
      <c r="F7" s="80">
        <f t="shared" si="2"/>
        <v>8.0521094089400176</v>
      </c>
      <c r="H7" s="40" t="s">
        <v>14</v>
      </c>
      <c r="I7" s="86">
        <v>9.8315858172067632</v>
      </c>
    </row>
    <row r="8" spans="1:9" x14ac:dyDescent="0.3">
      <c r="A8" t="s">
        <v>16</v>
      </c>
      <c r="B8">
        <v>989873</v>
      </c>
      <c r="C8">
        <v>977474</v>
      </c>
      <c r="D8">
        <f t="shared" si="0"/>
        <v>1967347</v>
      </c>
      <c r="E8" s="179">
        <f t="shared" si="1"/>
        <v>987.47415072438582</v>
      </c>
      <c r="F8" s="80">
        <f t="shared" si="2"/>
        <v>7.4631411649793904</v>
      </c>
      <c r="H8" s="40" t="s">
        <v>15</v>
      </c>
      <c r="I8" s="86">
        <v>8.0521094089400176</v>
      </c>
    </row>
    <row r="9" spans="1:9" x14ac:dyDescent="0.3">
      <c r="A9" t="s">
        <v>17</v>
      </c>
      <c r="B9">
        <v>798226</v>
      </c>
      <c r="C9">
        <v>830037</v>
      </c>
      <c r="D9">
        <f t="shared" si="0"/>
        <v>1628263</v>
      </c>
      <c r="E9" s="179">
        <f t="shared" si="1"/>
        <v>1039.852122080714</v>
      </c>
      <c r="F9" s="80">
        <f t="shared" si="2"/>
        <v>6.1768242321831579</v>
      </c>
      <c r="H9" s="40" t="s">
        <v>16</v>
      </c>
      <c r="I9" s="86">
        <v>7.4631411649793904</v>
      </c>
    </row>
    <row r="10" spans="1:9" x14ac:dyDescent="0.3">
      <c r="A10" t="s">
        <v>18</v>
      </c>
      <c r="B10">
        <v>825164</v>
      </c>
      <c r="C10">
        <v>804539</v>
      </c>
      <c r="D10">
        <f t="shared" si="0"/>
        <v>1629703</v>
      </c>
      <c r="E10" s="179">
        <f t="shared" si="1"/>
        <v>975.00496870925053</v>
      </c>
      <c r="F10" s="80">
        <f t="shared" si="2"/>
        <v>6.1822868797372346</v>
      </c>
      <c r="H10" s="40" t="s">
        <v>17</v>
      </c>
      <c r="I10" s="86">
        <v>6.1768242321831579</v>
      </c>
    </row>
    <row r="11" spans="1:9" x14ac:dyDescent="0.3">
      <c r="A11" t="s">
        <v>19</v>
      </c>
      <c r="B11">
        <v>723331</v>
      </c>
      <c r="C11">
        <v>678808</v>
      </c>
      <c r="D11">
        <f t="shared" si="0"/>
        <v>1402139</v>
      </c>
      <c r="E11" s="179">
        <f t="shared" si="1"/>
        <v>938.44726688058449</v>
      </c>
      <c r="F11" s="80">
        <f t="shared" si="2"/>
        <v>5.3190216519622817</v>
      </c>
      <c r="H11" s="40" t="s">
        <v>18</v>
      </c>
      <c r="I11" s="86">
        <v>6.1822868797372346</v>
      </c>
    </row>
    <row r="12" spans="1:9" x14ac:dyDescent="0.3">
      <c r="A12" t="s">
        <v>20</v>
      </c>
      <c r="B12">
        <v>642150</v>
      </c>
      <c r="C12">
        <v>568180</v>
      </c>
      <c r="D12">
        <f t="shared" si="0"/>
        <v>1210330</v>
      </c>
      <c r="E12" s="179">
        <f t="shared" si="1"/>
        <v>884.80884528536956</v>
      </c>
      <c r="F12" s="80">
        <f t="shared" si="2"/>
        <v>4.5913932042540067</v>
      </c>
      <c r="H12" s="40" t="s">
        <v>19</v>
      </c>
      <c r="I12" s="86">
        <v>5.3190216519622817</v>
      </c>
    </row>
    <row r="13" spans="1:9" x14ac:dyDescent="0.3">
      <c r="A13" t="s">
        <v>21</v>
      </c>
      <c r="B13">
        <v>545407</v>
      </c>
      <c r="C13">
        <v>472970</v>
      </c>
      <c r="D13">
        <f t="shared" si="0"/>
        <v>1018377</v>
      </c>
      <c r="E13" s="179">
        <f t="shared" si="1"/>
        <v>867.18725648919064</v>
      </c>
      <c r="F13" s="80">
        <f t="shared" si="2"/>
        <v>3.8632184917903234</v>
      </c>
      <c r="H13" s="40" t="s">
        <v>20</v>
      </c>
      <c r="I13" s="86">
        <v>4.5913932042540067</v>
      </c>
    </row>
    <row r="14" spans="1:9" x14ac:dyDescent="0.3">
      <c r="A14" t="s">
        <v>22</v>
      </c>
      <c r="B14">
        <v>338153</v>
      </c>
      <c r="C14">
        <v>313464</v>
      </c>
      <c r="D14">
        <f t="shared" si="0"/>
        <v>651617</v>
      </c>
      <c r="E14" s="179">
        <f t="shared" si="1"/>
        <v>926.98867080877585</v>
      </c>
      <c r="F14" s="80">
        <f t="shared" si="2"/>
        <v>2.4719125078089306</v>
      </c>
      <c r="H14" s="40" t="s">
        <v>21</v>
      </c>
      <c r="I14" s="86">
        <v>3.8632184917903234</v>
      </c>
    </row>
    <row r="15" spans="1:9" x14ac:dyDescent="0.3">
      <c r="A15" t="s">
        <v>23</v>
      </c>
      <c r="B15">
        <v>344573</v>
      </c>
      <c r="C15">
        <v>354585</v>
      </c>
      <c r="D15">
        <f t="shared" si="0"/>
        <v>699158</v>
      </c>
      <c r="E15" s="179">
        <f t="shared" si="1"/>
        <v>1029.0562522310222</v>
      </c>
      <c r="F15" s="80">
        <f t="shared" si="2"/>
        <v>2.6522595407036285</v>
      </c>
      <c r="H15" s="40" t="s">
        <v>22</v>
      </c>
      <c r="I15" s="86">
        <v>2.4719125078089306</v>
      </c>
    </row>
    <row r="16" spans="1:9" ht="15" thickBot="1" x14ac:dyDescent="0.35">
      <c r="A16" t="s">
        <v>24</v>
      </c>
      <c r="B16">
        <v>173590</v>
      </c>
      <c r="C16">
        <v>190808</v>
      </c>
      <c r="D16">
        <f t="shared" si="0"/>
        <v>364398</v>
      </c>
      <c r="E16" s="179">
        <f t="shared" si="1"/>
        <v>1099.1877412293334</v>
      </c>
      <c r="F16" s="80">
        <f t="shared" si="2"/>
        <v>1.3823457245906086</v>
      </c>
      <c r="H16" s="36" t="s">
        <v>30</v>
      </c>
      <c r="I16" s="84">
        <f>SUM(F15:F17)</f>
        <v>6.3917870004465716</v>
      </c>
    </row>
    <row r="17" spans="1:6" x14ac:dyDescent="0.3">
      <c r="A17" t="s">
        <v>25</v>
      </c>
      <c r="B17">
        <v>297566</v>
      </c>
      <c r="C17">
        <v>323807</v>
      </c>
      <c r="D17">
        <f t="shared" si="0"/>
        <v>621373</v>
      </c>
      <c r="E17" s="179">
        <f t="shared" si="1"/>
        <v>1088.1854781796308</v>
      </c>
      <c r="F17" s="80">
        <f t="shared" si="2"/>
        <v>2.3571817351523343</v>
      </c>
    </row>
    <row r="18" spans="1:6" x14ac:dyDescent="0.3">
      <c r="B18">
        <f t="shared" ref="B18:C18" si="3">SUM(B4:B17)</f>
        <v>13304109</v>
      </c>
      <c r="C18">
        <f t="shared" si="3"/>
        <v>13056735</v>
      </c>
      <c r="D18">
        <f>SUM(D4:D17)</f>
        <v>26360844</v>
      </c>
      <c r="E18" s="179">
        <f t="shared" si="1"/>
        <v>981.40619563474718</v>
      </c>
      <c r="F18" s="80">
        <f t="shared" si="2"/>
        <v>100</v>
      </c>
    </row>
    <row r="19" spans="1:6" x14ac:dyDescent="0.3">
      <c r="A19" t="s">
        <v>9</v>
      </c>
      <c r="B19">
        <f>(B3-SUM(B4:B17))</f>
        <v>5677</v>
      </c>
      <c r="C19">
        <f>(C3-SUM(C4:C17))</f>
        <v>3750</v>
      </c>
      <c r="D19">
        <f>B19+C19</f>
        <v>9427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9A672-FAB6-423D-A55D-4420C7AE9865}">
  <dimension ref="A1:N105"/>
  <sheetViews>
    <sheetView workbookViewId="0">
      <selection activeCell="M20" sqref="M20"/>
    </sheetView>
  </sheetViews>
  <sheetFormatPr defaultRowHeight="14.4" x14ac:dyDescent="0.3"/>
  <cols>
    <col min="7" max="7" width="9.5546875" bestFit="1" customWidth="1"/>
    <col min="11" max="11" width="9.5546875" bestFit="1" customWidth="1"/>
  </cols>
  <sheetData>
    <row r="1" spans="1:14" x14ac:dyDescent="0.3">
      <c r="A1">
        <v>1991</v>
      </c>
      <c r="C1" s="8" t="s">
        <v>5</v>
      </c>
      <c r="D1" s="8" t="s">
        <v>6</v>
      </c>
      <c r="E1" t="s">
        <v>4</v>
      </c>
      <c r="F1" t="s">
        <v>101</v>
      </c>
    </row>
    <row r="2" spans="1:14" ht="15" thickBot="1" x14ac:dyDescent="0.35">
      <c r="B2" s="4" t="s">
        <v>7</v>
      </c>
      <c r="C2" s="9">
        <v>15595590</v>
      </c>
      <c r="D2" s="9">
        <v>16064146</v>
      </c>
      <c r="E2">
        <f>D2+C2</f>
        <v>31659736</v>
      </c>
      <c r="F2" s="179">
        <f>(D2/C2)*1000</f>
        <v>1030.0441342712907</v>
      </c>
    </row>
    <row r="3" spans="1:14" ht="15" thickBot="1" x14ac:dyDescent="0.35">
      <c r="B3" s="4">
        <v>0</v>
      </c>
      <c r="C3" s="9">
        <v>329340</v>
      </c>
      <c r="D3" s="9">
        <v>340030</v>
      </c>
      <c r="E3">
        <f t="shared" ref="E3:E34" si="0">D3+C3</f>
        <v>669370</v>
      </c>
      <c r="F3" s="179">
        <f t="shared" ref="F3:F66" si="1">(D3/C3)*1000</f>
        <v>1032.4588571081556</v>
      </c>
      <c r="G3" s="80">
        <f>(E3/31501265)*100</f>
        <v>2.1248987937468544</v>
      </c>
      <c r="M3" s="32"/>
      <c r="N3" s="59">
        <v>1991</v>
      </c>
    </row>
    <row r="4" spans="1:14" ht="15" thickBot="1" x14ac:dyDescent="0.35">
      <c r="B4" s="4">
        <v>1</v>
      </c>
      <c r="C4" s="9">
        <v>251560</v>
      </c>
      <c r="D4" s="9">
        <v>263140</v>
      </c>
      <c r="E4">
        <f t="shared" si="0"/>
        <v>514700</v>
      </c>
      <c r="F4" s="179">
        <f t="shared" si="1"/>
        <v>1046.0327556050247</v>
      </c>
      <c r="G4" s="80">
        <f t="shared" ref="G4:G67" si="2">(E4/31501265)*100</f>
        <v>1.6339026385130881</v>
      </c>
      <c r="I4" s="32" t="s">
        <v>0</v>
      </c>
      <c r="J4" s="59">
        <v>1991</v>
      </c>
      <c r="M4" s="32" t="s">
        <v>81</v>
      </c>
      <c r="N4" s="86">
        <f>SUM(G3:G17)</f>
        <v>35.926941346641158</v>
      </c>
    </row>
    <row r="5" spans="1:14" x14ac:dyDescent="0.3">
      <c r="B5" s="4">
        <v>2</v>
      </c>
      <c r="C5" s="9">
        <v>386470</v>
      </c>
      <c r="D5" s="9">
        <v>396000</v>
      </c>
      <c r="E5">
        <f t="shared" si="0"/>
        <v>782470</v>
      </c>
      <c r="F5" s="179">
        <f t="shared" si="1"/>
        <v>1024.659093849458</v>
      </c>
      <c r="G5" s="80">
        <f t="shared" si="2"/>
        <v>2.483931994477047</v>
      </c>
      <c r="I5" s="54" t="s">
        <v>37</v>
      </c>
      <c r="J5" s="85">
        <v>2.1288088699889602</v>
      </c>
      <c r="K5" s="53"/>
      <c r="M5" s="68" t="s">
        <v>14</v>
      </c>
      <c r="N5" s="86">
        <f>SUM(G18:G22)</f>
        <v>9.5608795392819932</v>
      </c>
    </row>
    <row r="6" spans="1:14" x14ac:dyDescent="0.3">
      <c r="B6" s="4">
        <v>3</v>
      </c>
      <c r="C6" s="9">
        <v>417180</v>
      </c>
      <c r="D6" s="9">
        <v>413970</v>
      </c>
      <c r="E6">
        <f t="shared" si="0"/>
        <v>831150</v>
      </c>
      <c r="F6" s="179">
        <f t="shared" si="1"/>
        <v>992.30547964907237</v>
      </c>
      <c r="G6" s="80">
        <f t="shared" si="2"/>
        <v>2.6384654711485394</v>
      </c>
      <c r="I6" s="40" t="s">
        <v>68</v>
      </c>
      <c r="J6" s="86">
        <v>9.327680049724588</v>
      </c>
      <c r="K6" s="53"/>
      <c r="M6" s="68" t="s">
        <v>15</v>
      </c>
      <c r="N6" s="86">
        <f>SUM(G23:G27)</f>
        <v>8.96733829577955</v>
      </c>
    </row>
    <row r="7" spans="1:14" x14ac:dyDescent="0.3">
      <c r="B7" s="4">
        <v>4</v>
      </c>
      <c r="C7" s="9">
        <v>398210</v>
      </c>
      <c r="D7" s="9">
        <v>416780</v>
      </c>
      <c r="E7">
        <f t="shared" si="0"/>
        <v>814990</v>
      </c>
      <c r="F7" s="179">
        <f t="shared" si="1"/>
        <v>1046.6336857437032</v>
      </c>
      <c r="G7" s="80">
        <f t="shared" si="2"/>
        <v>2.5871659439708217</v>
      </c>
      <c r="I7" s="57" t="s">
        <v>75</v>
      </c>
      <c r="J7" s="86">
        <v>33.609461395015593</v>
      </c>
      <c r="K7" s="53"/>
      <c r="M7" s="68" t="s">
        <v>16</v>
      </c>
      <c r="N7" s="86">
        <f>SUM(G28:G32)</f>
        <v>8.4874496309910086</v>
      </c>
    </row>
    <row r="8" spans="1:14" x14ac:dyDescent="0.3">
      <c r="B8" s="4">
        <v>5</v>
      </c>
      <c r="C8" s="9">
        <v>452415</v>
      </c>
      <c r="D8" s="9">
        <v>482538</v>
      </c>
      <c r="E8">
        <f t="shared" si="0"/>
        <v>934953</v>
      </c>
      <c r="F8" s="179">
        <f t="shared" si="1"/>
        <v>1066.5826729882961</v>
      </c>
      <c r="G8" s="80">
        <f t="shared" si="2"/>
        <v>2.9679855713730863</v>
      </c>
      <c r="I8" s="40" t="s">
        <v>77</v>
      </c>
      <c r="J8" s="86">
        <v>47.714956605555628</v>
      </c>
      <c r="K8" s="53"/>
      <c r="M8" s="68" t="s">
        <v>17</v>
      </c>
      <c r="N8" s="86">
        <f>SUM(G33:G37)</f>
        <v>6.9069511970392305</v>
      </c>
    </row>
    <row r="9" spans="1:14" ht="15" thickBot="1" x14ac:dyDescent="0.35">
      <c r="B9" s="4">
        <v>6</v>
      </c>
      <c r="C9" s="9">
        <v>393107</v>
      </c>
      <c r="D9" s="9">
        <v>406761</v>
      </c>
      <c r="E9">
        <f t="shared" si="0"/>
        <v>799868</v>
      </c>
      <c r="F9" s="179">
        <f t="shared" si="1"/>
        <v>1034.7335458284895</v>
      </c>
      <c r="G9" s="80">
        <f t="shared" si="2"/>
        <v>2.539161522561078</v>
      </c>
      <c r="I9" s="36" t="s">
        <v>30</v>
      </c>
      <c r="J9" s="84">
        <v>7.21909307971523</v>
      </c>
      <c r="K9" s="53"/>
      <c r="M9" s="68" t="s">
        <v>18</v>
      </c>
      <c r="N9" s="86">
        <f>SUM(G38:G42)</f>
        <v>6.4113234817712881</v>
      </c>
    </row>
    <row r="10" spans="1:14" x14ac:dyDescent="0.3">
      <c r="B10" s="4">
        <v>7</v>
      </c>
      <c r="C10" s="9">
        <v>398400</v>
      </c>
      <c r="D10" s="9">
        <v>387080</v>
      </c>
      <c r="E10">
        <f t="shared" si="0"/>
        <v>785480</v>
      </c>
      <c r="F10" s="179">
        <f t="shared" si="1"/>
        <v>971.58634538152614</v>
      </c>
      <c r="G10" s="80">
        <f t="shared" si="2"/>
        <v>2.4934871663090354</v>
      </c>
      <c r="J10">
        <v>100</v>
      </c>
      <c r="K10" s="53"/>
      <c r="M10" s="68" t="s">
        <v>19</v>
      </c>
      <c r="N10" s="86">
        <f>SUM(G43:G47)</f>
        <v>5.0634442775552033</v>
      </c>
    </row>
    <row r="11" spans="1:14" x14ac:dyDescent="0.3">
      <c r="B11" s="4">
        <v>8</v>
      </c>
      <c r="C11" s="9">
        <v>501192</v>
      </c>
      <c r="D11" s="9">
        <v>519440</v>
      </c>
      <c r="E11">
        <f t="shared" si="0"/>
        <v>1020632</v>
      </c>
      <c r="F11" s="179">
        <f t="shared" si="1"/>
        <v>1036.4092004660888</v>
      </c>
      <c r="G11" s="80">
        <f t="shared" si="2"/>
        <v>3.2399714741614343</v>
      </c>
      <c r="M11" s="68" t="s">
        <v>20</v>
      </c>
      <c r="N11" s="86">
        <f>SUM(G48:G52)</f>
        <v>4.5879935297836445</v>
      </c>
    </row>
    <row r="12" spans="1:14" ht="15" thickBot="1" x14ac:dyDescent="0.35">
      <c r="B12" s="4">
        <v>9</v>
      </c>
      <c r="C12" s="9">
        <v>289728</v>
      </c>
      <c r="D12" s="9">
        <v>300910</v>
      </c>
      <c r="E12">
        <f t="shared" si="0"/>
        <v>590638</v>
      </c>
      <c r="F12" s="179">
        <f t="shared" si="1"/>
        <v>1038.5948199690745</v>
      </c>
      <c r="G12" s="80">
        <f t="shared" si="2"/>
        <v>1.8749659735886799</v>
      </c>
      <c r="I12" t="s">
        <v>0</v>
      </c>
      <c r="J12">
        <v>1991</v>
      </c>
      <c r="M12" s="68" t="s">
        <v>21</v>
      </c>
      <c r="N12" s="86">
        <f>SUM(G53:G57)</f>
        <v>3.9986711644754589</v>
      </c>
    </row>
    <row r="13" spans="1:14" x14ac:dyDescent="0.3">
      <c r="B13" s="4">
        <v>10</v>
      </c>
      <c r="C13" s="9">
        <v>493618</v>
      </c>
      <c r="D13" s="9">
        <v>503011</v>
      </c>
      <c r="E13">
        <f t="shared" si="0"/>
        <v>996629</v>
      </c>
      <c r="F13" s="179">
        <f t="shared" si="1"/>
        <v>1019.028884684108</v>
      </c>
      <c r="G13" s="80">
        <f t="shared" si="2"/>
        <v>3.1637745341337875</v>
      </c>
      <c r="I13" s="54" t="s">
        <v>37</v>
      </c>
      <c r="J13" s="55">
        <v>2.1288088699889602</v>
      </c>
      <c r="M13" s="68" t="s">
        <v>22</v>
      </c>
      <c r="N13" s="86">
        <f>SUM(G58:G62)</f>
        <v>2.8481681608659213</v>
      </c>
    </row>
    <row r="14" spans="1:14" ht="15" thickBot="1" x14ac:dyDescent="0.35">
      <c r="B14" s="4">
        <v>11</v>
      </c>
      <c r="C14" s="9">
        <v>220277</v>
      </c>
      <c r="D14" s="9">
        <v>233204</v>
      </c>
      <c r="E14">
        <f t="shared" si="0"/>
        <v>453481</v>
      </c>
      <c r="F14" s="179">
        <f t="shared" si="1"/>
        <v>1058.6852009061317</v>
      </c>
      <c r="G14" s="80">
        <f t="shared" si="2"/>
        <v>1.4395644111434891</v>
      </c>
      <c r="I14" s="40" t="s">
        <v>68</v>
      </c>
      <c r="J14" s="56">
        <v>9.327680049724588</v>
      </c>
      <c r="M14" s="83" t="s">
        <v>30</v>
      </c>
      <c r="N14" s="58">
        <v>7.21909307971523</v>
      </c>
    </row>
    <row r="15" spans="1:14" x14ac:dyDescent="0.3">
      <c r="B15" s="4">
        <v>12</v>
      </c>
      <c r="C15" s="9">
        <v>472753</v>
      </c>
      <c r="D15" s="9">
        <v>485918</v>
      </c>
      <c r="E15">
        <f t="shared" si="0"/>
        <v>958671</v>
      </c>
      <c r="F15" s="179">
        <f t="shared" si="1"/>
        <v>1027.8475229136568</v>
      </c>
      <c r="G15" s="80">
        <f t="shared" si="2"/>
        <v>3.0432777858286011</v>
      </c>
      <c r="I15" s="57" t="s">
        <v>75</v>
      </c>
      <c r="J15" s="56">
        <v>33.609461395015593</v>
      </c>
    </row>
    <row r="16" spans="1:14" x14ac:dyDescent="0.3">
      <c r="B16" s="4">
        <v>13</v>
      </c>
      <c r="C16" s="9">
        <v>257728</v>
      </c>
      <c r="D16" s="9">
        <v>247004</v>
      </c>
      <c r="E16">
        <f t="shared" si="0"/>
        <v>504732</v>
      </c>
      <c r="F16" s="179">
        <f t="shared" si="1"/>
        <v>958.39024087409985</v>
      </c>
      <c r="G16" s="80">
        <f t="shared" si="2"/>
        <v>1.6022594648183175</v>
      </c>
      <c r="I16" s="40" t="s">
        <v>77</v>
      </c>
      <c r="J16" s="56">
        <v>47.714956605555628</v>
      </c>
    </row>
    <row r="17" spans="2:10" ht="15" thickBot="1" x14ac:dyDescent="0.35">
      <c r="B17" s="4">
        <v>14</v>
      </c>
      <c r="C17" s="9">
        <v>335022</v>
      </c>
      <c r="D17" s="9">
        <v>324655</v>
      </c>
      <c r="E17">
        <f t="shared" si="0"/>
        <v>659677</v>
      </c>
      <c r="F17" s="179">
        <f t="shared" si="1"/>
        <v>969.05576350209833</v>
      </c>
      <c r="G17" s="80">
        <f t="shared" si="2"/>
        <v>2.0941286008672986</v>
      </c>
      <c r="I17" s="36" t="s">
        <v>30</v>
      </c>
      <c r="J17" s="58">
        <v>7.21909307971523</v>
      </c>
    </row>
    <row r="18" spans="2:10" ht="15" thickBot="1" x14ac:dyDescent="0.35">
      <c r="B18" s="4">
        <v>15</v>
      </c>
      <c r="C18" s="9">
        <v>359774</v>
      </c>
      <c r="D18" s="9">
        <v>356225</v>
      </c>
      <c r="E18">
        <f t="shared" si="0"/>
        <v>715999</v>
      </c>
      <c r="F18" s="179">
        <f t="shared" si="1"/>
        <v>990.13547393641568</v>
      </c>
      <c r="G18" s="80">
        <f t="shared" si="2"/>
        <v>2.2729214207746895</v>
      </c>
    </row>
    <row r="19" spans="2:10" x14ac:dyDescent="0.3">
      <c r="B19" s="4">
        <v>16</v>
      </c>
      <c r="C19" s="9">
        <v>325897</v>
      </c>
      <c r="D19" s="9">
        <v>292358</v>
      </c>
      <c r="E19">
        <f t="shared" si="0"/>
        <v>618255</v>
      </c>
      <c r="F19" s="179">
        <f t="shared" si="1"/>
        <v>897.08711648158783</v>
      </c>
      <c r="G19" s="80">
        <f t="shared" si="2"/>
        <v>1.9626354687660954</v>
      </c>
      <c r="I19" s="32" t="s">
        <v>0</v>
      </c>
      <c r="J19" s="59">
        <v>1991</v>
      </c>
    </row>
    <row r="20" spans="2:10" x14ac:dyDescent="0.3">
      <c r="B20" s="4">
        <v>17</v>
      </c>
      <c r="C20" s="9">
        <v>234798</v>
      </c>
      <c r="D20" s="9">
        <v>199022</v>
      </c>
      <c r="E20">
        <f t="shared" si="0"/>
        <v>433820</v>
      </c>
      <c r="F20" s="179">
        <f t="shared" si="1"/>
        <v>847.63072939292499</v>
      </c>
      <c r="G20" s="80">
        <f t="shared" si="2"/>
        <v>1.3771510445691626</v>
      </c>
      <c r="I20" s="40" t="s">
        <v>27</v>
      </c>
      <c r="J20" s="56">
        <v>11.456488919713548</v>
      </c>
    </row>
    <row r="21" spans="2:10" x14ac:dyDescent="0.3">
      <c r="B21" s="4">
        <v>18</v>
      </c>
      <c r="C21" s="9">
        <v>427008</v>
      </c>
      <c r="D21" s="9">
        <v>439341</v>
      </c>
      <c r="E21">
        <f t="shared" si="0"/>
        <v>866349</v>
      </c>
      <c r="F21" s="179">
        <f t="shared" si="1"/>
        <v>1028.8823628597122</v>
      </c>
      <c r="G21" s="80">
        <f t="shared" si="2"/>
        <v>2.7502038410203529</v>
      </c>
      <c r="I21" s="40" t="s">
        <v>69</v>
      </c>
      <c r="J21" s="56">
        <v>24.357190876329497</v>
      </c>
    </row>
    <row r="22" spans="2:10" x14ac:dyDescent="0.3">
      <c r="B22" s="4">
        <v>19</v>
      </c>
      <c r="C22" s="9">
        <v>186476</v>
      </c>
      <c r="D22" s="9">
        <v>190899</v>
      </c>
      <c r="E22">
        <f t="shared" si="0"/>
        <v>377375</v>
      </c>
      <c r="F22" s="179">
        <f t="shared" si="1"/>
        <v>1023.7188699886312</v>
      </c>
      <c r="G22" s="80">
        <f t="shared" si="2"/>
        <v>1.1979677641516937</v>
      </c>
      <c r="I22" s="40" t="s">
        <v>80</v>
      </c>
      <c r="J22" s="56">
        <v>56.967227124241724</v>
      </c>
    </row>
    <row r="23" spans="2:10" ht="15" thickBot="1" x14ac:dyDescent="0.35">
      <c r="B23" s="4">
        <v>20</v>
      </c>
      <c r="C23" s="9">
        <v>505951</v>
      </c>
      <c r="D23" s="9">
        <v>450536</v>
      </c>
      <c r="E23">
        <f t="shared" si="0"/>
        <v>956487</v>
      </c>
      <c r="F23" s="179">
        <f t="shared" si="1"/>
        <v>890.47358341025119</v>
      </c>
      <c r="G23" s="80">
        <f t="shared" si="2"/>
        <v>3.036344730917949</v>
      </c>
      <c r="I23" s="36" t="s">
        <v>30</v>
      </c>
      <c r="J23" s="58">
        <v>7.21909307971523</v>
      </c>
    </row>
    <row r="24" spans="2:10" x14ac:dyDescent="0.3">
      <c r="B24" s="4">
        <v>21</v>
      </c>
      <c r="C24" s="9">
        <v>169194</v>
      </c>
      <c r="D24" s="9">
        <v>197555</v>
      </c>
      <c r="E24">
        <f t="shared" si="0"/>
        <v>366749</v>
      </c>
      <c r="F24" s="179">
        <f t="shared" si="1"/>
        <v>1167.6241474283956</v>
      </c>
      <c r="G24" s="80">
        <f t="shared" si="2"/>
        <v>1.1642357854517904</v>
      </c>
    </row>
    <row r="25" spans="2:10" x14ac:dyDescent="0.3">
      <c r="B25" s="4">
        <v>22</v>
      </c>
      <c r="C25" s="9">
        <v>350481</v>
      </c>
      <c r="D25" s="9">
        <v>357262</v>
      </c>
      <c r="E25">
        <f t="shared" si="0"/>
        <v>707743</v>
      </c>
      <c r="F25" s="179">
        <f t="shared" si="1"/>
        <v>1019.3476964514481</v>
      </c>
      <c r="G25" s="80">
        <f t="shared" si="2"/>
        <v>2.2467129494640927</v>
      </c>
    </row>
    <row r="26" spans="2:10" x14ac:dyDescent="0.3">
      <c r="B26" s="4">
        <v>23</v>
      </c>
      <c r="C26" s="9">
        <v>189851</v>
      </c>
      <c r="D26" s="9">
        <v>209071</v>
      </c>
      <c r="E26">
        <f t="shared" si="0"/>
        <v>398922</v>
      </c>
      <c r="F26" s="179">
        <f t="shared" si="1"/>
        <v>1101.2372860822434</v>
      </c>
      <c r="G26" s="80">
        <f t="shared" si="2"/>
        <v>1.2663681918805483</v>
      </c>
    </row>
    <row r="27" spans="2:10" x14ac:dyDescent="0.3">
      <c r="B27" s="4">
        <v>24</v>
      </c>
      <c r="C27" s="9">
        <v>191683</v>
      </c>
      <c r="D27" s="9">
        <v>203241</v>
      </c>
      <c r="E27">
        <f t="shared" si="0"/>
        <v>394924</v>
      </c>
      <c r="F27" s="179">
        <f t="shared" si="1"/>
        <v>1060.2974703025307</v>
      </c>
      <c r="G27" s="80">
        <f t="shared" si="2"/>
        <v>1.2536766380651698</v>
      </c>
    </row>
    <row r="28" spans="2:10" x14ac:dyDescent="0.3">
      <c r="B28" s="4">
        <v>25</v>
      </c>
      <c r="C28" s="9">
        <v>579473</v>
      </c>
      <c r="D28" s="9">
        <v>526534</v>
      </c>
      <c r="E28">
        <f t="shared" si="0"/>
        <v>1106007</v>
      </c>
      <c r="F28" s="179">
        <f t="shared" si="1"/>
        <v>908.64285307512171</v>
      </c>
      <c r="G28" s="80">
        <f t="shared" si="2"/>
        <v>3.5109923363395086</v>
      </c>
    </row>
    <row r="29" spans="2:10" x14ac:dyDescent="0.3">
      <c r="B29" s="4">
        <v>26</v>
      </c>
      <c r="C29" s="9">
        <v>199862</v>
      </c>
      <c r="D29" s="9">
        <v>216451</v>
      </c>
      <c r="E29">
        <f t="shared" si="0"/>
        <v>416313</v>
      </c>
      <c r="F29" s="179">
        <f t="shared" si="1"/>
        <v>1083.0022715673815</v>
      </c>
      <c r="G29" s="80">
        <f t="shared" si="2"/>
        <v>1.3215754986347372</v>
      </c>
    </row>
    <row r="30" spans="2:10" x14ac:dyDescent="0.3">
      <c r="B30" s="4">
        <v>27</v>
      </c>
      <c r="C30" s="9">
        <v>148468</v>
      </c>
      <c r="D30" s="9">
        <v>169098</v>
      </c>
      <c r="E30">
        <f t="shared" si="0"/>
        <v>317566</v>
      </c>
      <c r="F30" s="179">
        <f t="shared" si="1"/>
        <v>1138.9525015491554</v>
      </c>
      <c r="G30" s="80">
        <f t="shared" si="2"/>
        <v>1.0081055475073779</v>
      </c>
    </row>
    <row r="31" spans="2:10" x14ac:dyDescent="0.3">
      <c r="B31" s="4">
        <v>28</v>
      </c>
      <c r="C31" s="9">
        <v>339603</v>
      </c>
      <c r="D31" s="9">
        <v>346399</v>
      </c>
      <c r="E31">
        <f t="shared" si="0"/>
        <v>686002</v>
      </c>
      <c r="F31" s="179">
        <f t="shared" si="1"/>
        <v>1020.0116017820808</v>
      </c>
      <c r="G31" s="80">
        <f t="shared" si="2"/>
        <v>2.1776966734510501</v>
      </c>
    </row>
    <row r="32" spans="2:10" x14ac:dyDescent="0.3">
      <c r="B32" s="4">
        <v>29</v>
      </c>
      <c r="C32" s="9">
        <v>65760</v>
      </c>
      <c r="D32" s="9">
        <v>82006</v>
      </c>
      <c r="E32">
        <f t="shared" si="0"/>
        <v>147766</v>
      </c>
      <c r="F32" s="179">
        <f t="shared" si="1"/>
        <v>1247.0498783454989</v>
      </c>
      <c r="G32" s="80">
        <f t="shared" si="2"/>
        <v>0.46907957505833497</v>
      </c>
    </row>
    <row r="33" spans="2:7" x14ac:dyDescent="0.3">
      <c r="B33" s="4">
        <v>30</v>
      </c>
      <c r="C33" s="9">
        <v>611788</v>
      </c>
      <c r="D33" s="9">
        <v>585266</v>
      </c>
      <c r="E33">
        <f t="shared" si="0"/>
        <v>1197054</v>
      </c>
      <c r="F33" s="179">
        <f t="shared" si="1"/>
        <v>956.64838146547493</v>
      </c>
      <c r="G33" s="80">
        <f t="shared" si="2"/>
        <v>3.8000188246408517</v>
      </c>
    </row>
    <row r="34" spans="2:7" x14ac:dyDescent="0.3">
      <c r="B34" s="4">
        <v>31</v>
      </c>
      <c r="C34" s="9">
        <v>52344</v>
      </c>
      <c r="D34" s="9">
        <v>67781</v>
      </c>
      <c r="E34">
        <f t="shared" si="0"/>
        <v>120125</v>
      </c>
      <c r="F34" s="179">
        <f t="shared" si="1"/>
        <v>1294.9144123490755</v>
      </c>
      <c r="G34" s="80">
        <f t="shared" si="2"/>
        <v>0.38133389246431848</v>
      </c>
    </row>
    <row r="35" spans="2:7" x14ac:dyDescent="0.3">
      <c r="B35" s="4">
        <v>32</v>
      </c>
      <c r="C35" s="9">
        <v>250911</v>
      </c>
      <c r="D35" s="9">
        <v>270623</v>
      </c>
      <c r="E35">
        <f t="shared" ref="E35:E66" si="3">D35+C35</f>
        <v>521534</v>
      </c>
      <c r="F35" s="179">
        <f t="shared" si="1"/>
        <v>1078.561721088354</v>
      </c>
      <c r="G35" s="80">
        <f t="shared" si="2"/>
        <v>1.6555970053901008</v>
      </c>
    </row>
    <row r="36" spans="2:7" x14ac:dyDescent="0.3">
      <c r="B36" s="4">
        <v>33</v>
      </c>
      <c r="C36" s="9">
        <v>79443</v>
      </c>
      <c r="D36" s="9">
        <v>94568</v>
      </c>
      <c r="E36">
        <f t="shared" si="3"/>
        <v>174011</v>
      </c>
      <c r="F36" s="179">
        <f t="shared" si="1"/>
        <v>1190.3880769860152</v>
      </c>
      <c r="G36" s="80">
        <f t="shared" si="2"/>
        <v>0.5523936895867515</v>
      </c>
    </row>
    <row r="37" spans="2:7" x14ac:dyDescent="0.3">
      <c r="B37" s="4">
        <v>34</v>
      </c>
      <c r="C37" s="9">
        <v>75852</v>
      </c>
      <c r="D37" s="9">
        <v>87201</v>
      </c>
      <c r="E37">
        <f t="shared" si="3"/>
        <v>163053</v>
      </c>
      <c r="F37" s="179">
        <f t="shared" si="1"/>
        <v>1149.6203132415756</v>
      </c>
      <c r="G37" s="80">
        <f t="shared" si="2"/>
        <v>0.51760778495720727</v>
      </c>
    </row>
    <row r="38" spans="2:7" x14ac:dyDescent="0.3">
      <c r="B38" s="4">
        <v>35</v>
      </c>
      <c r="C38" s="9">
        <v>526754</v>
      </c>
      <c r="D38" s="9">
        <v>582711</v>
      </c>
      <c r="E38">
        <f t="shared" si="3"/>
        <v>1109465</v>
      </c>
      <c r="F38" s="179">
        <f t="shared" si="1"/>
        <v>1106.229853024372</v>
      </c>
      <c r="G38" s="80">
        <f t="shared" si="2"/>
        <v>3.521969673281375</v>
      </c>
    </row>
    <row r="39" spans="2:7" x14ac:dyDescent="0.3">
      <c r="B39" s="4">
        <v>36</v>
      </c>
      <c r="C39" s="9">
        <v>127770</v>
      </c>
      <c r="D39" s="9">
        <v>147111</v>
      </c>
      <c r="E39">
        <f t="shared" si="3"/>
        <v>274881</v>
      </c>
      <c r="F39" s="179">
        <f t="shared" si="1"/>
        <v>1151.3735618689834</v>
      </c>
      <c r="G39" s="80">
        <f t="shared" si="2"/>
        <v>0.87260305260756998</v>
      </c>
    </row>
    <row r="40" spans="2:7" x14ac:dyDescent="0.3">
      <c r="B40" s="4">
        <v>37</v>
      </c>
      <c r="C40" s="9">
        <v>67410</v>
      </c>
      <c r="D40" s="9">
        <v>77730</v>
      </c>
      <c r="E40">
        <f t="shared" si="3"/>
        <v>145140</v>
      </c>
      <c r="F40" s="179">
        <f t="shared" si="1"/>
        <v>1153.0930129060971</v>
      </c>
      <c r="G40" s="80">
        <f t="shared" si="2"/>
        <v>0.46074340189195573</v>
      </c>
    </row>
    <row r="41" spans="2:7" x14ac:dyDescent="0.3">
      <c r="B41" s="4">
        <v>38</v>
      </c>
      <c r="C41" s="9">
        <v>194826</v>
      </c>
      <c r="D41" s="9">
        <v>208680</v>
      </c>
      <c r="E41">
        <f t="shared" si="3"/>
        <v>403506</v>
      </c>
      <c r="F41" s="179">
        <f t="shared" si="1"/>
        <v>1071.1096054941331</v>
      </c>
      <c r="G41" s="80">
        <f t="shared" si="2"/>
        <v>1.2809199884512574</v>
      </c>
    </row>
    <row r="42" spans="2:7" x14ac:dyDescent="0.3">
      <c r="B42" s="4">
        <v>39</v>
      </c>
      <c r="C42" s="9">
        <v>39480</v>
      </c>
      <c r="D42" s="9">
        <v>47176</v>
      </c>
      <c r="E42">
        <f t="shared" si="3"/>
        <v>86656</v>
      </c>
      <c r="F42" s="179">
        <f t="shared" si="1"/>
        <v>1194.9341438703141</v>
      </c>
      <c r="G42" s="80">
        <f t="shared" si="2"/>
        <v>0.27508736553912994</v>
      </c>
    </row>
    <row r="43" spans="2:7" x14ac:dyDescent="0.3">
      <c r="B43" s="4">
        <v>40</v>
      </c>
      <c r="C43" s="9">
        <v>507899</v>
      </c>
      <c r="D43" s="9">
        <v>534986</v>
      </c>
      <c r="E43">
        <f t="shared" si="3"/>
        <v>1042885</v>
      </c>
      <c r="F43" s="179">
        <f t="shared" si="1"/>
        <v>1053.3314694456967</v>
      </c>
      <c r="G43" s="80">
        <f t="shared" si="2"/>
        <v>3.310613081728623</v>
      </c>
    </row>
    <row r="44" spans="2:7" x14ac:dyDescent="0.3">
      <c r="B44" s="4">
        <v>41</v>
      </c>
      <c r="C44" s="9">
        <v>31850</v>
      </c>
      <c r="D44" s="9">
        <v>42524</v>
      </c>
      <c r="E44">
        <f t="shared" si="3"/>
        <v>74374</v>
      </c>
      <c r="F44" s="179">
        <f t="shared" si="1"/>
        <v>1335.1334379905809</v>
      </c>
      <c r="G44" s="80">
        <f t="shared" si="2"/>
        <v>0.23609845509378752</v>
      </c>
    </row>
    <row r="45" spans="2:7" x14ac:dyDescent="0.3">
      <c r="B45" s="4">
        <v>42</v>
      </c>
      <c r="C45" s="9">
        <v>140869</v>
      </c>
      <c r="D45" s="9">
        <v>157314</v>
      </c>
      <c r="E45">
        <f t="shared" si="3"/>
        <v>298183</v>
      </c>
      <c r="F45" s="179">
        <f t="shared" si="1"/>
        <v>1116.7396659307585</v>
      </c>
      <c r="G45" s="80">
        <f t="shared" si="2"/>
        <v>0.94657468517534127</v>
      </c>
    </row>
    <row r="46" spans="2:7" x14ac:dyDescent="0.3">
      <c r="B46" s="4">
        <v>43</v>
      </c>
      <c r="C46" s="9">
        <v>50010</v>
      </c>
      <c r="D46" s="9">
        <v>52754</v>
      </c>
      <c r="E46">
        <f t="shared" si="3"/>
        <v>102764</v>
      </c>
      <c r="F46" s="179">
        <f t="shared" si="1"/>
        <v>1054.8690261947611</v>
      </c>
      <c r="G46" s="80">
        <f t="shared" si="2"/>
        <v>0.32622181998088012</v>
      </c>
    </row>
    <row r="47" spans="2:7" x14ac:dyDescent="0.3">
      <c r="B47" s="4">
        <v>44</v>
      </c>
      <c r="C47" s="9">
        <v>36570</v>
      </c>
      <c r="D47" s="9">
        <v>40273</v>
      </c>
      <c r="E47">
        <f t="shared" si="3"/>
        <v>76843</v>
      </c>
      <c r="F47" s="179">
        <f t="shared" si="1"/>
        <v>1101.2578616352203</v>
      </c>
      <c r="G47" s="80">
        <f t="shared" si="2"/>
        <v>0.24393623557657129</v>
      </c>
    </row>
    <row r="48" spans="2:7" x14ac:dyDescent="0.3">
      <c r="B48" s="4">
        <v>45</v>
      </c>
      <c r="C48" s="9">
        <v>436533</v>
      </c>
      <c r="D48" s="9">
        <v>461941</v>
      </c>
      <c r="E48">
        <f t="shared" si="3"/>
        <v>898474</v>
      </c>
      <c r="F48" s="179">
        <f t="shared" si="1"/>
        <v>1058.2040762095878</v>
      </c>
      <c r="G48" s="80">
        <f t="shared" si="2"/>
        <v>2.852183872615909</v>
      </c>
    </row>
    <row r="49" spans="2:7" x14ac:dyDescent="0.3">
      <c r="B49" s="4">
        <v>46</v>
      </c>
      <c r="C49" s="9">
        <v>58840</v>
      </c>
      <c r="D49" s="9">
        <v>65130</v>
      </c>
      <c r="E49">
        <f t="shared" si="3"/>
        <v>123970</v>
      </c>
      <c r="F49" s="179">
        <f t="shared" si="1"/>
        <v>1106.9000679809653</v>
      </c>
      <c r="G49" s="80">
        <f t="shared" si="2"/>
        <v>0.39353975149886838</v>
      </c>
    </row>
    <row r="50" spans="2:7" x14ac:dyDescent="0.3">
      <c r="B50" s="4">
        <v>47</v>
      </c>
      <c r="C50" s="9">
        <v>41219</v>
      </c>
      <c r="D50" s="9">
        <v>48863</v>
      </c>
      <c r="E50">
        <f t="shared" si="3"/>
        <v>90082</v>
      </c>
      <c r="F50" s="179">
        <f t="shared" si="1"/>
        <v>1185.4484582352798</v>
      </c>
      <c r="G50" s="80">
        <f t="shared" si="2"/>
        <v>0.28596311925886153</v>
      </c>
    </row>
    <row r="51" spans="2:7" x14ac:dyDescent="0.3">
      <c r="B51" s="4">
        <v>48</v>
      </c>
      <c r="C51" s="9">
        <v>136744</v>
      </c>
      <c r="D51" s="9">
        <v>147566</v>
      </c>
      <c r="E51">
        <f t="shared" si="3"/>
        <v>284310</v>
      </c>
      <c r="F51" s="179">
        <f t="shared" si="1"/>
        <v>1079.1405838647399</v>
      </c>
      <c r="G51" s="80">
        <f t="shared" si="2"/>
        <v>0.90253518390451937</v>
      </c>
    </row>
    <row r="52" spans="2:7" x14ac:dyDescent="0.3">
      <c r="B52" s="4">
        <v>49</v>
      </c>
      <c r="C52" s="9">
        <v>22110</v>
      </c>
      <c r="D52" s="9">
        <v>26330</v>
      </c>
      <c r="E52">
        <f t="shared" si="3"/>
        <v>48440</v>
      </c>
      <c r="F52" s="179">
        <f t="shared" si="1"/>
        <v>1190.8638625056535</v>
      </c>
      <c r="G52" s="80">
        <f t="shared" si="2"/>
        <v>0.15377160250548669</v>
      </c>
    </row>
    <row r="53" spans="2:7" x14ac:dyDescent="0.3">
      <c r="B53" s="4">
        <v>50</v>
      </c>
      <c r="C53" s="9">
        <v>435649</v>
      </c>
      <c r="D53" s="9">
        <v>451379</v>
      </c>
      <c r="E53">
        <f t="shared" si="3"/>
        <v>887028</v>
      </c>
      <c r="F53" s="179">
        <f t="shared" si="1"/>
        <v>1036.1070494824962</v>
      </c>
      <c r="G53" s="80">
        <f t="shared" si="2"/>
        <v>2.8158488238488202</v>
      </c>
    </row>
    <row r="54" spans="2:7" x14ac:dyDescent="0.3">
      <c r="B54" s="4">
        <v>51</v>
      </c>
      <c r="C54" s="9">
        <v>23650</v>
      </c>
      <c r="D54" s="9">
        <v>34060</v>
      </c>
      <c r="E54">
        <f t="shared" si="3"/>
        <v>57710</v>
      </c>
      <c r="F54" s="179">
        <f t="shared" si="1"/>
        <v>1440.1691331923889</v>
      </c>
      <c r="G54" s="80">
        <f t="shared" si="2"/>
        <v>0.18319899216745739</v>
      </c>
    </row>
    <row r="55" spans="2:7" x14ac:dyDescent="0.3">
      <c r="B55" s="4">
        <v>52</v>
      </c>
      <c r="C55" s="9">
        <v>82487</v>
      </c>
      <c r="D55" s="9">
        <v>102878</v>
      </c>
      <c r="E55">
        <f t="shared" si="3"/>
        <v>185365</v>
      </c>
      <c r="F55" s="179">
        <f t="shared" si="1"/>
        <v>1247.2025894989513</v>
      </c>
      <c r="G55" s="80">
        <f t="shared" si="2"/>
        <v>0.5884366865902052</v>
      </c>
    </row>
    <row r="56" spans="2:7" x14ac:dyDescent="0.3">
      <c r="B56" s="4">
        <v>53</v>
      </c>
      <c r="C56" s="9">
        <v>29215</v>
      </c>
      <c r="D56" s="9">
        <v>37682</v>
      </c>
      <c r="E56">
        <f t="shared" si="3"/>
        <v>66897</v>
      </c>
      <c r="F56" s="179">
        <f t="shared" si="1"/>
        <v>1289.8168748930343</v>
      </c>
      <c r="G56" s="80">
        <f t="shared" si="2"/>
        <v>0.21236290034701782</v>
      </c>
    </row>
    <row r="57" spans="2:7" x14ac:dyDescent="0.3">
      <c r="B57" s="4">
        <v>54</v>
      </c>
      <c r="C57" s="9">
        <v>28380</v>
      </c>
      <c r="D57" s="9">
        <v>34252</v>
      </c>
      <c r="E57">
        <f t="shared" si="3"/>
        <v>62632</v>
      </c>
      <c r="F57" s="179">
        <f t="shared" si="1"/>
        <v>1206.9062720225511</v>
      </c>
      <c r="G57" s="80">
        <f t="shared" si="2"/>
        <v>0.19882376152195791</v>
      </c>
    </row>
    <row r="58" spans="2:7" x14ac:dyDescent="0.3">
      <c r="B58" s="4">
        <v>55</v>
      </c>
      <c r="C58" s="9">
        <v>299252</v>
      </c>
      <c r="D58" s="9">
        <v>293053</v>
      </c>
      <c r="E58">
        <f t="shared" si="3"/>
        <v>592305</v>
      </c>
      <c r="F58" s="179">
        <f t="shared" si="1"/>
        <v>979.28501730982589</v>
      </c>
      <c r="G58" s="80">
        <f t="shared" si="2"/>
        <v>1.8802578245667279</v>
      </c>
    </row>
    <row r="59" spans="2:7" x14ac:dyDescent="0.3">
      <c r="B59" s="4">
        <v>56</v>
      </c>
      <c r="C59" s="9">
        <v>39930</v>
      </c>
      <c r="D59" s="9">
        <v>48600</v>
      </c>
      <c r="E59">
        <f t="shared" si="3"/>
        <v>88530</v>
      </c>
      <c r="F59" s="179">
        <f t="shared" si="1"/>
        <v>1217.1299774605559</v>
      </c>
      <c r="G59" s="80">
        <f t="shared" si="2"/>
        <v>0.28103633298535791</v>
      </c>
    </row>
    <row r="60" spans="2:7" x14ac:dyDescent="0.3">
      <c r="B60" s="4">
        <v>57</v>
      </c>
      <c r="C60" s="9">
        <v>21340</v>
      </c>
      <c r="D60" s="9">
        <v>25974</v>
      </c>
      <c r="E60">
        <f t="shared" si="3"/>
        <v>47314</v>
      </c>
      <c r="F60" s="179">
        <f t="shared" si="1"/>
        <v>1217.1508903467668</v>
      </c>
      <c r="G60" s="80">
        <f t="shared" si="2"/>
        <v>0.15019714287664321</v>
      </c>
    </row>
    <row r="61" spans="2:7" x14ac:dyDescent="0.3">
      <c r="B61" s="4">
        <v>58</v>
      </c>
      <c r="C61" s="9">
        <v>69113</v>
      </c>
      <c r="D61" s="9">
        <v>73331</v>
      </c>
      <c r="E61">
        <f t="shared" si="3"/>
        <v>142444</v>
      </c>
      <c r="F61" s="179">
        <f t="shared" si="1"/>
        <v>1061.0304863050367</v>
      </c>
      <c r="G61" s="80">
        <f t="shared" si="2"/>
        <v>0.45218501542715828</v>
      </c>
    </row>
    <row r="62" spans="2:7" x14ac:dyDescent="0.3">
      <c r="B62" s="4">
        <v>59</v>
      </c>
      <c r="C62" s="9">
        <v>11100</v>
      </c>
      <c r="D62" s="9">
        <v>15516</v>
      </c>
      <c r="E62">
        <f t="shared" si="3"/>
        <v>26616</v>
      </c>
      <c r="F62" s="179">
        <f t="shared" si="1"/>
        <v>1397.8378378378377</v>
      </c>
      <c r="G62" s="80">
        <f t="shared" si="2"/>
        <v>8.4491845010033734E-2</v>
      </c>
    </row>
    <row r="63" spans="2:7" x14ac:dyDescent="0.3">
      <c r="B63" s="4">
        <v>60</v>
      </c>
      <c r="C63" s="9">
        <v>359777</v>
      </c>
      <c r="D63" s="9">
        <v>351545</v>
      </c>
      <c r="E63">
        <f t="shared" si="3"/>
        <v>711322</v>
      </c>
      <c r="F63" s="179">
        <f t="shared" si="1"/>
        <v>977.11915992406409</v>
      </c>
      <c r="G63" s="80">
        <f t="shared" si="2"/>
        <v>2.2580743979646529</v>
      </c>
    </row>
    <row r="64" spans="2:7" x14ac:dyDescent="0.3">
      <c r="B64" s="4">
        <v>61</v>
      </c>
      <c r="C64" s="9">
        <v>14352</v>
      </c>
      <c r="D64" s="9">
        <v>19096</v>
      </c>
      <c r="E64">
        <f t="shared" si="3"/>
        <v>33448</v>
      </c>
      <c r="F64" s="179">
        <f t="shared" si="1"/>
        <v>1330.5462653288739</v>
      </c>
      <c r="G64" s="80">
        <f t="shared" si="2"/>
        <v>0.10617986293566307</v>
      </c>
    </row>
    <row r="65" spans="2:7" x14ac:dyDescent="0.3">
      <c r="B65" s="4">
        <v>62</v>
      </c>
      <c r="C65" s="9">
        <v>54130</v>
      </c>
      <c r="D65" s="9">
        <v>64520</v>
      </c>
      <c r="E65">
        <f t="shared" si="3"/>
        <v>118650</v>
      </c>
      <c r="F65" s="179">
        <f t="shared" si="1"/>
        <v>1191.9453168298542</v>
      </c>
      <c r="G65" s="80">
        <f t="shared" si="2"/>
        <v>0.37665154081907504</v>
      </c>
    </row>
    <row r="66" spans="2:7" x14ac:dyDescent="0.3">
      <c r="B66" s="4">
        <v>63</v>
      </c>
      <c r="C66" s="9">
        <v>15270</v>
      </c>
      <c r="D66" s="9">
        <v>19630</v>
      </c>
      <c r="E66">
        <f t="shared" si="3"/>
        <v>34900</v>
      </c>
      <c r="F66" s="179">
        <f t="shared" si="1"/>
        <v>1285.5271774721678</v>
      </c>
      <c r="G66" s="80">
        <f t="shared" si="2"/>
        <v>0.11078920163999763</v>
      </c>
    </row>
    <row r="67" spans="2:7" x14ac:dyDescent="0.3">
      <c r="B67" s="4">
        <v>64</v>
      </c>
      <c r="C67" s="9">
        <v>10530</v>
      </c>
      <c r="D67" s="9">
        <v>14880</v>
      </c>
      <c r="E67">
        <f t="shared" ref="E67:E98" si="4">D67+C67</f>
        <v>25410</v>
      </c>
      <c r="F67" s="179">
        <f t="shared" ref="F67:F105" si="5">(D67/C67)*1000</f>
        <v>1413.1054131054129</v>
      </c>
      <c r="G67" s="80">
        <f t="shared" si="2"/>
        <v>8.0663427325855006E-2</v>
      </c>
    </row>
    <row r="68" spans="2:7" x14ac:dyDescent="0.3">
      <c r="B68" s="4">
        <v>65</v>
      </c>
      <c r="C68" s="9">
        <v>201560</v>
      </c>
      <c r="D68" s="9">
        <v>192871</v>
      </c>
      <c r="E68">
        <f t="shared" si="4"/>
        <v>394431</v>
      </c>
      <c r="F68" s="179">
        <f t="shared" si="5"/>
        <v>956.8912482635443</v>
      </c>
      <c r="G68" s="80">
        <f t="shared" ref="G68:G104" si="6">(E68/31501265)*100</f>
        <v>1.2521116215491663</v>
      </c>
    </row>
    <row r="69" spans="2:7" x14ac:dyDescent="0.3">
      <c r="B69" s="4">
        <v>66</v>
      </c>
      <c r="C69" s="9">
        <v>13643</v>
      </c>
      <c r="D69" s="9">
        <v>15830</v>
      </c>
      <c r="E69">
        <f t="shared" si="4"/>
        <v>29473</v>
      </c>
      <c r="F69" s="179">
        <f t="shared" si="5"/>
        <v>1160.3019863666348</v>
      </c>
      <c r="G69" s="80">
        <f t="shared" si="6"/>
        <v>9.3561322061193414E-2</v>
      </c>
    </row>
    <row r="70" spans="2:7" x14ac:dyDescent="0.3">
      <c r="B70" s="4">
        <v>67</v>
      </c>
      <c r="C70" s="9">
        <v>9909</v>
      </c>
      <c r="D70" s="9">
        <v>13120</v>
      </c>
      <c r="E70">
        <f t="shared" si="4"/>
        <v>23029</v>
      </c>
      <c r="F70" s="179">
        <f t="shared" si="5"/>
        <v>1324.0488444848118</v>
      </c>
      <c r="G70" s="80">
        <f t="shared" si="6"/>
        <v>7.3105000703939993E-2</v>
      </c>
    </row>
    <row r="71" spans="2:7" x14ac:dyDescent="0.3">
      <c r="B71" s="4">
        <v>68</v>
      </c>
      <c r="C71" s="9">
        <v>28580</v>
      </c>
      <c r="D71" s="9">
        <v>29646</v>
      </c>
      <c r="E71">
        <f t="shared" si="4"/>
        <v>58226</v>
      </c>
      <c r="F71" s="179">
        <f t="shared" si="5"/>
        <v>1037.298810356893</v>
      </c>
      <c r="G71" s="80">
        <f t="shared" si="6"/>
        <v>0.18483702162436969</v>
      </c>
    </row>
    <row r="72" spans="2:7" x14ac:dyDescent="0.3">
      <c r="B72" s="4">
        <v>69</v>
      </c>
      <c r="C72" s="9">
        <v>5630</v>
      </c>
      <c r="D72" s="9">
        <v>6780</v>
      </c>
      <c r="E72">
        <f t="shared" si="4"/>
        <v>12410</v>
      </c>
      <c r="F72" s="179">
        <f t="shared" si="5"/>
        <v>1204.2628774422735</v>
      </c>
      <c r="G72" s="80">
        <f t="shared" si="6"/>
        <v>3.939524333387881E-2</v>
      </c>
    </row>
    <row r="73" spans="2:7" x14ac:dyDescent="0.3">
      <c r="B73" s="4">
        <v>70</v>
      </c>
      <c r="C73" s="9">
        <v>182626</v>
      </c>
      <c r="D73" s="9">
        <v>167141</v>
      </c>
      <c r="E73">
        <f t="shared" si="4"/>
        <v>349767</v>
      </c>
      <c r="F73" s="179">
        <f t="shared" si="5"/>
        <v>915.20922541149673</v>
      </c>
      <c r="G73" s="80">
        <f t="shared" si="6"/>
        <v>1.110326839255503</v>
      </c>
    </row>
    <row r="74" spans="2:7" x14ac:dyDescent="0.3">
      <c r="B74" s="4">
        <v>71</v>
      </c>
      <c r="C74" s="9">
        <v>5930</v>
      </c>
      <c r="D74" s="9">
        <v>7840</v>
      </c>
      <c r="E74">
        <f t="shared" si="4"/>
        <v>13770</v>
      </c>
      <c r="F74" s="179">
        <f t="shared" si="5"/>
        <v>1322.0910623946036</v>
      </c>
      <c r="G74" s="80">
        <f t="shared" si="6"/>
        <v>4.371253027457786E-2</v>
      </c>
    </row>
    <row r="75" spans="2:7" x14ac:dyDescent="0.3">
      <c r="B75" s="4">
        <v>72</v>
      </c>
      <c r="C75" s="9">
        <v>21180</v>
      </c>
      <c r="D75" s="9">
        <v>26520</v>
      </c>
      <c r="E75">
        <f t="shared" si="4"/>
        <v>47700</v>
      </c>
      <c r="F75" s="179">
        <f t="shared" si="5"/>
        <v>1252.1246458923513</v>
      </c>
      <c r="G75" s="80">
        <f t="shared" si="6"/>
        <v>0.15142249049363574</v>
      </c>
    </row>
    <row r="76" spans="2:7" x14ac:dyDescent="0.3">
      <c r="B76" s="4">
        <v>73</v>
      </c>
      <c r="C76" s="9">
        <v>5540</v>
      </c>
      <c r="D76" s="9">
        <v>7320</v>
      </c>
      <c r="E76">
        <f t="shared" si="4"/>
        <v>12860</v>
      </c>
      <c r="F76" s="179">
        <f t="shared" si="5"/>
        <v>1321.2996389891696</v>
      </c>
      <c r="G76" s="80">
        <f t="shared" si="6"/>
        <v>4.0823757395139527E-2</v>
      </c>
    </row>
    <row r="77" spans="2:7" x14ac:dyDescent="0.3">
      <c r="B77" s="4">
        <v>74</v>
      </c>
      <c r="C77" s="9">
        <v>3560</v>
      </c>
      <c r="D77" s="9">
        <v>6240</v>
      </c>
      <c r="E77">
        <f t="shared" si="4"/>
        <v>9800</v>
      </c>
      <c r="F77" s="179">
        <f t="shared" si="5"/>
        <v>1752.8089887640449</v>
      </c>
      <c r="G77" s="80">
        <f t="shared" si="6"/>
        <v>3.1109861778566669E-2</v>
      </c>
    </row>
    <row r="78" spans="2:7" x14ac:dyDescent="0.3">
      <c r="B78" s="4">
        <v>75</v>
      </c>
      <c r="C78" s="9">
        <v>68074</v>
      </c>
      <c r="D78" s="9">
        <v>63266</v>
      </c>
      <c r="E78">
        <f t="shared" si="4"/>
        <v>131340</v>
      </c>
      <c r="F78" s="179">
        <f t="shared" si="5"/>
        <v>929.37097864089083</v>
      </c>
      <c r="G78" s="80">
        <f t="shared" si="6"/>
        <v>0.4169356373466272</v>
      </c>
    </row>
    <row r="79" spans="2:7" x14ac:dyDescent="0.3">
      <c r="B79" s="4">
        <v>76</v>
      </c>
      <c r="C79" s="9">
        <v>5790</v>
      </c>
      <c r="D79" s="9">
        <v>7130</v>
      </c>
      <c r="E79">
        <f t="shared" si="4"/>
        <v>12920</v>
      </c>
      <c r="F79" s="179">
        <f t="shared" si="5"/>
        <v>1231.433506044905</v>
      </c>
      <c r="G79" s="80">
        <f t="shared" si="6"/>
        <v>4.1014225936640961E-2</v>
      </c>
    </row>
    <row r="80" spans="2:7" x14ac:dyDescent="0.3">
      <c r="B80" s="4">
        <v>77</v>
      </c>
      <c r="C80" s="9">
        <v>2680</v>
      </c>
      <c r="D80" s="9">
        <v>3904</v>
      </c>
      <c r="E80">
        <f t="shared" si="4"/>
        <v>6584</v>
      </c>
      <c r="F80" s="179">
        <f t="shared" si="5"/>
        <v>1456.7164179104477</v>
      </c>
      <c r="G80" s="80">
        <f t="shared" si="6"/>
        <v>2.0900747954090099E-2</v>
      </c>
    </row>
    <row r="81" spans="2:7" x14ac:dyDescent="0.3">
      <c r="B81" s="4">
        <v>78</v>
      </c>
      <c r="C81" s="9">
        <v>7810</v>
      </c>
      <c r="D81" s="9">
        <v>9420</v>
      </c>
      <c r="E81">
        <f t="shared" si="4"/>
        <v>17230</v>
      </c>
      <c r="F81" s="179">
        <f t="shared" si="5"/>
        <v>1206.145966709347</v>
      </c>
      <c r="G81" s="80">
        <f t="shared" si="6"/>
        <v>5.4696216167826911E-2</v>
      </c>
    </row>
    <row r="82" spans="2:7" x14ac:dyDescent="0.3">
      <c r="B82" s="4">
        <v>79</v>
      </c>
      <c r="C82" s="9">
        <v>1390</v>
      </c>
      <c r="D82" s="9">
        <v>2160</v>
      </c>
      <c r="E82">
        <f t="shared" si="4"/>
        <v>3550</v>
      </c>
      <c r="F82" s="179">
        <f t="shared" si="5"/>
        <v>1553.9568345323742</v>
      </c>
      <c r="G82" s="80">
        <f t="shared" si="6"/>
        <v>1.1269388705501192E-2</v>
      </c>
    </row>
    <row r="83" spans="2:7" x14ac:dyDescent="0.3">
      <c r="B83" s="4">
        <v>80</v>
      </c>
      <c r="C83" s="9">
        <v>60280</v>
      </c>
      <c r="D83" s="9">
        <v>61912</v>
      </c>
      <c r="E83">
        <f t="shared" si="4"/>
        <v>122192</v>
      </c>
      <c r="F83" s="179">
        <f t="shared" si="5"/>
        <v>1027.0736562707366</v>
      </c>
      <c r="G83" s="80">
        <f t="shared" si="6"/>
        <v>0.38789553371904267</v>
      </c>
    </row>
    <row r="84" spans="2:7" x14ac:dyDescent="0.3">
      <c r="B84" s="4">
        <v>81</v>
      </c>
      <c r="C84" s="9">
        <v>3064</v>
      </c>
      <c r="D84" s="9">
        <v>5264</v>
      </c>
      <c r="E84">
        <f t="shared" si="4"/>
        <v>8328</v>
      </c>
      <c r="F84" s="179">
        <f t="shared" si="5"/>
        <v>1718.0156657963446</v>
      </c>
      <c r="G84" s="80">
        <f t="shared" si="6"/>
        <v>2.6437033560398292E-2</v>
      </c>
    </row>
    <row r="85" spans="2:7" x14ac:dyDescent="0.3">
      <c r="B85" s="4">
        <v>82</v>
      </c>
      <c r="C85" s="9">
        <v>5058</v>
      </c>
      <c r="D85" s="9">
        <v>7307</v>
      </c>
      <c r="E85">
        <f t="shared" si="4"/>
        <v>12365</v>
      </c>
      <c r="F85" s="179">
        <f t="shared" si="5"/>
        <v>1444.6421510478451</v>
      </c>
      <c r="G85" s="80">
        <f t="shared" si="6"/>
        <v>3.925239192775274E-2</v>
      </c>
    </row>
    <row r="86" spans="2:7" x14ac:dyDescent="0.3">
      <c r="B86" s="4">
        <v>83</v>
      </c>
      <c r="C86" s="9">
        <v>1233</v>
      </c>
      <c r="D86" s="9">
        <v>2303</v>
      </c>
      <c r="E86">
        <f t="shared" si="4"/>
        <v>3536</v>
      </c>
      <c r="F86" s="179">
        <f t="shared" si="5"/>
        <v>1867.8021086780209</v>
      </c>
      <c r="G86" s="80">
        <f t="shared" si="6"/>
        <v>1.1224946045817525E-2</v>
      </c>
    </row>
    <row r="87" spans="2:7" x14ac:dyDescent="0.3">
      <c r="B87" s="4">
        <v>84</v>
      </c>
      <c r="C87" s="9">
        <v>1000</v>
      </c>
      <c r="D87" s="9">
        <v>2261</v>
      </c>
      <c r="E87">
        <f t="shared" si="4"/>
        <v>3261</v>
      </c>
      <c r="F87" s="179">
        <f t="shared" si="5"/>
        <v>2261</v>
      </c>
      <c r="G87" s="80">
        <f t="shared" si="6"/>
        <v>1.0351965230602644E-2</v>
      </c>
    </row>
    <row r="88" spans="2:7" x14ac:dyDescent="0.3">
      <c r="B88" s="4">
        <v>85</v>
      </c>
      <c r="C88" s="9">
        <v>14513</v>
      </c>
      <c r="D88" s="9">
        <v>16210</v>
      </c>
      <c r="E88">
        <f t="shared" si="4"/>
        <v>30723</v>
      </c>
      <c r="F88" s="179">
        <f t="shared" si="5"/>
        <v>1116.9296492799558</v>
      </c>
      <c r="G88" s="80">
        <f t="shared" si="6"/>
        <v>9.7529416675806502E-2</v>
      </c>
    </row>
    <row r="89" spans="2:7" x14ac:dyDescent="0.3">
      <c r="B89" s="4">
        <v>86</v>
      </c>
      <c r="C89" s="9">
        <v>1074</v>
      </c>
      <c r="D89" s="9">
        <v>2513</v>
      </c>
      <c r="E89">
        <f t="shared" si="4"/>
        <v>3587</v>
      </c>
      <c r="F89" s="179">
        <f t="shared" si="5"/>
        <v>2339.8510242085663</v>
      </c>
      <c r="G89" s="80">
        <f t="shared" si="6"/>
        <v>1.1386844306093741E-2</v>
      </c>
    </row>
    <row r="90" spans="2:7" x14ac:dyDescent="0.3">
      <c r="B90" s="4">
        <v>87</v>
      </c>
      <c r="C90" s="9">
        <v>985</v>
      </c>
      <c r="D90" s="9">
        <v>1832</v>
      </c>
      <c r="E90">
        <f t="shared" si="4"/>
        <v>2817</v>
      </c>
      <c r="F90" s="179">
        <f t="shared" si="5"/>
        <v>1859.8984771573603</v>
      </c>
      <c r="G90" s="80">
        <f t="shared" si="6"/>
        <v>8.942498023492073E-3</v>
      </c>
    </row>
    <row r="91" spans="2:7" x14ac:dyDescent="0.3">
      <c r="B91" s="4">
        <v>88</v>
      </c>
      <c r="C91" s="9">
        <v>1712</v>
      </c>
      <c r="D91" s="9">
        <v>1965</v>
      </c>
      <c r="E91">
        <f t="shared" si="4"/>
        <v>3677</v>
      </c>
      <c r="F91" s="179">
        <f t="shared" si="5"/>
        <v>1147.7803738317757</v>
      </c>
      <c r="G91" s="80">
        <f t="shared" si="6"/>
        <v>1.1672547118345882E-2</v>
      </c>
    </row>
    <row r="92" spans="2:7" x14ac:dyDescent="0.3">
      <c r="B92" s="4">
        <v>89</v>
      </c>
      <c r="C92" s="9">
        <v>480</v>
      </c>
      <c r="D92" s="9">
        <v>737</v>
      </c>
      <c r="E92">
        <f t="shared" si="4"/>
        <v>1217</v>
      </c>
      <c r="F92" s="179">
        <f t="shared" si="5"/>
        <v>1535.4166666666667</v>
      </c>
      <c r="G92" s="80">
        <f t="shared" si="6"/>
        <v>3.8633369167873099E-3</v>
      </c>
    </row>
    <row r="93" spans="2:7" x14ac:dyDescent="0.3">
      <c r="B93" s="4">
        <v>90</v>
      </c>
      <c r="C93" s="9">
        <v>10317</v>
      </c>
      <c r="D93" s="9">
        <v>10480</v>
      </c>
      <c r="E93">
        <f t="shared" si="4"/>
        <v>20797</v>
      </c>
      <c r="F93" s="179">
        <f t="shared" si="5"/>
        <v>1015.7991664243482</v>
      </c>
      <c r="G93" s="80">
        <f t="shared" si="6"/>
        <v>6.6019570960086843E-2</v>
      </c>
    </row>
    <row r="94" spans="2:7" x14ac:dyDescent="0.3">
      <c r="B94" s="4">
        <v>91</v>
      </c>
      <c r="C94" s="9">
        <v>1336</v>
      </c>
      <c r="D94" s="9">
        <v>1761</v>
      </c>
      <c r="E94">
        <f t="shared" si="4"/>
        <v>3097</v>
      </c>
      <c r="F94" s="179">
        <f t="shared" si="5"/>
        <v>1318.1137724550897</v>
      </c>
      <c r="G94" s="80">
        <f t="shared" si="6"/>
        <v>9.8313512171654058E-3</v>
      </c>
    </row>
    <row r="95" spans="2:7" x14ac:dyDescent="0.3">
      <c r="B95" s="4">
        <v>92</v>
      </c>
      <c r="C95" s="9">
        <v>981</v>
      </c>
      <c r="D95" s="9">
        <v>1107</v>
      </c>
      <c r="E95">
        <f t="shared" si="4"/>
        <v>2088</v>
      </c>
      <c r="F95" s="179">
        <f t="shared" si="5"/>
        <v>1128.440366972477</v>
      </c>
      <c r="G95" s="80">
        <f t="shared" si="6"/>
        <v>6.6283052442497152E-3</v>
      </c>
    </row>
    <row r="96" spans="2:7" x14ac:dyDescent="0.3">
      <c r="B96" s="4">
        <v>93</v>
      </c>
      <c r="C96" s="9">
        <v>274</v>
      </c>
      <c r="D96" s="9">
        <v>410</v>
      </c>
      <c r="E96">
        <f t="shared" si="4"/>
        <v>684</v>
      </c>
      <c r="F96" s="179">
        <f t="shared" si="5"/>
        <v>1496.3503649635038</v>
      </c>
      <c r="G96" s="80">
        <f t="shared" si="6"/>
        <v>2.1713413731162859E-3</v>
      </c>
    </row>
    <row r="97" spans="2:7" x14ac:dyDescent="0.3">
      <c r="B97" s="4">
        <v>94</v>
      </c>
      <c r="C97" s="9">
        <v>114</v>
      </c>
      <c r="D97" s="9">
        <v>196</v>
      </c>
      <c r="E97">
        <f t="shared" si="4"/>
        <v>310</v>
      </c>
      <c r="F97" s="179">
        <f t="shared" si="5"/>
        <v>1719.2982456140351</v>
      </c>
      <c r="G97" s="80">
        <f t="shared" si="6"/>
        <v>9.8408746442404786E-4</v>
      </c>
    </row>
    <row r="98" spans="2:7" x14ac:dyDescent="0.3">
      <c r="B98" s="4">
        <v>95</v>
      </c>
      <c r="C98" s="9">
        <v>3042</v>
      </c>
      <c r="D98" s="9">
        <v>3008</v>
      </c>
      <c r="E98">
        <f t="shared" si="4"/>
        <v>6050</v>
      </c>
      <c r="F98" s="179">
        <f t="shared" si="5"/>
        <v>988.82314266929654</v>
      </c>
      <c r="G98" s="80">
        <f t="shared" si="6"/>
        <v>1.9205577934727384E-2</v>
      </c>
    </row>
    <row r="99" spans="2:7" x14ac:dyDescent="0.3">
      <c r="B99" s="4">
        <v>96</v>
      </c>
      <c r="C99" s="9">
        <v>433</v>
      </c>
      <c r="D99" s="9">
        <v>544</v>
      </c>
      <c r="E99">
        <f t="shared" ref="E99:E103" si="7">D99+C99</f>
        <v>977</v>
      </c>
      <c r="F99" s="179">
        <f t="shared" si="5"/>
        <v>1256.3510392609701</v>
      </c>
      <c r="G99" s="80">
        <f t="shared" si="6"/>
        <v>3.1014627507815959E-3</v>
      </c>
    </row>
    <row r="100" spans="2:7" x14ac:dyDescent="0.3">
      <c r="B100" s="4">
        <v>97</v>
      </c>
      <c r="C100" s="9">
        <v>261</v>
      </c>
      <c r="D100" s="9">
        <v>338</v>
      </c>
      <c r="E100">
        <f t="shared" si="7"/>
        <v>599</v>
      </c>
      <c r="F100" s="179">
        <f t="shared" si="5"/>
        <v>1295.0191570881227</v>
      </c>
      <c r="G100" s="80">
        <f t="shared" si="6"/>
        <v>1.9015109393225953E-3</v>
      </c>
    </row>
    <row r="101" spans="2:7" x14ac:dyDescent="0.3">
      <c r="B101" s="4">
        <v>98</v>
      </c>
      <c r="C101" s="9">
        <v>659</v>
      </c>
      <c r="D101" s="9">
        <v>871</v>
      </c>
      <c r="E101">
        <f t="shared" si="7"/>
        <v>1530</v>
      </c>
      <c r="F101" s="179">
        <f t="shared" si="5"/>
        <v>1321.6995447647953</v>
      </c>
      <c r="G101" s="80">
        <f t="shared" si="6"/>
        <v>4.8569478082864295E-3</v>
      </c>
    </row>
    <row r="102" spans="2:7" x14ac:dyDescent="0.3">
      <c r="B102" s="4">
        <v>99</v>
      </c>
      <c r="C102" s="9">
        <v>931</v>
      </c>
      <c r="D102" s="9">
        <v>1306</v>
      </c>
      <c r="E102">
        <f t="shared" si="7"/>
        <v>2237</v>
      </c>
      <c r="F102" s="179">
        <f t="shared" si="5"/>
        <v>1402.7926960257789</v>
      </c>
      <c r="G102" s="80">
        <f t="shared" si="6"/>
        <v>7.1013021223115961E-3</v>
      </c>
    </row>
    <row r="103" spans="2:7" x14ac:dyDescent="0.3">
      <c r="B103" s="4" t="s">
        <v>8</v>
      </c>
      <c r="C103" s="9">
        <v>2158</v>
      </c>
      <c r="D103" s="9">
        <v>1906</v>
      </c>
      <c r="E103">
        <f t="shared" si="7"/>
        <v>4064</v>
      </c>
      <c r="F103" s="179">
        <f t="shared" si="5"/>
        <v>883.22520852641344</v>
      </c>
      <c r="G103" s="80">
        <f t="shared" si="6"/>
        <v>1.2901069211030097E-2</v>
      </c>
    </row>
    <row r="104" spans="2:7" x14ac:dyDescent="0.3">
      <c r="C104">
        <f>SUM(C3:C103)</f>
        <v>15528483</v>
      </c>
      <c r="D104">
        <f t="shared" ref="D104" si="8">SUM(D3:D103)</f>
        <v>15972782</v>
      </c>
      <c r="E104">
        <f>SUM(E3:E103)</f>
        <v>31501265</v>
      </c>
      <c r="F104" s="179">
        <f t="shared" si="5"/>
        <v>1028.6118740639379</v>
      </c>
      <c r="G104" s="80">
        <f t="shared" si="6"/>
        <v>100</v>
      </c>
    </row>
    <row r="105" spans="2:7" x14ac:dyDescent="0.3">
      <c r="B105" s="4" t="s">
        <v>9</v>
      </c>
      <c r="C105" s="9">
        <v>67107</v>
      </c>
      <c r="D105" s="9">
        <v>91364</v>
      </c>
      <c r="E105">
        <f>D105+C105</f>
        <v>158471</v>
      </c>
      <c r="F105" s="179">
        <f t="shared" si="5"/>
        <v>1361.467507115502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F6F01-0659-4698-916B-E57E94E3DA63}">
  <dimension ref="A1:U108"/>
  <sheetViews>
    <sheetView topLeftCell="I5" zoomScale="133" workbookViewId="0">
      <selection activeCell="T21" sqref="T21"/>
    </sheetView>
  </sheetViews>
  <sheetFormatPr defaultRowHeight="14.4" x14ac:dyDescent="0.3"/>
  <cols>
    <col min="20" max="20" width="9.5546875" bestFit="1" customWidth="1"/>
  </cols>
  <sheetData>
    <row r="1" spans="1:21" x14ac:dyDescent="0.3">
      <c r="A1">
        <v>2001</v>
      </c>
    </row>
    <row r="2" spans="1:21" x14ac:dyDescent="0.3">
      <c r="A2" s="6" t="s">
        <v>0</v>
      </c>
      <c r="B2" s="247" t="s">
        <v>1</v>
      </c>
      <c r="C2" s="247"/>
      <c r="D2" s="247"/>
      <c r="E2" s="247" t="s">
        <v>2</v>
      </c>
      <c r="F2" s="247"/>
      <c r="G2" s="247"/>
      <c r="H2" s="247" t="s">
        <v>3</v>
      </c>
      <c r="I2" s="247"/>
      <c r="J2" s="247"/>
    </row>
    <row r="3" spans="1:21" x14ac:dyDescent="0.3">
      <c r="A3" s="8"/>
      <c r="B3" s="8"/>
      <c r="C3" s="8"/>
      <c r="D3" s="8"/>
      <c r="E3" s="8"/>
      <c r="F3" s="8"/>
      <c r="G3" s="8"/>
      <c r="H3" s="8"/>
      <c r="I3" s="8"/>
      <c r="J3" s="8"/>
    </row>
    <row r="4" spans="1:21" x14ac:dyDescent="0.3">
      <c r="A4" s="8"/>
      <c r="B4" s="8" t="s">
        <v>4</v>
      </c>
      <c r="C4" s="8" t="s">
        <v>5</v>
      </c>
      <c r="D4" s="8" t="s">
        <v>6</v>
      </c>
      <c r="E4" s="8" t="s">
        <v>4</v>
      </c>
      <c r="F4" s="8" t="s">
        <v>5</v>
      </c>
      <c r="G4" s="8" t="s">
        <v>6</v>
      </c>
      <c r="H4" s="8" t="s">
        <v>4</v>
      </c>
      <c r="I4" s="8" t="s">
        <v>5</v>
      </c>
      <c r="J4" s="8" t="s">
        <v>6</v>
      </c>
    </row>
    <row r="5" spans="1:21" ht="15" thickBot="1" x14ac:dyDescent="0.35">
      <c r="A5" s="6">
        <v>1</v>
      </c>
      <c r="B5" s="6">
        <v>2</v>
      </c>
      <c r="C5" s="6">
        <v>3</v>
      </c>
      <c r="D5" s="6">
        <v>4</v>
      </c>
      <c r="E5" s="6">
        <v>5</v>
      </c>
      <c r="F5" s="6">
        <v>6</v>
      </c>
      <c r="G5" s="6">
        <v>7</v>
      </c>
      <c r="H5" s="6">
        <v>8</v>
      </c>
      <c r="I5" s="6">
        <v>9</v>
      </c>
      <c r="J5" s="6">
        <v>10</v>
      </c>
    </row>
    <row r="6" spans="1:21" ht="15" thickBot="1" x14ac:dyDescent="0.35">
      <c r="A6" s="7" t="s">
        <v>7</v>
      </c>
      <c r="B6" s="5">
        <v>36804660</v>
      </c>
      <c r="C6" s="5">
        <v>18660570</v>
      </c>
      <c r="D6" s="5">
        <v>18144090</v>
      </c>
      <c r="E6" s="5">
        <v>31287422</v>
      </c>
      <c r="F6" s="5">
        <v>15748970</v>
      </c>
      <c r="G6" s="5">
        <v>15538452</v>
      </c>
      <c r="H6" s="5">
        <v>5517238</v>
      </c>
      <c r="I6" s="5">
        <v>2911600</v>
      </c>
      <c r="J6" s="5">
        <v>2605638</v>
      </c>
      <c r="M6" s="239">
        <v>2001</v>
      </c>
      <c r="N6" s="240"/>
      <c r="O6" s="240"/>
      <c r="P6" s="240"/>
      <c r="Q6" s="241"/>
    </row>
    <row r="7" spans="1:21" x14ac:dyDescent="0.3">
      <c r="A7" s="7">
        <v>0</v>
      </c>
      <c r="B7" s="5">
        <v>564271</v>
      </c>
      <c r="C7" s="5">
        <v>290316</v>
      </c>
      <c r="D7" s="5">
        <v>273955</v>
      </c>
      <c r="E7" s="5">
        <v>501128</v>
      </c>
      <c r="F7" s="5">
        <v>257846</v>
      </c>
      <c r="G7" s="5">
        <v>243282</v>
      </c>
      <c r="H7" s="5">
        <v>63143</v>
      </c>
      <c r="I7" s="5">
        <v>32470</v>
      </c>
      <c r="J7" s="5">
        <v>30673</v>
      </c>
      <c r="M7" s="39" t="s">
        <v>0</v>
      </c>
      <c r="N7" s="51" t="s">
        <v>5</v>
      </c>
      <c r="O7" s="183" t="s">
        <v>6</v>
      </c>
      <c r="P7" s="186" t="s">
        <v>4</v>
      </c>
      <c r="Q7" s="183" t="s">
        <v>101</v>
      </c>
    </row>
    <row r="8" spans="1:21" ht="15" thickBot="1" x14ac:dyDescent="0.35">
      <c r="A8" s="7">
        <v>1</v>
      </c>
      <c r="B8" s="5">
        <v>644131</v>
      </c>
      <c r="C8" s="5">
        <v>332004</v>
      </c>
      <c r="D8" s="5">
        <v>312127</v>
      </c>
      <c r="E8" s="5">
        <v>560840</v>
      </c>
      <c r="F8" s="5">
        <v>288599</v>
      </c>
      <c r="G8" s="5">
        <v>272241</v>
      </c>
      <c r="H8" s="5">
        <v>83291</v>
      </c>
      <c r="I8" s="5">
        <v>43405</v>
      </c>
      <c r="J8" s="5">
        <v>39886</v>
      </c>
      <c r="M8" s="39" t="s">
        <v>27</v>
      </c>
      <c r="N8">
        <v>1823878</v>
      </c>
      <c r="O8">
        <v>1749779</v>
      </c>
      <c r="P8">
        <v>3573657</v>
      </c>
      <c r="Q8" s="184">
        <f t="shared" ref="Q8:Q24" si="0">(O8/N8)*1000</f>
        <v>959.37283085820434</v>
      </c>
      <c r="R8" s="80">
        <f>(P8/36804660)*100</f>
        <v>9.7097949009717777</v>
      </c>
      <c r="U8">
        <v>2001</v>
      </c>
    </row>
    <row r="9" spans="1:21" x14ac:dyDescent="0.3">
      <c r="A9" s="7">
        <v>2</v>
      </c>
      <c r="B9" s="5">
        <v>744423</v>
      </c>
      <c r="C9" s="5">
        <v>381747</v>
      </c>
      <c r="D9" s="5">
        <v>362676</v>
      </c>
      <c r="E9" s="5">
        <v>652146</v>
      </c>
      <c r="F9" s="5">
        <v>333914</v>
      </c>
      <c r="G9" s="5">
        <v>318232</v>
      </c>
      <c r="H9" s="5">
        <v>92277</v>
      </c>
      <c r="I9" s="5">
        <v>47833</v>
      </c>
      <c r="J9" s="5">
        <v>44444</v>
      </c>
      <c r="M9" s="39" t="s">
        <v>59</v>
      </c>
      <c r="N9">
        <v>2240896</v>
      </c>
      <c r="O9">
        <v>2136709</v>
      </c>
      <c r="P9">
        <v>4377605</v>
      </c>
      <c r="Q9" s="184">
        <f t="shared" si="0"/>
        <v>953.5065438110471</v>
      </c>
      <c r="R9" s="80">
        <f t="shared" ref="R9:R24" si="1">(P9/36804660)*100</f>
        <v>11.894159598268264</v>
      </c>
      <c r="T9" s="32" t="s">
        <v>81</v>
      </c>
      <c r="U9" s="55">
        <f>SUM(R8:R10)</f>
        <v>33.169364966284157</v>
      </c>
    </row>
    <row r="10" spans="1:21" x14ac:dyDescent="0.3">
      <c r="A10" s="7">
        <v>3</v>
      </c>
      <c r="B10" s="5">
        <v>822344</v>
      </c>
      <c r="C10" s="5">
        <v>409915</v>
      </c>
      <c r="D10" s="5">
        <v>412429</v>
      </c>
      <c r="E10" s="5">
        <v>720023</v>
      </c>
      <c r="F10" s="5">
        <v>358171</v>
      </c>
      <c r="G10" s="5">
        <v>361852</v>
      </c>
      <c r="H10" s="5">
        <v>102321</v>
      </c>
      <c r="I10" s="5">
        <v>51744</v>
      </c>
      <c r="J10" s="5">
        <v>50577</v>
      </c>
      <c r="M10" s="39" t="s">
        <v>60</v>
      </c>
      <c r="N10">
        <v>2171099</v>
      </c>
      <c r="O10">
        <v>2085511</v>
      </c>
      <c r="P10">
        <v>4256610</v>
      </c>
      <c r="Q10" s="184">
        <f t="shared" si="0"/>
        <v>960.57849043272563</v>
      </c>
      <c r="R10" s="80">
        <f t="shared" si="1"/>
        <v>11.565410467044119</v>
      </c>
      <c r="T10" s="68" t="s">
        <v>14</v>
      </c>
      <c r="U10" s="86">
        <v>9.5949371628484013</v>
      </c>
    </row>
    <row r="11" spans="1:21" x14ac:dyDescent="0.3">
      <c r="A11" s="7">
        <v>4</v>
      </c>
      <c r="B11" s="5">
        <v>798488</v>
      </c>
      <c r="C11" s="5">
        <v>409896</v>
      </c>
      <c r="D11" s="5">
        <v>388592</v>
      </c>
      <c r="E11" s="5">
        <v>697466</v>
      </c>
      <c r="F11" s="5">
        <v>357447</v>
      </c>
      <c r="G11" s="5">
        <v>340019</v>
      </c>
      <c r="H11" s="5">
        <v>101022</v>
      </c>
      <c r="I11" s="5">
        <v>52449</v>
      </c>
      <c r="J11" s="5">
        <v>48573</v>
      </c>
      <c r="M11" s="39" t="s">
        <v>14</v>
      </c>
      <c r="N11">
        <v>1760391</v>
      </c>
      <c r="O11">
        <v>1770993</v>
      </c>
      <c r="P11">
        <v>3531384</v>
      </c>
      <c r="Q11" s="184">
        <f t="shared" si="0"/>
        <v>1006.0225256775342</v>
      </c>
      <c r="R11" s="80">
        <f t="shared" si="1"/>
        <v>9.5949371628484013</v>
      </c>
      <c r="T11" s="68" t="s">
        <v>15</v>
      </c>
      <c r="U11" s="86">
        <v>8.6679050968002418</v>
      </c>
    </row>
    <row r="12" spans="1:21" x14ac:dyDescent="0.3">
      <c r="A12" s="7">
        <v>5</v>
      </c>
      <c r="B12" s="5">
        <v>948256</v>
      </c>
      <c r="C12" s="5">
        <v>490376</v>
      </c>
      <c r="D12" s="5">
        <v>457880</v>
      </c>
      <c r="E12" s="5">
        <v>831437</v>
      </c>
      <c r="F12" s="5">
        <v>429668</v>
      </c>
      <c r="G12" s="5">
        <v>401769</v>
      </c>
      <c r="H12" s="5">
        <v>116819</v>
      </c>
      <c r="I12" s="5">
        <v>60708</v>
      </c>
      <c r="J12" s="5">
        <v>56111</v>
      </c>
      <c r="M12" s="39" t="s">
        <v>15</v>
      </c>
      <c r="N12">
        <v>1600793</v>
      </c>
      <c r="O12">
        <v>1589400</v>
      </c>
      <c r="P12">
        <v>3190193</v>
      </c>
      <c r="Q12" s="184">
        <f t="shared" si="0"/>
        <v>992.8829024114923</v>
      </c>
      <c r="R12" s="80">
        <f t="shared" si="1"/>
        <v>8.6679050968002418</v>
      </c>
      <c r="T12" s="68" t="s">
        <v>16</v>
      </c>
      <c r="U12" s="86">
        <v>8.4471776128348974</v>
      </c>
    </row>
    <row r="13" spans="1:21" x14ac:dyDescent="0.3">
      <c r="A13" s="7">
        <v>6</v>
      </c>
      <c r="B13" s="5">
        <v>836897</v>
      </c>
      <c r="C13" s="5">
        <v>430298</v>
      </c>
      <c r="D13" s="5">
        <v>406599</v>
      </c>
      <c r="E13" s="5">
        <v>733318</v>
      </c>
      <c r="F13" s="5">
        <v>376287</v>
      </c>
      <c r="G13" s="5">
        <v>357031</v>
      </c>
      <c r="H13" s="5">
        <v>103579</v>
      </c>
      <c r="I13" s="5">
        <v>54011</v>
      </c>
      <c r="J13" s="5">
        <v>49568</v>
      </c>
      <c r="M13" s="39" t="s">
        <v>16</v>
      </c>
      <c r="N13">
        <v>1518820</v>
      </c>
      <c r="O13">
        <v>1590135</v>
      </c>
      <c r="P13">
        <v>3108955</v>
      </c>
      <c r="Q13" s="184">
        <f t="shared" si="0"/>
        <v>1046.9542144559591</v>
      </c>
      <c r="R13" s="80">
        <f t="shared" si="1"/>
        <v>8.4471776128348974</v>
      </c>
      <c r="T13" s="68" t="s">
        <v>17</v>
      </c>
      <c r="U13" s="86">
        <v>7.5017674392318794</v>
      </c>
    </row>
    <row r="14" spans="1:21" x14ac:dyDescent="0.3">
      <c r="A14" s="7">
        <v>7</v>
      </c>
      <c r="B14" s="5">
        <v>852227</v>
      </c>
      <c r="C14" s="5">
        <v>426526</v>
      </c>
      <c r="D14" s="5">
        <v>425701</v>
      </c>
      <c r="E14" s="5">
        <v>741568</v>
      </c>
      <c r="F14" s="5">
        <v>370442</v>
      </c>
      <c r="G14" s="5">
        <v>371126</v>
      </c>
      <c r="H14" s="5">
        <v>110659</v>
      </c>
      <c r="I14" s="5">
        <v>56084</v>
      </c>
      <c r="J14" s="5">
        <v>54575</v>
      </c>
      <c r="M14" s="39" t="s">
        <v>17</v>
      </c>
      <c r="N14">
        <v>1376140</v>
      </c>
      <c r="O14">
        <v>1384860</v>
      </c>
      <c r="P14">
        <v>2761000</v>
      </c>
      <c r="Q14" s="184">
        <f t="shared" si="0"/>
        <v>1006.3365645937185</v>
      </c>
      <c r="R14" s="80">
        <f t="shared" si="1"/>
        <v>7.5017674392318794</v>
      </c>
      <c r="T14" s="68" t="s">
        <v>18</v>
      </c>
      <c r="U14" s="86">
        <v>7.2381703838590008</v>
      </c>
    </row>
    <row r="15" spans="1:21" x14ac:dyDescent="0.3">
      <c r="A15" s="7">
        <v>8</v>
      </c>
      <c r="B15" s="5">
        <v>1027635</v>
      </c>
      <c r="C15" s="5">
        <v>527368</v>
      </c>
      <c r="D15" s="5">
        <v>500267</v>
      </c>
      <c r="E15" s="5">
        <v>899142</v>
      </c>
      <c r="F15" s="5">
        <v>460537</v>
      </c>
      <c r="G15" s="5">
        <v>438605</v>
      </c>
      <c r="H15" s="5">
        <v>128493</v>
      </c>
      <c r="I15" s="5">
        <v>66831</v>
      </c>
      <c r="J15" s="5">
        <v>61662</v>
      </c>
      <c r="M15" s="39" t="s">
        <v>18</v>
      </c>
      <c r="N15">
        <v>1368317</v>
      </c>
      <c r="O15">
        <v>1295667</v>
      </c>
      <c r="P15">
        <v>2663984</v>
      </c>
      <c r="Q15" s="184">
        <f t="shared" si="0"/>
        <v>946.90557816646287</v>
      </c>
      <c r="R15" s="80">
        <f t="shared" si="1"/>
        <v>7.2381703838590008</v>
      </c>
      <c r="T15" s="68" t="s">
        <v>19</v>
      </c>
      <c r="U15" s="86">
        <v>5.6042794580903621</v>
      </c>
    </row>
    <row r="16" spans="1:21" x14ac:dyDescent="0.3">
      <c r="A16" s="7">
        <v>9</v>
      </c>
      <c r="B16" s="5">
        <v>712590</v>
      </c>
      <c r="C16" s="5">
        <v>366328</v>
      </c>
      <c r="D16" s="5">
        <v>346262</v>
      </c>
      <c r="E16" s="5">
        <v>615087</v>
      </c>
      <c r="F16" s="5">
        <v>315776</v>
      </c>
      <c r="G16" s="5">
        <v>299311</v>
      </c>
      <c r="H16" s="5">
        <v>97503</v>
      </c>
      <c r="I16" s="5">
        <v>50552</v>
      </c>
      <c r="J16" s="5">
        <v>46951</v>
      </c>
      <c r="M16" s="39" t="s">
        <v>19</v>
      </c>
      <c r="N16">
        <v>1104313</v>
      </c>
      <c r="O16">
        <v>958323</v>
      </c>
      <c r="P16">
        <v>2062636</v>
      </c>
      <c r="Q16" s="184">
        <f t="shared" si="0"/>
        <v>867.80016172950968</v>
      </c>
      <c r="R16" s="80">
        <f t="shared" si="1"/>
        <v>5.6042794580903621</v>
      </c>
      <c r="T16" s="68" t="s">
        <v>20</v>
      </c>
      <c r="U16" s="86">
        <v>4.7707246854066847</v>
      </c>
    </row>
    <row r="17" spans="1:21" x14ac:dyDescent="0.3">
      <c r="A17" s="7">
        <v>10</v>
      </c>
      <c r="B17" s="5">
        <v>1105838</v>
      </c>
      <c r="C17" s="5">
        <v>570436</v>
      </c>
      <c r="D17" s="5">
        <v>535402</v>
      </c>
      <c r="E17" s="5">
        <v>960519</v>
      </c>
      <c r="F17" s="5">
        <v>494381</v>
      </c>
      <c r="G17" s="5">
        <v>466138</v>
      </c>
      <c r="H17" s="5">
        <v>145319</v>
      </c>
      <c r="I17" s="5">
        <v>76055</v>
      </c>
      <c r="J17" s="5">
        <v>69264</v>
      </c>
      <c r="M17" s="39" t="s">
        <v>20</v>
      </c>
      <c r="N17">
        <v>926189</v>
      </c>
      <c r="O17">
        <v>829660</v>
      </c>
      <c r="P17">
        <v>1755849</v>
      </c>
      <c r="Q17" s="184">
        <f t="shared" si="0"/>
        <v>895.77829147182695</v>
      </c>
      <c r="R17" s="80">
        <f t="shared" si="1"/>
        <v>4.7707246854066847</v>
      </c>
      <c r="T17" s="68" t="s">
        <v>21</v>
      </c>
      <c r="U17" s="86">
        <v>3.6520945988904665</v>
      </c>
    </row>
    <row r="18" spans="1:21" x14ac:dyDescent="0.3">
      <c r="A18" s="7">
        <v>11</v>
      </c>
      <c r="B18" s="5">
        <v>610663</v>
      </c>
      <c r="C18" s="5">
        <v>317111</v>
      </c>
      <c r="D18" s="5">
        <v>293552</v>
      </c>
      <c r="E18" s="5">
        <v>514446</v>
      </c>
      <c r="F18" s="5">
        <v>267111</v>
      </c>
      <c r="G18" s="5">
        <v>247335</v>
      </c>
      <c r="H18" s="5">
        <v>96217</v>
      </c>
      <c r="I18" s="5">
        <v>50000</v>
      </c>
      <c r="J18" s="5">
        <v>46217</v>
      </c>
      <c r="M18" s="39" t="s">
        <v>21</v>
      </c>
      <c r="N18">
        <v>708873</v>
      </c>
      <c r="O18">
        <v>635268</v>
      </c>
      <c r="P18">
        <v>1344141</v>
      </c>
      <c r="Q18" s="184">
        <f t="shared" si="0"/>
        <v>896.16616798777784</v>
      </c>
      <c r="R18" s="80">
        <f t="shared" si="1"/>
        <v>3.6520945988904665</v>
      </c>
      <c r="T18" s="68" t="s">
        <v>22</v>
      </c>
      <c r="U18" s="86">
        <v>2.9275749320874045</v>
      </c>
    </row>
    <row r="19" spans="1:21" ht="15" thickBot="1" x14ac:dyDescent="0.35">
      <c r="A19" s="7">
        <v>12</v>
      </c>
      <c r="B19" s="5">
        <v>1079525</v>
      </c>
      <c r="C19" s="5">
        <v>554014</v>
      </c>
      <c r="D19" s="5">
        <v>525511</v>
      </c>
      <c r="E19" s="5">
        <v>932166</v>
      </c>
      <c r="F19" s="5">
        <v>477513</v>
      </c>
      <c r="G19" s="5">
        <v>454653</v>
      </c>
      <c r="H19" s="5">
        <v>147359</v>
      </c>
      <c r="I19" s="5">
        <v>76501</v>
      </c>
      <c r="J19" s="5">
        <v>70858</v>
      </c>
      <c r="M19" s="39" t="s">
        <v>22</v>
      </c>
      <c r="N19">
        <v>523752</v>
      </c>
      <c r="O19">
        <v>553732</v>
      </c>
      <c r="P19">
        <v>1077484</v>
      </c>
      <c r="Q19" s="184">
        <f t="shared" si="0"/>
        <v>1057.2408315385908</v>
      </c>
      <c r="R19" s="80">
        <f t="shared" si="1"/>
        <v>2.9275749320874045</v>
      </c>
      <c r="T19" s="83" t="s">
        <v>30</v>
      </c>
      <c r="U19" s="84">
        <f>SUM(R20:R24)</f>
        <v>8.2573782776420153</v>
      </c>
    </row>
    <row r="20" spans="1:21" x14ac:dyDescent="0.3">
      <c r="A20" s="7">
        <v>13</v>
      </c>
      <c r="B20" s="5">
        <v>682748</v>
      </c>
      <c r="C20" s="5">
        <v>341385</v>
      </c>
      <c r="D20" s="5">
        <v>341363</v>
      </c>
      <c r="E20" s="5">
        <v>574617</v>
      </c>
      <c r="F20" s="5">
        <v>287029</v>
      </c>
      <c r="G20" s="5">
        <v>287588</v>
      </c>
      <c r="H20" s="5">
        <v>108131</v>
      </c>
      <c r="I20" s="5">
        <v>54356</v>
      </c>
      <c r="J20" s="5">
        <v>53775</v>
      </c>
      <c r="M20" s="39" t="s">
        <v>23</v>
      </c>
      <c r="N20">
        <v>543006</v>
      </c>
      <c r="O20">
        <v>561134</v>
      </c>
      <c r="P20">
        <v>1104140</v>
      </c>
      <c r="Q20" s="184">
        <f t="shared" si="0"/>
        <v>1033.3845298210333</v>
      </c>
      <c r="R20" s="80">
        <f t="shared" si="1"/>
        <v>3.0000005434094486</v>
      </c>
    </row>
    <row r="21" spans="1:21" x14ac:dyDescent="0.3">
      <c r="A21" s="7">
        <v>14</v>
      </c>
      <c r="B21" s="5">
        <v>777836</v>
      </c>
      <c r="C21" s="5">
        <v>388153</v>
      </c>
      <c r="D21" s="5">
        <v>389683</v>
      </c>
      <c r="E21" s="5">
        <v>658596</v>
      </c>
      <c r="F21" s="5">
        <v>327460</v>
      </c>
      <c r="G21" s="5">
        <v>331136</v>
      </c>
      <c r="H21" s="5">
        <v>119240</v>
      </c>
      <c r="I21" s="5">
        <v>60693</v>
      </c>
      <c r="J21" s="5">
        <v>58547</v>
      </c>
      <c r="M21" s="39" t="s">
        <v>24</v>
      </c>
      <c r="N21">
        <v>363846</v>
      </c>
      <c r="O21">
        <v>404295</v>
      </c>
      <c r="P21">
        <v>768141</v>
      </c>
      <c r="Q21" s="184">
        <f t="shared" si="0"/>
        <v>1111.170660114444</v>
      </c>
      <c r="R21" s="80">
        <f t="shared" si="1"/>
        <v>2.0870753866494081</v>
      </c>
    </row>
    <row r="22" spans="1:21" x14ac:dyDescent="0.3">
      <c r="A22" s="7">
        <v>15</v>
      </c>
      <c r="B22" s="5">
        <v>820815</v>
      </c>
      <c r="C22" s="5">
        <v>412269</v>
      </c>
      <c r="D22" s="5">
        <v>408546</v>
      </c>
      <c r="E22" s="5">
        <v>700029</v>
      </c>
      <c r="F22" s="5">
        <v>350087</v>
      </c>
      <c r="G22" s="5">
        <v>349942</v>
      </c>
      <c r="H22" s="5">
        <v>120786</v>
      </c>
      <c r="I22" s="5">
        <v>62182</v>
      </c>
      <c r="J22" s="5">
        <v>58604</v>
      </c>
      <c r="M22" s="39" t="s">
        <v>61</v>
      </c>
      <c r="N22">
        <v>309442</v>
      </c>
      <c r="O22">
        <v>305915</v>
      </c>
      <c r="P22">
        <v>615357</v>
      </c>
      <c r="Q22" s="184">
        <f t="shared" si="0"/>
        <v>988.602064361011</v>
      </c>
      <c r="R22" s="80">
        <f t="shared" si="1"/>
        <v>1.6719540406024671</v>
      </c>
    </row>
    <row r="23" spans="1:21" x14ac:dyDescent="0.3">
      <c r="A23" s="7">
        <v>16</v>
      </c>
      <c r="B23" s="5">
        <v>707333</v>
      </c>
      <c r="C23" s="5">
        <v>342269</v>
      </c>
      <c r="D23" s="5">
        <v>365064</v>
      </c>
      <c r="E23" s="5">
        <v>592014</v>
      </c>
      <c r="F23" s="5">
        <v>283392</v>
      </c>
      <c r="G23" s="5">
        <v>308622</v>
      </c>
      <c r="H23" s="5">
        <v>115319</v>
      </c>
      <c r="I23" s="5">
        <v>58877</v>
      </c>
      <c r="J23" s="5">
        <v>56442</v>
      </c>
      <c r="M23" s="39" t="s">
        <v>62</v>
      </c>
      <c r="N23">
        <v>131458</v>
      </c>
      <c r="O23">
        <v>126731</v>
      </c>
      <c r="P23">
        <v>258189</v>
      </c>
      <c r="Q23" s="184">
        <f t="shared" si="0"/>
        <v>964.04174717400235</v>
      </c>
      <c r="R23" s="80">
        <f t="shared" si="1"/>
        <v>0.70151171074532415</v>
      </c>
    </row>
    <row r="24" spans="1:21" ht="15" thickBot="1" x14ac:dyDescent="0.35">
      <c r="A24" s="7">
        <v>17</v>
      </c>
      <c r="B24" s="5">
        <v>564506</v>
      </c>
      <c r="C24" s="5">
        <v>268960</v>
      </c>
      <c r="D24" s="5">
        <v>295546</v>
      </c>
      <c r="E24" s="5">
        <v>462429</v>
      </c>
      <c r="F24" s="5">
        <v>216681</v>
      </c>
      <c r="G24" s="5">
        <v>245748</v>
      </c>
      <c r="H24" s="5">
        <v>102077</v>
      </c>
      <c r="I24" s="5">
        <v>52279</v>
      </c>
      <c r="J24" s="5">
        <v>49798</v>
      </c>
      <c r="M24" s="33" t="s">
        <v>63</v>
      </c>
      <c r="N24" s="37">
        <v>154978</v>
      </c>
      <c r="O24" s="37">
        <v>138295</v>
      </c>
      <c r="P24" s="37">
        <v>293273</v>
      </c>
      <c r="Q24" s="185">
        <f t="shared" si="0"/>
        <v>892.35246293022226</v>
      </c>
      <c r="R24" s="80">
        <f t="shared" si="1"/>
        <v>0.79683659623536807</v>
      </c>
    </row>
    <row r="25" spans="1:21" x14ac:dyDescent="0.3">
      <c r="A25" s="7">
        <v>18</v>
      </c>
      <c r="B25" s="5">
        <v>963172</v>
      </c>
      <c r="C25" s="5">
        <v>496125</v>
      </c>
      <c r="D25" s="5">
        <v>467047</v>
      </c>
      <c r="E25" s="5">
        <v>809001</v>
      </c>
      <c r="F25" s="5">
        <v>412071</v>
      </c>
      <c r="G25" s="5">
        <v>396930</v>
      </c>
      <c r="H25" s="5">
        <v>154171</v>
      </c>
      <c r="I25" s="5">
        <v>84054</v>
      </c>
      <c r="J25" s="5">
        <v>70117</v>
      </c>
      <c r="M25" s="61" t="s">
        <v>7</v>
      </c>
      <c r="N25" s="77">
        <v>18660570</v>
      </c>
      <c r="O25" s="77">
        <v>18144090</v>
      </c>
      <c r="P25" s="77">
        <v>36804660</v>
      </c>
      <c r="Q25" s="187">
        <f>(O25/N25)*1000</f>
        <v>972.32238886593495</v>
      </c>
    </row>
    <row r="26" spans="1:21" ht="15" thickBot="1" x14ac:dyDescent="0.35">
      <c r="A26" s="7">
        <v>19</v>
      </c>
      <c r="B26" s="5">
        <v>475558</v>
      </c>
      <c r="C26" s="5">
        <v>240768</v>
      </c>
      <c r="D26" s="5">
        <v>234790</v>
      </c>
      <c r="E26" s="5">
        <v>382393</v>
      </c>
      <c r="F26" s="5">
        <v>190703</v>
      </c>
      <c r="G26" s="5">
        <v>191690</v>
      </c>
      <c r="H26" s="5">
        <v>93165</v>
      </c>
      <c r="I26" s="5">
        <v>50065</v>
      </c>
      <c r="J26" s="5">
        <v>43100</v>
      </c>
    </row>
    <row r="27" spans="1:21" ht="15" thickBot="1" x14ac:dyDescent="0.35">
      <c r="A27" s="7">
        <v>20</v>
      </c>
      <c r="B27" s="5">
        <v>1006808</v>
      </c>
      <c r="C27" s="5">
        <v>487684</v>
      </c>
      <c r="D27" s="5">
        <v>519124</v>
      </c>
      <c r="E27" s="5">
        <v>846003</v>
      </c>
      <c r="F27" s="5">
        <v>405053</v>
      </c>
      <c r="G27" s="5">
        <v>440950</v>
      </c>
      <c r="H27" s="5">
        <v>160805</v>
      </c>
      <c r="I27" s="5">
        <v>82631</v>
      </c>
      <c r="J27" s="5">
        <v>78174</v>
      </c>
      <c r="N27">
        <v>2001</v>
      </c>
      <c r="P27" s="32"/>
      <c r="Q27" s="188" t="s">
        <v>5</v>
      </c>
      <c r="R27" s="189" t="s">
        <v>6</v>
      </c>
      <c r="S27" s="98" t="s">
        <v>4</v>
      </c>
      <c r="T27" s="190" t="s">
        <v>101</v>
      </c>
    </row>
    <row r="28" spans="1:21" x14ac:dyDescent="0.3">
      <c r="A28" s="7">
        <v>21</v>
      </c>
      <c r="B28" s="5">
        <v>446379</v>
      </c>
      <c r="C28" s="5">
        <v>232325</v>
      </c>
      <c r="D28" s="5">
        <v>214054</v>
      </c>
      <c r="E28" s="5">
        <v>358040</v>
      </c>
      <c r="F28" s="5">
        <v>183478</v>
      </c>
      <c r="G28" s="5">
        <v>174562</v>
      </c>
      <c r="H28" s="5">
        <v>88339</v>
      </c>
      <c r="I28" s="5">
        <v>48847</v>
      </c>
      <c r="J28" s="5">
        <v>39492</v>
      </c>
      <c r="M28" s="54" t="s">
        <v>37</v>
      </c>
      <c r="N28" s="87">
        <v>1.535740613660471</v>
      </c>
      <c r="P28" s="40" t="s">
        <v>27</v>
      </c>
      <c r="Q28">
        <v>1823878</v>
      </c>
      <c r="R28" s="41">
        <v>1749779</v>
      </c>
      <c r="S28" s="89">
        <v>3573657</v>
      </c>
      <c r="T28" s="184">
        <f>(R28/Q28)*1000</f>
        <v>959.37283085820434</v>
      </c>
    </row>
    <row r="29" spans="1:21" x14ac:dyDescent="0.3">
      <c r="A29" s="7">
        <v>22</v>
      </c>
      <c r="B29" s="5">
        <v>755349</v>
      </c>
      <c r="C29" s="5">
        <v>389486</v>
      </c>
      <c r="D29" s="5">
        <v>365863</v>
      </c>
      <c r="E29" s="5">
        <v>626441</v>
      </c>
      <c r="F29" s="5">
        <v>319615</v>
      </c>
      <c r="G29" s="5">
        <v>306826</v>
      </c>
      <c r="H29" s="5">
        <v>128908</v>
      </c>
      <c r="I29" s="5">
        <v>69871</v>
      </c>
      <c r="J29" s="5">
        <v>59037</v>
      </c>
      <c r="M29" s="40" t="s">
        <v>68</v>
      </c>
      <c r="N29" s="86">
        <v>8.1904551224167648</v>
      </c>
      <c r="P29" s="40" t="s">
        <v>69</v>
      </c>
      <c r="Q29">
        <f>SUM(N9:N10)</f>
        <v>4411995</v>
      </c>
      <c r="R29">
        <f>SUM(O9:O10)</f>
        <v>4222220</v>
      </c>
      <c r="S29">
        <f>SUM(P9:P10)</f>
        <v>8634215</v>
      </c>
      <c r="T29" s="184">
        <f t="shared" ref="T29:T31" si="2">(R29/Q29)*1000</f>
        <v>956.98657863392862</v>
      </c>
    </row>
    <row r="30" spans="1:21" x14ac:dyDescent="0.3">
      <c r="A30" s="7">
        <v>23</v>
      </c>
      <c r="B30" s="5">
        <v>503894</v>
      </c>
      <c r="C30" s="5">
        <v>248528</v>
      </c>
      <c r="D30" s="5">
        <v>255366</v>
      </c>
      <c r="E30" s="5">
        <v>412351</v>
      </c>
      <c r="F30" s="5">
        <v>199661</v>
      </c>
      <c r="G30" s="5">
        <v>212690</v>
      </c>
      <c r="H30" s="5">
        <v>91543</v>
      </c>
      <c r="I30" s="5">
        <v>48867</v>
      </c>
      <c r="J30" s="5">
        <v>42676</v>
      </c>
      <c r="M30" s="57" t="s">
        <v>75</v>
      </c>
      <c r="N30" s="86">
        <v>33.110339666236996</v>
      </c>
      <c r="P30" s="40" t="s">
        <v>80</v>
      </c>
      <c r="Q30">
        <f>SUM(N11:N19)</f>
        <v>10887588</v>
      </c>
      <c r="R30">
        <f>SUM(O11:O19)</f>
        <v>10608038</v>
      </c>
      <c r="S30">
        <f>SUM(P11:P19)</f>
        <v>21495626</v>
      </c>
      <c r="T30" s="184">
        <f t="shared" si="2"/>
        <v>974.32397331713867</v>
      </c>
    </row>
    <row r="31" spans="1:21" ht="15" thickBot="1" x14ac:dyDescent="0.35">
      <c r="A31" s="7">
        <v>24</v>
      </c>
      <c r="B31" s="5">
        <v>477763</v>
      </c>
      <c r="C31" s="5">
        <v>242770</v>
      </c>
      <c r="D31" s="5">
        <v>234993</v>
      </c>
      <c r="E31" s="5">
        <v>386280</v>
      </c>
      <c r="F31" s="5">
        <v>193286</v>
      </c>
      <c r="G31" s="5">
        <v>192994</v>
      </c>
      <c r="H31" s="5">
        <v>91483</v>
      </c>
      <c r="I31" s="5">
        <v>49484</v>
      </c>
      <c r="J31" s="5">
        <v>41999</v>
      </c>
      <c r="M31" s="40" t="s">
        <v>77</v>
      </c>
      <c r="N31" s="86">
        <v>48.89213876492893</v>
      </c>
      <c r="P31" s="36" t="s">
        <v>30</v>
      </c>
      <c r="Q31" s="37">
        <f>SUM(N20:N24)</f>
        <v>1502730</v>
      </c>
      <c r="R31" s="37">
        <f>SUM(O20:O24)</f>
        <v>1536370</v>
      </c>
      <c r="S31" s="37">
        <f>SUM(P20:P24)</f>
        <v>3039100</v>
      </c>
      <c r="T31" s="185">
        <f t="shared" si="2"/>
        <v>1022.3859242844688</v>
      </c>
    </row>
    <row r="32" spans="1:21" ht="15" thickBot="1" x14ac:dyDescent="0.35">
      <c r="A32" s="7">
        <v>25</v>
      </c>
      <c r="B32" s="5">
        <v>1120295</v>
      </c>
      <c r="C32" s="5">
        <v>530815</v>
      </c>
      <c r="D32" s="5">
        <v>589480</v>
      </c>
      <c r="E32" s="5">
        <v>952596</v>
      </c>
      <c r="F32" s="5">
        <v>449826</v>
      </c>
      <c r="G32" s="5">
        <v>502770</v>
      </c>
      <c r="H32" s="5">
        <v>167699</v>
      </c>
      <c r="I32" s="5">
        <v>80989</v>
      </c>
      <c r="J32" s="5">
        <v>86710</v>
      </c>
      <c r="M32" s="36" t="s">
        <v>30</v>
      </c>
      <c r="N32" s="84">
        <v>8.2713258327568457</v>
      </c>
    </row>
    <row r="33" spans="1:14" x14ac:dyDescent="0.3">
      <c r="A33" s="7">
        <v>26</v>
      </c>
      <c r="B33" s="5">
        <v>517244</v>
      </c>
      <c r="C33" s="5">
        <v>260365</v>
      </c>
      <c r="D33" s="5">
        <v>256879</v>
      </c>
      <c r="E33" s="5">
        <v>422547</v>
      </c>
      <c r="F33" s="5">
        <v>210859</v>
      </c>
      <c r="G33" s="5">
        <v>211688</v>
      </c>
      <c r="H33" s="5">
        <v>94697</v>
      </c>
      <c r="I33" s="5">
        <v>49506</v>
      </c>
      <c r="J33" s="5">
        <v>45191</v>
      </c>
    </row>
    <row r="34" spans="1:14" ht="15" thickBot="1" x14ac:dyDescent="0.35">
      <c r="A34" s="7">
        <v>27</v>
      </c>
      <c r="B34" s="5">
        <v>451388</v>
      </c>
      <c r="C34" s="5">
        <v>225375</v>
      </c>
      <c r="D34" s="5">
        <v>226013</v>
      </c>
      <c r="E34" s="5">
        <v>368913</v>
      </c>
      <c r="F34" s="5">
        <v>182724</v>
      </c>
      <c r="G34" s="5">
        <v>186189</v>
      </c>
      <c r="H34" s="5">
        <v>82475</v>
      </c>
      <c r="I34" s="5">
        <v>42651</v>
      </c>
      <c r="J34" s="5">
        <v>39824</v>
      </c>
    </row>
    <row r="35" spans="1:14" x14ac:dyDescent="0.3">
      <c r="A35" s="7">
        <v>28</v>
      </c>
      <c r="B35" s="5">
        <v>769473</v>
      </c>
      <c r="C35" s="5">
        <v>375048</v>
      </c>
      <c r="D35" s="5">
        <v>394425</v>
      </c>
      <c r="E35" s="5">
        <v>645743</v>
      </c>
      <c r="F35" s="5">
        <v>310590</v>
      </c>
      <c r="G35" s="5">
        <v>335153</v>
      </c>
      <c r="H35" s="5">
        <v>123730</v>
      </c>
      <c r="I35" s="5">
        <v>64458</v>
      </c>
      <c r="J35" s="5">
        <v>59272</v>
      </c>
      <c r="M35" s="54" t="s">
        <v>37</v>
      </c>
      <c r="N35" s="55">
        <v>1.535740613660471</v>
      </c>
    </row>
    <row r="36" spans="1:14" x14ac:dyDescent="0.3">
      <c r="A36" s="7">
        <v>29</v>
      </c>
      <c r="B36" s="5">
        <v>250555</v>
      </c>
      <c r="C36" s="5">
        <v>127217</v>
      </c>
      <c r="D36" s="5">
        <v>123338</v>
      </c>
      <c r="E36" s="5">
        <v>197578</v>
      </c>
      <c r="F36" s="5">
        <v>98684</v>
      </c>
      <c r="G36" s="5">
        <v>98894</v>
      </c>
      <c r="H36" s="5">
        <v>52977</v>
      </c>
      <c r="I36" s="5">
        <v>28533</v>
      </c>
      <c r="J36" s="5">
        <v>24444</v>
      </c>
      <c r="M36" s="40" t="s">
        <v>68</v>
      </c>
      <c r="N36" s="56">
        <v>8.1904551224167648</v>
      </c>
    </row>
    <row r="37" spans="1:14" x14ac:dyDescent="0.3">
      <c r="A37" s="7">
        <v>30</v>
      </c>
      <c r="B37" s="5">
        <v>1295772</v>
      </c>
      <c r="C37" s="5">
        <v>631780</v>
      </c>
      <c r="D37" s="5">
        <v>663992</v>
      </c>
      <c r="E37" s="5">
        <v>1099099</v>
      </c>
      <c r="F37" s="5">
        <v>533057</v>
      </c>
      <c r="G37" s="5">
        <v>566042</v>
      </c>
      <c r="H37" s="5">
        <v>196673</v>
      </c>
      <c r="I37" s="5">
        <v>98723</v>
      </c>
      <c r="J37" s="5">
        <v>97950</v>
      </c>
      <c r="M37" s="57" t="s">
        <v>75</v>
      </c>
      <c r="N37" s="56">
        <v>33.110339666236996</v>
      </c>
    </row>
    <row r="38" spans="1:14" x14ac:dyDescent="0.3">
      <c r="A38" s="7">
        <v>31</v>
      </c>
      <c r="B38" s="5">
        <v>210885</v>
      </c>
      <c r="C38" s="5">
        <v>109660</v>
      </c>
      <c r="D38" s="5">
        <v>101225</v>
      </c>
      <c r="E38" s="5">
        <v>168563</v>
      </c>
      <c r="F38" s="5">
        <v>85776</v>
      </c>
      <c r="G38" s="5">
        <v>82787</v>
      </c>
      <c r="H38" s="5">
        <v>42322</v>
      </c>
      <c r="I38" s="5">
        <v>23884</v>
      </c>
      <c r="J38" s="5">
        <v>18438</v>
      </c>
      <c r="M38" s="40" t="s">
        <v>77</v>
      </c>
      <c r="N38" s="56">
        <v>48.89213876492893</v>
      </c>
    </row>
    <row r="39" spans="1:14" ht="15" thickBot="1" x14ac:dyDescent="0.35">
      <c r="A39" s="7">
        <v>32</v>
      </c>
      <c r="B39" s="5">
        <v>662546</v>
      </c>
      <c r="C39" s="5">
        <v>338768</v>
      </c>
      <c r="D39" s="5">
        <v>323778</v>
      </c>
      <c r="E39" s="5">
        <v>553750</v>
      </c>
      <c r="F39" s="5">
        <v>280861</v>
      </c>
      <c r="G39" s="5">
        <v>272889</v>
      </c>
      <c r="H39" s="5">
        <v>108796</v>
      </c>
      <c r="I39" s="5">
        <v>57907</v>
      </c>
      <c r="J39" s="5">
        <v>50889</v>
      </c>
      <c r="M39" s="36" t="s">
        <v>30</v>
      </c>
      <c r="N39" s="58">
        <v>8.2713258327568457</v>
      </c>
    </row>
    <row r="40" spans="1:14" ht="15" thickBot="1" x14ac:dyDescent="0.35">
      <c r="A40" s="7">
        <v>33</v>
      </c>
      <c r="B40" s="5">
        <v>314546</v>
      </c>
      <c r="C40" s="5">
        <v>154449</v>
      </c>
      <c r="D40" s="5">
        <v>160097</v>
      </c>
      <c r="E40" s="5">
        <v>260614</v>
      </c>
      <c r="F40" s="5">
        <v>125778</v>
      </c>
      <c r="G40" s="5">
        <v>134836</v>
      </c>
      <c r="H40" s="5">
        <v>53932</v>
      </c>
      <c r="I40" s="5">
        <v>28671</v>
      </c>
      <c r="J40" s="5">
        <v>25261</v>
      </c>
    </row>
    <row r="41" spans="1:14" x14ac:dyDescent="0.3">
      <c r="A41" s="7">
        <v>34</v>
      </c>
      <c r="B41" s="5">
        <v>277251</v>
      </c>
      <c r="C41" s="5">
        <v>141483</v>
      </c>
      <c r="D41" s="5">
        <v>135768</v>
      </c>
      <c r="E41" s="5">
        <v>225079</v>
      </c>
      <c r="F41" s="5">
        <v>112839</v>
      </c>
      <c r="G41" s="5">
        <v>112240</v>
      </c>
      <c r="H41" s="5">
        <v>52172</v>
      </c>
      <c r="I41" s="5">
        <v>28644</v>
      </c>
      <c r="J41" s="5">
        <v>23528</v>
      </c>
      <c r="M41" s="61" t="s">
        <v>0</v>
      </c>
      <c r="N41" s="59">
        <v>2001</v>
      </c>
    </row>
    <row r="42" spans="1:14" x14ac:dyDescent="0.3">
      <c r="A42" s="7">
        <v>35</v>
      </c>
      <c r="B42" s="5">
        <v>1257259</v>
      </c>
      <c r="C42" s="5">
        <v>654174</v>
      </c>
      <c r="D42" s="5">
        <v>603085</v>
      </c>
      <c r="E42" s="5">
        <v>1064224</v>
      </c>
      <c r="F42" s="5">
        <v>554693</v>
      </c>
      <c r="G42" s="5">
        <v>509531</v>
      </c>
      <c r="H42" s="5">
        <v>193035</v>
      </c>
      <c r="I42" s="5">
        <v>99481</v>
      </c>
      <c r="J42" s="5">
        <v>93554</v>
      </c>
      <c r="M42" s="40" t="s">
        <v>27</v>
      </c>
      <c r="N42" s="56">
        <v>9.7097949009717777</v>
      </c>
    </row>
    <row r="43" spans="1:14" x14ac:dyDescent="0.3">
      <c r="A43" s="7">
        <v>36</v>
      </c>
      <c r="B43" s="5">
        <v>400087</v>
      </c>
      <c r="C43" s="5">
        <v>204432</v>
      </c>
      <c r="D43" s="5">
        <v>195655</v>
      </c>
      <c r="E43" s="5">
        <v>333292</v>
      </c>
      <c r="F43" s="5">
        <v>169439</v>
      </c>
      <c r="G43" s="5">
        <v>163853</v>
      </c>
      <c r="H43" s="5">
        <v>66795</v>
      </c>
      <c r="I43" s="5">
        <v>34993</v>
      </c>
      <c r="J43" s="5">
        <v>31802</v>
      </c>
      <c r="M43" s="40" t="s">
        <v>69</v>
      </c>
      <c r="N43" s="56">
        <v>23.459570065312381</v>
      </c>
    </row>
    <row r="44" spans="1:14" x14ac:dyDescent="0.3">
      <c r="A44" s="7">
        <v>37</v>
      </c>
      <c r="B44" s="5">
        <v>256868</v>
      </c>
      <c r="C44" s="5">
        <v>128480</v>
      </c>
      <c r="D44" s="5">
        <v>128388</v>
      </c>
      <c r="E44" s="5">
        <v>209883</v>
      </c>
      <c r="F44" s="5">
        <v>103976</v>
      </c>
      <c r="G44" s="5">
        <v>105907</v>
      </c>
      <c r="H44" s="5">
        <v>46985</v>
      </c>
      <c r="I44" s="5">
        <v>24504</v>
      </c>
      <c r="J44" s="5">
        <v>22481</v>
      </c>
      <c r="M44" s="40" t="s">
        <v>80</v>
      </c>
      <c r="N44" s="56">
        <v>58.404631370049337</v>
      </c>
    </row>
    <row r="45" spans="1:14" ht="15" thickBot="1" x14ac:dyDescent="0.35">
      <c r="A45" s="7">
        <v>38</v>
      </c>
      <c r="B45" s="5">
        <v>576099</v>
      </c>
      <c r="C45" s="5">
        <v>291412</v>
      </c>
      <c r="D45" s="5">
        <v>284687</v>
      </c>
      <c r="E45" s="5">
        <v>483564</v>
      </c>
      <c r="F45" s="5">
        <v>241958</v>
      </c>
      <c r="G45" s="5">
        <v>241606</v>
      </c>
      <c r="H45" s="5">
        <v>92535</v>
      </c>
      <c r="I45" s="5">
        <v>49454</v>
      </c>
      <c r="J45" s="5">
        <v>43081</v>
      </c>
      <c r="M45" s="36" t="s">
        <v>30</v>
      </c>
      <c r="N45" s="58">
        <v>8.257378277642017</v>
      </c>
    </row>
    <row r="46" spans="1:14" x14ac:dyDescent="0.3">
      <c r="A46" s="7">
        <v>39</v>
      </c>
      <c r="B46" s="5">
        <v>173671</v>
      </c>
      <c r="C46" s="5">
        <v>89819</v>
      </c>
      <c r="D46" s="5">
        <v>83852</v>
      </c>
      <c r="E46" s="5">
        <v>137775</v>
      </c>
      <c r="F46" s="5">
        <v>69948</v>
      </c>
      <c r="G46" s="5">
        <v>67827</v>
      </c>
      <c r="H46" s="5">
        <v>35896</v>
      </c>
      <c r="I46" s="5">
        <v>19871</v>
      </c>
      <c r="J46" s="5">
        <v>16025</v>
      </c>
    </row>
    <row r="47" spans="1:14" x14ac:dyDescent="0.3">
      <c r="A47" s="7">
        <v>40</v>
      </c>
      <c r="B47" s="5">
        <v>1161706</v>
      </c>
      <c r="C47" s="5">
        <v>624708</v>
      </c>
      <c r="D47" s="5">
        <v>536998</v>
      </c>
      <c r="E47" s="5">
        <v>984115</v>
      </c>
      <c r="F47" s="5">
        <v>525938</v>
      </c>
      <c r="G47" s="5">
        <v>458177</v>
      </c>
      <c r="H47" s="5">
        <v>177591</v>
      </c>
      <c r="I47" s="5">
        <v>98770</v>
      </c>
      <c r="J47" s="5">
        <v>78821</v>
      </c>
    </row>
    <row r="48" spans="1:14" x14ac:dyDescent="0.3">
      <c r="A48" s="7">
        <v>41</v>
      </c>
      <c r="B48" s="5">
        <v>149560</v>
      </c>
      <c r="C48" s="5">
        <v>83169</v>
      </c>
      <c r="D48" s="5">
        <v>66391</v>
      </c>
      <c r="E48" s="5">
        <v>120416</v>
      </c>
      <c r="F48" s="5">
        <v>65691</v>
      </c>
      <c r="G48" s="5">
        <v>54725</v>
      </c>
      <c r="H48" s="5">
        <v>29144</v>
      </c>
      <c r="I48" s="5">
        <v>17478</v>
      </c>
      <c r="J48" s="5">
        <v>11666</v>
      </c>
    </row>
    <row r="49" spans="1:10" x14ac:dyDescent="0.3">
      <c r="A49" s="7">
        <v>42</v>
      </c>
      <c r="B49" s="5">
        <v>416404</v>
      </c>
      <c r="C49" s="5">
        <v>228276</v>
      </c>
      <c r="D49" s="5">
        <v>188128</v>
      </c>
      <c r="E49" s="5">
        <v>345751</v>
      </c>
      <c r="F49" s="5">
        <v>187161</v>
      </c>
      <c r="G49" s="5">
        <v>158590</v>
      </c>
      <c r="H49" s="5">
        <v>70653</v>
      </c>
      <c r="I49" s="5">
        <v>41115</v>
      </c>
      <c r="J49" s="5">
        <v>29538</v>
      </c>
    </row>
    <row r="50" spans="1:10" x14ac:dyDescent="0.3">
      <c r="A50" s="7">
        <v>43</v>
      </c>
      <c r="B50" s="5">
        <v>192558</v>
      </c>
      <c r="C50" s="5">
        <v>94167</v>
      </c>
      <c r="D50" s="5">
        <v>98391</v>
      </c>
      <c r="E50" s="5">
        <v>157949</v>
      </c>
      <c r="F50" s="5">
        <v>74532</v>
      </c>
      <c r="G50" s="5">
        <v>83417</v>
      </c>
      <c r="H50" s="5">
        <v>34609</v>
      </c>
      <c r="I50" s="5">
        <v>19635</v>
      </c>
      <c r="J50" s="5">
        <v>14974</v>
      </c>
    </row>
    <row r="51" spans="1:10" x14ac:dyDescent="0.3">
      <c r="A51" s="7">
        <v>44</v>
      </c>
      <c r="B51" s="5">
        <v>142408</v>
      </c>
      <c r="C51" s="5">
        <v>73993</v>
      </c>
      <c r="D51" s="5">
        <v>68415</v>
      </c>
      <c r="E51" s="5">
        <v>114764</v>
      </c>
      <c r="F51" s="5">
        <v>58141</v>
      </c>
      <c r="G51" s="5">
        <v>56623</v>
      </c>
      <c r="H51" s="5">
        <v>27644</v>
      </c>
      <c r="I51" s="5">
        <v>15852</v>
      </c>
      <c r="J51" s="5">
        <v>11792</v>
      </c>
    </row>
    <row r="52" spans="1:10" x14ac:dyDescent="0.3">
      <c r="A52" s="7">
        <v>45</v>
      </c>
      <c r="B52" s="5">
        <v>965398</v>
      </c>
      <c r="C52" s="5">
        <v>514211</v>
      </c>
      <c r="D52" s="5">
        <v>451187</v>
      </c>
      <c r="E52" s="5">
        <v>821647</v>
      </c>
      <c r="F52" s="5">
        <v>435379</v>
      </c>
      <c r="G52" s="5">
        <v>386268</v>
      </c>
      <c r="H52" s="5">
        <v>143751</v>
      </c>
      <c r="I52" s="5">
        <v>78832</v>
      </c>
      <c r="J52" s="5">
        <v>64919</v>
      </c>
    </row>
    <row r="53" spans="1:10" x14ac:dyDescent="0.3">
      <c r="A53" s="7">
        <v>46</v>
      </c>
      <c r="B53" s="5">
        <v>198865</v>
      </c>
      <c r="C53" s="5">
        <v>105555</v>
      </c>
      <c r="D53" s="5">
        <v>93310</v>
      </c>
      <c r="E53" s="5">
        <v>163501</v>
      </c>
      <c r="F53" s="5">
        <v>85276</v>
      </c>
      <c r="G53" s="5">
        <v>78225</v>
      </c>
      <c r="H53" s="5">
        <v>35364</v>
      </c>
      <c r="I53" s="5">
        <v>20279</v>
      </c>
      <c r="J53" s="5">
        <v>15085</v>
      </c>
    </row>
    <row r="54" spans="1:10" x14ac:dyDescent="0.3">
      <c r="A54" s="7">
        <v>47</v>
      </c>
      <c r="B54" s="5">
        <v>155155</v>
      </c>
      <c r="C54" s="5">
        <v>80260</v>
      </c>
      <c r="D54" s="5">
        <v>74895</v>
      </c>
      <c r="E54" s="5">
        <v>126110</v>
      </c>
      <c r="F54" s="5">
        <v>63693</v>
      </c>
      <c r="G54" s="5">
        <v>62417</v>
      </c>
      <c r="H54" s="5">
        <v>29045</v>
      </c>
      <c r="I54" s="5">
        <v>16567</v>
      </c>
      <c r="J54" s="5">
        <v>12478</v>
      </c>
    </row>
    <row r="55" spans="1:10" x14ac:dyDescent="0.3">
      <c r="A55" s="7">
        <v>48</v>
      </c>
      <c r="B55" s="5">
        <v>346211</v>
      </c>
      <c r="C55" s="5">
        <v>178935</v>
      </c>
      <c r="D55" s="5">
        <v>167276</v>
      </c>
      <c r="E55" s="5">
        <v>291331</v>
      </c>
      <c r="F55" s="5">
        <v>147674</v>
      </c>
      <c r="G55" s="5">
        <v>143657</v>
      </c>
      <c r="H55" s="5">
        <v>54880</v>
      </c>
      <c r="I55" s="5">
        <v>31261</v>
      </c>
      <c r="J55" s="5">
        <v>23619</v>
      </c>
    </row>
    <row r="56" spans="1:10" x14ac:dyDescent="0.3">
      <c r="A56" s="7">
        <v>49</v>
      </c>
      <c r="B56" s="5">
        <v>90220</v>
      </c>
      <c r="C56" s="5">
        <v>47228</v>
      </c>
      <c r="D56" s="5">
        <v>42992</v>
      </c>
      <c r="E56" s="5">
        <v>71464</v>
      </c>
      <c r="F56" s="5">
        <v>36213</v>
      </c>
      <c r="G56" s="5">
        <v>35251</v>
      </c>
      <c r="H56" s="5">
        <v>18756</v>
      </c>
      <c r="I56" s="5">
        <v>11015</v>
      </c>
      <c r="J56" s="5">
        <v>7741</v>
      </c>
    </row>
    <row r="57" spans="1:10" x14ac:dyDescent="0.3">
      <c r="A57" s="7">
        <v>50</v>
      </c>
      <c r="B57" s="5">
        <v>824740</v>
      </c>
      <c r="C57" s="5">
        <v>428332</v>
      </c>
      <c r="D57" s="5">
        <v>396408</v>
      </c>
      <c r="E57" s="5">
        <v>708956</v>
      </c>
      <c r="F57" s="5">
        <v>366536</v>
      </c>
      <c r="G57" s="5">
        <v>342420</v>
      </c>
      <c r="H57" s="5">
        <v>115784</v>
      </c>
      <c r="I57" s="5">
        <v>61796</v>
      </c>
      <c r="J57" s="5">
        <v>53988</v>
      </c>
    </row>
    <row r="58" spans="1:10" x14ac:dyDescent="0.3">
      <c r="A58" s="7">
        <v>51</v>
      </c>
      <c r="B58" s="5">
        <v>93998</v>
      </c>
      <c r="C58" s="5">
        <v>53664</v>
      </c>
      <c r="D58" s="5">
        <v>40334</v>
      </c>
      <c r="E58" s="5">
        <v>76289</v>
      </c>
      <c r="F58" s="5">
        <v>42340</v>
      </c>
      <c r="G58" s="5">
        <v>33949</v>
      </c>
      <c r="H58" s="5">
        <v>17709</v>
      </c>
      <c r="I58" s="5">
        <v>11324</v>
      </c>
      <c r="J58" s="5">
        <v>6385</v>
      </c>
    </row>
    <row r="59" spans="1:10" x14ac:dyDescent="0.3">
      <c r="A59" s="7">
        <v>52</v>
      </c>
      <c r="B59" s="5">
        <v>227140</v>
      </c>
      <c r="C59" s="5">
        <v>123646</v>
      </c>
      <c r="D59" s="5">
        <v>103494</v>
      </c>
      <c r="E59" s="5">
        <v>189590</v>
      </c>
      <c r="F59" s="5">
        <v>101312</v>
      </c>
      <c r="G59" s="5">
        <v>88278</v>
      </c>
      <c r="H59" s="5">
        <v>37550</v>
      </c>
      <c r="I59" s="5">
        <v>22334</v>
      </c>
      <c r="J59" s="5">
        <v>15216</v>
      </c>
    </row>
    <row r="60" spans="1:10" x14ac:dyDescent="0.3">
      <c r="A60" s="7">
        <v>53</v>
      </c>
      <c r="B60" s="5">
        <v>106165</v>
      </c>
      <c r="C60" s="5">
        <v>54390</v>
      </c>
      <c r="D60" s="5">
        <v>51775</v>
      </c>
      <c r="E60" s="5">
        <v>86952</v>
      </c>
      <c r="F60" s="5">
        <v>42560</v>
      </c>
      <c r="G60" s="5">
        <v>44392</v>
      </c>
      <c r="H60" s="5">
        <v>19213</v>
      </c>
      <c r="I60" s="5">
        <v>11830</v>
      </c>
      <c r="J60" s="5">
        <v>7383</v>
      </c>
    </row>
    <row r="61" spans="1:10" x14ac:dyDescent="0.3">
      <c r="A61" s="7">
        <v>54</v>
      </c>
      <c r="B61" s="5">
        <v>92098</v>
      </c>
      <c r="C61" s="5">
        <v>48841</v>
      </c>
      <c r="D61" s="5">
        <v>43257</v>
      </c>
      <c r="E61" s="5">
        <v>74001</v>
      </c>
      <c r="F61" s="5">
        <v>37574</v>
      </c>
      <c r="G61" s="5">
        <v>36427</v>
      </c>
      <c r="H61" s="5">
        <v>18097</v>
      </c>
      <c r="I61" s="5">
        <v>11267</v>
      </c>
      <c r="J61" s="5">
        <v>6830</v>
      </c>
    </row>
    <row r="62" spans="1:10" x14ac:dyDescent="0.3">
      <c r="A62" s="7">
        <v>55</v>
      </c>
      <c r="B62" s="5">
        <v>631902</v>
      </c>
      <c r="C62" s="5">
        <v>299327</v>
      </c>
      <c r="D62" s="5">
        <v>332575</v>
      </c>
      <c r="E62" s="5">
        <v>553531</v>
      </c>
      <c r="F62" s="5">
        <v>260294</v>
      </c>
      <c r="G62" s="5">
        <v>293237</v>
      </c>
      <c r="H62" s="5">
        <v>78371</v>
      </c>
      <c r="I62" s="5">
        <v>39033</v>
      </c>
      <c r="J62" s="5">
        <v>39338</v>
      </c>
    </row>
    <row r="63" spans="1:10" x14ac:dyDescent="0.3">
      <c r="A63" s="7">
        <v>56</v>
      </c>
      <c r="B63" s="5">
        <v>121832</v>
      </c>
      <c r="C63" s="5">
        <v>63636</v>
      </c>
      <c r="D63" s="5">
        <v>58196</v>
      </c>
      <c r="E63" s="5">
        <v>102339</v>
      </c>
      <c r="F63" s="5">
        <v>51601</v>
      </c>
      <c r="G63" s="5">
        <v>50738</v>
      </c>
      <c r="H63" s="5">
        <v>19493</v>
      </c>
      <c r="I63" s="5">
        <v>12035</v>
      </c>
      <c r="J63" s="5">
        <v>7458</v>
      </c>
    </row>
    <row r="64" spans="1:10" x14ac:dyDescent="0.3">
      <c r="A64" s="7">
        <v>57</v>
      </c>
      <c r="B64" s="5">
        <v>83326</v>
      </c>
      <c r="C64" s="5">
        <v>42904</v>
      </c>
      <c r="D64" s="5">
        <v>40422</v>
      </c>
      <c r="E64" s="5">
        <v>68847</v>
      </c>
      <c r="F64" s="5">
        <v>33746</v>
      </c>
      <c r="G64" s="5">
        <v>35101</v>
      </c>
      <c r="H64" s="5">
        <v>14479</v>
      </c>
      <c r="I64" s="5">
        <v>9158</v>
      </c>
      <c r="J64" s="5">
        <v>5321</v>
      </c>
    </row>
    <row r="65" spans="1:10" x14ac:dyDescent="0.3">
      <c r="A65" s="7">
        <v>58</v>
      </c>
      <c r="B65" s="5">
        <v>188630</v>
      </c>
      <c r="C65" s="5">
        <v>90192</v>
      </c>
      <c r="D65" s="5">
        <v>98438</v>
      </c>
      <c r="E65" s="5">
        <v>161626</v>
      </c>
      <c r="F65" s="5">
        <v>74701</v>
      </c>
      <c r="G65" s="5">
        <v>86925</v>
      </c>
      <c r="H65" s="5">
        <v>27004</v>
      </c>
      <c r="I65" s="5">
        <v>15491</v>
      </c>
      <c r="J65" s="5">
        <v>11513</v>
      </c>
    </row>
    <row r="66" spans="1:10" x14ac:dyDescent="0.3">
      <c r="A66" s="7">
        <v>59</v>
      </c>
      <c r="B66" s="5">
        <v>51794</v>
      </c>
      <c r="C66" s="5">
        <v>27693</v>
      </c>
      <c r="D66" s="5">
        <v>24101</v>
      </c>
      <c r="E66" s="5">
        <v>41643</v>
      </c>
      <c r="F66" s="5">
        <v>20941</v>
      </c>
      <c r="G66" s="5">
        <v>20702</v>
      </c>
      <c r="H66" s="5">
        <v>10151</v>
      </c>
      <c r="I66" s="5">
        <v>6752</v>
      </c>
      <c r="J66" s="5">
        <v>3399</v>
      </c>
    </row>
    <row r="67" spans="1:10" x14ac:dyDescent="0.3">
      <c r="A67" s="7">
        <v>60</v>
      </c>
      <c r="B67" s="5">
        <v>757879</v>
      </c>
      <c r="C67" s="5">
        <v>365759</v>
      </c>
      <c r="D67" s="5">
        <v>392120</v>
      </c>
      <c r="E67" s="5">
        <v>671557</v>
      </c>
      <c r="F67" s="5">
        <v>323684</v>
      </c>
      <c r="G67" s="5">
        <v>347873</v>
      </c>
      <c r="H67" s="5">
        <v>86322</v>
      </c>
      <c r="I67" s="5">
        <v>42075</v>
      </c>
      <c r="J67" s="5">
        <v>44247</v>
      </c>
    </row>
    <row r="68" spans="1:10" x14ac:dyDescent="0.3">
      <c r="A68" s="7">
        <v>61</v>
      </c>
      <c r="B68" s="5">
        <v>61871</v>
      </c>
      <c r="C68" s="5">
        <v>32529</v>
      </c>
      <c r="D68" s="5">
        <v>29342</v>
      </c>
      <c r="E68" s="5">
        <v>53627</v>
      </c>
      <c r="F68" s="5">
        <v>27382</v>
      </c>
      <c r="G68" s="5">
        <v>26245</v>
      </c>
      <c r="H68" s="5">
        <v>8244</v>
      </c>
      <c r="I68" s="5">
        <v>5147</v>
      </c>
      <c r="J68" s="5">
        <v>3097</v>
      </c>
    </row>
    <row r="69" spans="1:10" x14ac:dyDescent="0.3">
      <c r="A69" s="7">
        <v>62</v>
      </c>
      <c r="B69" s="5">
        <v>170802</v>
      </c>
      <c r="C69" s="5">
        <v>87559</v>
      </c>
      <c r="D69" s="5">
        <v>83243</v>
      </c>
      <c r="E69" s="5">
        <v>150825</v>
      </c>
      <c r="F69" s="5">
        <v>76238</v>
      </c>
      <c r="G69" s="5">
        <v>74587</v>
      </c>
      <c r="H69" s="5">
        <v>19977</v>
      </c>
      <c r="I69" s="5">
        <v>11321</v>
      </c>
      <c r="J69" s="5">
        <v>8656</v>
      </c>
    </row>
    <row r="70" spans="1:10" x14ac:dyDescent="0.3">
      <c r="A70" s="7">
        <v>63</v>
      </c>
      <c r="B70" s="5">
        <v>64995</v>
      </c>
      <c r="C70" s="5">
        <v>31403</v>
      </c>
      <c r="D70" s="5">
        <v>33592</v>
      </c>
      <c r="E70" s="5">
        <v>56099</v>
      </c>
      <c r="F70" s="5">
        <v>26129</v>
      </c>
      <c r="G70" s="5">
        <v>29970</v>
      </c>
      <c r="H70" s="5">
        <v>8896</v>
      </c>
      <c r="I70" s="5">
        <v>5274</v>
      </c>
      <c r="J70" s="5">
        <v>3622</v>
      </c>
    </row>
    <row r="71" spans="1:10" x14ac:dyDescent="0.3">
      <c r="A71" s="7">
        <v>64</v>
      </c>
      <c r="B71" s="5">
        <v>48593</v>
      </c>
      <c r="C71" s="5">
        <v>25756</v>
      </c>
      <c r="D71" s="5">
        <v>22837</v>
      </c>
      <c r="E71" s="5">
        <v>41043</v>
      </c>
      <c r="F71" s="5">
        <v>21158</v>
      </c>
      <c r="G71" s="5">
        <v>19885</v>
      </c>
      <c r="H71" s="5">
        <v>7550</v>
      </c>
      <c r="I71" s="5">
        <v>4598</v>
      </c>
      <c r="J71" s="5">
        <v>2952</v>
      </c>
    </row>
    <row r="72" spans="1:10" x14ac:dyDescent="0.3">
      <c r="A72" s="7">
        <v>65</v>
      </c>
      <c r="B72" s="5">
        <v>534570</v>
      </c>
      <c r="C72" s="5">
        <v>248232</v>
      </c>
      <c r="D72" s="5">
        <v>286338</v>
      </c>
      <c r="E72" s="5">
        <v>479546</v>
      </c>
      <c r="F72" s="5">
        <v>222574</v>
      </c>
      <c r="G72" s="5">
        <v>256972</v>
      </c>
      <c r="H72" s="5">
        <v>55024</v>
      </c>
      <c r="I72" s="5">
        <v>25658</v>
      </c>
      <c r="J72" s="5">
        <v>29366</v>
      </c>
    </row>
    <row r="73" spans="1:10" x14ac:dyDescent="0.3">
      <c r="A73" s="7">
        <v>66</v>
      </c>
      <c r="B73" s="5">
        <v>60565</v>
      </c>
      <c r="C73" s="5">
        <v>30926</v>
      </c>
      <c r="D73" s="5">
        <v>29639</v>
      </c>
      <c r="E73" s="5">
        <v>52866</v>
      </c>
      <c r="F73" s="5">
        <v>26592</v>
      </c>
      <c r="G73" s="5">
        <v>26274</v>
      </c>
      <c r="H73" s="5">
        <v>7699</v>
      </c>
      <c r="I73" s="5">
        <v>4334</v>
      </c>
      <c r="J73" s="5">
        <v>3365</v>
      </c>
    </row>
    <row r="74" spans="1:10" x14ac:dyDescent="0.3">
      <c r="A74" s="7">
        <v>67</v>
      </c>
      <c r="B74" s="5">
        <v>48075</v>
      </c>
      <c r="C74" s="5">
        <v>24693</v>
      </c>
      <c r="D74" s="5">
        <v>23382</v>
      </c>
      <c r="E74" s="5">
        <v>41660</v>
      </c>
      <c r="F74" s="5">
        <v>21039</v>
      </c>
      <c r="G74" s="5">
        <v>20621</v>
      </c>
      <c r="H74" s="5">
        <v>6415</v>
      </c>
      <c r="I74" s="5">
        <v>3654</v>
      </c>
      <c r="J74" s="5">
        <v>2761</v>
      </c>
    </row>
    <row r="75" spans="1:10" x14ac:dyDescent="0.3">
      <c r="A75" s="7">
        <v>68</v>
      </c>
      <c r="B75" s="5">
        <v>97206</v>
      </c>
      <c r="C75" s="5">
        <v>46113</v>
      </c>
      <c r="D75" s="5">
        <v>51093</v>
      </c>
      <c r="E75" s="5">
        <v>85824</v>
      </c>
      <c r="F75" s="5">
        <v>40054</v>
      </c>
      <c r="G75" s="5">
        <v>45770</v>
      </c>
      <c r="H75" s="5">
        <v>11382</v>
      </c>
      <c r="I75" s="5">
        <v>6059</v>
      </c>
      <c r="J75" s="5">
        <v>5323</v>
      </c>
    </row>
    <row r="76" spans="1:10" x14ac:dyDescent="0.3">
      <c r="A76" s="7">
        <v>69</v>
      </c>
      <c r="B76" s="5">
        <v>27725</v>
      </c>
      <c r="C76" s="5">
        <v>13882</v>
      </c>
      <c r="D76" s="5">
        <v>13843</v>
      </c>
      <c r="E76" s="5">
        <v>23674</v>
      </c>
      <c r="F76" s="5">
        <v>11577</v>
      </c>
      <c r="G76" s="5">
        <v>12097</v>
      </c>
      <c r="H76" s="5">
        <v>4051</v>
      </c>
      <c r="I76" s="5">
        <v>2305</v>
      </c>
      <c r="J76" s="5">
        <v>1746</v>
      </c>
    </row>
    <row r="77" spans="1:10" x14ac:dyDescent="0.3">
      <c r="A77" s="7">
        <v>70</v>
      </c>
      <c r="B77" s="5">
        <v>461809</v>
      </c>
      <c r="C77" s="5">
        <v>224416</v>
      </c>
      <c r="D77" s="5">
        <v>237393</v>
      </c>
      <c r="E77" s="5">
        <v>413852</v>
      </c>
      <c r="F77" s="5">
        <v>201748</v>
      </c>
      <c r="G77" s="5">
        <v>212104</v>
      </c>
      <c r="H77" s="5">
        <v>47957</v>
      </c>
      <c r="I77" s="5">
        <v>22668</v>
      </c>
      <c r="J77" s="5">
        <v>25289</v>
      </c>
    </row>
    <row r="78" spans="1:10" x14ac:dyDescent="0.3">
      <c r="A78" s="7">
        <v>71</v>
      </c>
      <c r="B78" s="5">
        <v>27304</v>
      </c>
      <c r="C78" s="5">
        <v>15071</v>
      </c>
      <c r="D78" s="5">
        <v>12233</v>
      </c>
      <c r="E78" s="5">
        <v>23686</v>
      </c>
      <c r="F78" s="5">
        <v>12860</v>
      </c>
      <c r="G78" s="5">
        <v>10826</v>
      </c>
      <c r="H78" s="5">
        <v>3618</v>
      </c>
      <c r="I78" s="5">
        <v>2211</v>
      </c>
      <c r="J78" s="5">
        <v>1407</v>
      </c>
    </row>
    <row r="79" spans="1:10" x14ac:dyDescent="0.3">
      <c r="A79" s="7">
        <v>72</v>
      </c>
      <c r="B79" s="5">
        <v>81898</v>
      </c>
      <c r="C79" s="5">
        <v>44413</v>
      </c>
      <c r="D79" s="5">
        <v>37485</v>
      </c>
      <c r="E79" s="5">
        <v>72012</v>
      </c>
      <c r="F79" s="5">
        <v>39029</v>
      </c>
      <c r="G79" s="5">
        <v>32983</v>
      </c>
      <c r="H79" s="5">
        <v>9886</v>
      </c>
      <c r="I79" s="5">
        <v>5384</v>
      </c>
      <c r="J79" s="5">
        <v>4502</v>
      </c>
    </row>
    <row r="80" spans="1:10" x14ac:dyDescent="0.3">
      <c r="A80" s="7">
        <v>73</v>
      </c>
      <c r="B80" s="5">
        <v>25343</v>
      </c>
      <c r="C80" s="5">
        <v>14202</v>
      </c>
      <c r="D80" s="5">
        <v>11141</v>
      </c>
      <c r="E80" s="5">
        <v>21550</v>
      </c>
      <c r="F80" s="5">
        <v>11972</v>
      </c>
      <c r="G80" s="5">
        <v>9578</v>
      </c>
      <c r="H80" s="5">
        <v>3793</v>
      </c>
      <c r="I80" s="5">
        <v>2230</v>
      </c>
      <c r="J80" s="5">
        <v>1563</v>
      </c>
    </row>
    <row r="81" spans="1:10" x14ac:dyDescent="0.3">
      <c r="A81" s="7">
        <v>74</v>
      </c>
      <c r="B81" s="5">
        <v>19003</v>
      </c>
      <c r="C81" s="5">
        <v>11340</v>
      </c>
      <c r="D81" s="5">
        <v>7663</v>
      </c>
      <c r="E81" s="5">
        <v>15821</v>
      </c>
      <c r="F81" s="5">
        <v>9361</v>
      </c>
      <c r="G81" s="5">
        <v>6460</v>
      </c>
      <c r="H81" s="5">
        <v>3182</v>
      </c>
      <c r="I81" s="5">
        <v>1979</v>
      </c>
      <c r="J81" s="5">
        <v>1203</v>
      </c>
    </row>
    <row r="82" spans="1:10" x14ac:dyDescent="0.3">
      <c r="A82" s="7">
        <v>75</v>
      </c>
      <c r="B82" s="5">
        <v>183513</v>
      </c>
      <c r="C82" s="5">
        <v>89931</v>
      </c>
      <c r="D82" s="5">
        <v>93582</v>
      </c>
      <c r="E82" s="5">
        <v>163882</v>
      </c>
      <c r="F82" s="5">
        <v>80716</v>
      </c>
      <c r="G82" s="5">
        <v>83166</v>
      </c>
      <c r="H82" s="5">
        <v>19631</v>
      </c>
      <c r="I82" s="5">
        <v>9215</v>
      </c>
      <c r="J82" s="5">
        <v>10416</v>
      </c>
    </row>
    <row r="83" spans="1:10" x14ac:dyDescent="0.3">
      <c r="A83" s="7">
        <v>76</v>
      </c>
      <c r="B83" s="5">
        <v>23279</v>
      </c>
      <c r="C83" s="5">
        <v>13160</v>
      </c>
      <c r="D83" s="5">
        <v>10119</v>
      </c>
      <c r="E83" s="5">
        <v>19784</v>
      </c>
      <c r="F83" s="5">
        <v>11157</v>
      </c>
      <c r="G83" s="5">
        <v>8627</v>
      </c>
      <c r="H83" s="5">
        <v>3495</v>
      </c>
      <c r="I83" s="5">
        <v>2003</v>
      </c>
      <c r="J83" s="5">
        <v>1492</v>
      </c>
    </row>
    <row r="84" spans="1:10" x14ac:dyDescent="0.3">
      <c r="A84" s="7">
        <v>77</v>
      </c>
      <c r="B84" s="5">
        <v>13632</v>
      </c>
      <c r="C84" s="5">
        <v>7975</v>
      </c>
      <c r="D84" s="5">
        <v>5657</v>
      </c>
      <c r="E84" s="5">
        <v>11528</v>
      </c>
      <c r="F84" s="5">
        <v>6705</v>
      </c>
      <c r="G84" s="5">
        <v>4823</v>
      </c>
      <c r="H84" s="5">
        <v>2104</v>
      </c>
      <c r="I84" s="5">
        <v>1270</v>
      </c>
      <c r="J84" s="5">
        <v>834</v>
      </c>
    </row>
    <row r="85" spans="1:10" x14ac:dyDescent="0.3">
      <c r="A85" s="7">
        <v>78</v>
      </c>
      <c r="B85" s="5">
        <v>28952</v>
      </c>
      <c r="C85" s="5">
        <v>15379</v>
      </c>
      <c r="D85" s="5">
        <v>13573</v>
      </c>
      <c r="E85" s="5">
        <v>24750</v>
      </c>
      <c r="F85" s="5">
        <v>13155</v>
      </c>
      <c r="G85" s="5">
        <v>11595</v>
      </c>
      <c r="H85" s="5">
        <v>4202</v>
      </c>
      <c r="I85" s="5">
        <v>2224</v>
      </c>
      <c r="J85" s="5">
        <v>1978</v>
      </c>
    </row>
    <row r="86" spans="1:10" x14ac:dyDescent="0.3">
      <c r="A86" s="7">
        <v>79</v>
      </c>
      <c r="B86" s="5">
        <v>8813</v>
      </c>
      <c r="C86" s="5">
        <v>5013</v>
      </c>
      <c r="D86" s="5">
        <v>3800</v>
      </c>
      <c r="E86" s="5">
        <v>7263</v>
      </c>
      <c r="F86" s="5">
        <v>4088</v>
      </c>
      <c r="G86" s="5">
        <v>3175</v>
      </c>
      <c r="H86" s="5">
        <v>1550</v>
      </c>
      <c r="I86" s="5">
        <v>925</v>
      </c>
      <c r="J86" s="5">
        <v>625</v>
      </c>
    </row>
    <row r="87" spans="1:10" x14ac:dyDescent="0.3">
      <c r="A87" s="7">
        <v>80</v>
      </c>
      <c r="B87" s="5">
        <v>135840</v>
      </c>
      <c r="C87" s="5">
        <v>69725</v>
      </c>
      <c r="D87" s="5">
        <v>66115</v>
      </c>
      <c r="E87" s="5">
        <v>120409</v>
      </c>
      <c r="F87" s="5">
        <v>62385</v>
      </c>
      <c r="G87" s="5">
        <v>58024</v>
      </c>
      <c r="H87" s="5">
        <v>15431</v>
      </c>
      <c r="I87" s="5">
        <v>7340</v>
      </c>
      <c r="J87" s="5">
        <v>8091</v>
      </c>
    </row>
    <row r="88" spans="1:10" x14ac:dyDescent="0.3">
      <c r="A88" s="7">
        <v>81</v>
      </c>
      <c r="B88" s="5">
        <v>9034</v>
      </c>
      <c r="C88" s="5">
        <v>5511</v>
      </c>
      <c r="D88" s="5">
        <v>3523</v>
      </c>
      <c r="E88" s="5">
        <v>7778</v>
      </c>
      <c r="F88" s="5">
        <v>4710</v>
      </c>
      <c r="G88" s="5">
        <v>3068</v>
      </c>
      <c r="H88" s="5">
        <v>1256</v>
      </c>
      <c r="I88" s="5">
        <v>801</v>
      </c>
      <c r="J88" s="5">
        <v>455</v>
      </c>
    </row>
    <row r="89" spans="1:10" x14ac:dyDescent="0.3">
      <c r="A89" s="7">
        <v>82</v>
      </c>
      <c r="B89" s="5">
        <v>17198</v>
      </c>
      <c r="C89" s="5">
        <v>9940</v>
      </c>
      <c r="D89" s="5">
        <v>7258</v>
      </c>
      <c r="E89" s="5">
        <v>14659</v>
      </c>
      <c r="F89" s="5">
        <v>8542</v>
      </c>
      <c r="G89" s="5">
        <v>6117</v>
      </c>
      <c r="H89" s="5">
        <v>2539</v>
      </c>
      <c r="I89" s="5">
        <v>1398</v>
      </c>
      <c r="J89" s="5">
        <v>1141</v>
      </c>
    </row>
    <row r="90" spans="1:10" x14ac:dyDescent="0.3">
      <c r="A90" s="7">
        <v>83</v>
      </c>
      <c r="B90" s="5">
        <v>6246</v>
      </c>
      <c r="C90" s="5">
        <v>3733</v>
      </c>
      <c r="D90" s="5">
        <v>2513</v>
      </c>
      <c r="E90" s="5">
        <v>5075</v>
      </c>
      <c r="F90" s="5">
        <v>3059</v>
      </c>
      <c r="G90" s="5">
        <v>2016</v>
      </c>
      <c r="H90" s="5">
        <v>1171</v>
      </c>
      <c r="I90" s="5">
        <v>674</v>
      </c>
      <c r="J90" s="5">
        <v>497</v>
      </c>
    </row>
    <row r="91" spans="1:10" x14ac:dyDescent="0.3">
      <c r="A91" s="7">
        <v>84</v>
      </c>
      <c r="B91" s="5">
        <v>5579</v>
      </c>
      <c r="C91" s="5">
        <v>3530</v>
      </c>
      <c r="D91" s="5">
        <v>2049</v>
      </c>
      <c r="E91" s="5">
        <v>4435</v>
      </c>
      <c r="F91" s="5">
        <v>2865</v>
      </c>
      <c r="G91" s="5">
        <v>1570</v>
      </c>
      <c r="H91" s="5">
        <v>1144</v>
      </c>
      <c r="I91" s="5">
        <v>665</v>
      </c>
      <c r="J91" s="5">
        <v>479</v>
      </c>
    </row>
    <row r="92" spans="1:10" x14ac:dyDescent="0.3">
      <c r="A92" s="7">
        <v>85</v>
      </c>
      <c r="B92" s="5">
        <v>40633</v>
      </c>
      <c r="C92" s="5">
        <v>21402</v>
      </c>
      <c r="D92" s="5">
        <v>19231</v>
      </c>
      <c r="E92" s="5">
        <v>35338</v>
      </c>
      <c r="F92" s="5">
        <v>18849</v>
      </c>
      <c r="G92" s="5">
        <v>16489</v>
      </c>
      <c r="H92" s="5">
        <v>5295</v>
      </c>
      <c r="I92" s="5">
        <v>2553</v>
      </c>
      <c r="J92" s="5">
        <v>2742</v>
      </c>
    </row>
    <row r="93" spans="1:10" x14ac:dyDescent="0.3">
      <c r="A93" s="7">
        <v>86</v>
      </c>
      <c r="B93" s="5">
        <v>5270</v>
      </c>
      <c r="C93" s="5">
        <v>3189</v>
      </c>
      <c r="D93" s="5">
        <v>2081</v>
      </c>
      <c r="E93" s="5">
        <v>4291</v>
      </c>
      <c r="F93" s="5">
        <v>2624</v>
      </c>
      <c r="G93" s="5">
        <v>1667</v>
      </c>
      <c r="H93" s="5">
        <v>979</v>
      </c>
      <c r="I93" s="5">
        <v>565</v>
      </c>
      <c r="J93" s="5">
        <v>414</v>
      </c>
    </row>
    <row r="94" spans="1:10" x14ac:dyDescent="0.3">
      <c r="A94" s="7">
        <v>87</v>
      </c>
      <c r="B94" s="5">
        <v>4195</v>
      </c>
      <c r="C94" s="5">
        <v>2561</v>
      </c>
      <c r="D94" s="5">
        <v>1634</v>
      </c>
      <c r="E94" s="5">
        <v>3355</v>
      </c>
      <c r="F94" s="5">
        <v>2068</v>
      </c>
      <c r="G94" s="5">
        <v>1287</v>
      </c>
      <c r="H94" s="5">
        <v>840</v>
      </c>
      <c r="I94" s="5">
        <v>493</v>
      </c>
      <c r="J94" s="5">
        <v>347</v>
      </c>
    </row>
    <row r="95" spans="1:10" x14ac:dyDescent="0.3">
      <c r="A95" s="7">
        <v>88</v>
      </c>
      <c r="B95" s="5">
        <v>5725</v>
      </c>
      <c r="C95" s="5">
        <v>3238</v>
      </c>
      <c r="D95" s="5">
        <v>2487</v>
      </c>
      <c r="E95" s="5">
        <v>4779</v>
      </c>
      <c r="F95" s="5">
        <v>2693</v>
      </c>
      <c r="G95" s="5">
        <v>2086</v>
      </c>
      <c r="H95" s="5">
        <v>946</v>
      </c>
      <c r="I95" s="5">
        <v>545</v>
      </c>
      <c r="J95" s="5">
        <v>401</v>
      </c>
    </row>
    <row r="96" spans="1:10" x14ac:dyDescent="0.3">
      <c r="A96" s="7">
        <v>89</v>
      </c>
      <c r="B96" s="5">
        <v>2218</v>
      </c>
      <c r="C96" s="5">
        <v>1264</v>
      </c>
      <c r="D96" s="5">
        <v>954</v>
      </c>
      <c r="E96" s="5">
        <v>1794</v>
      </c>
      <c r="F96" s="5">
        <v>1011</v>
      </c>
      <c r="G96" s="5">
        <v>783</v>
      </c>
      <c r="H96" s="5">
        <v>424</v>
      </c>
      <c r="I96" s="5">
        <v>253</v>
      </c>
      <c r="J96" s="5">
        <v>171</v>
      </c>
    </row>
    <row r="97" spans="1:10" x14ac:dyDescent="0.3">
      <c r="A97" s="7">
        <v>90</v>
      </c>
      <c r="B97" s="5">
        <v>27122</v>
      </c>
      <c r="C97" s="5">
        <v>13398</v>
      </c>
      <c r="D97" s="5">
        <v>13724</v>
      </c>
      <c r="E97" s="5">
        <v>23274</v>
      </c>
      <c r="F97" s="5">
        <v>11646</v>
      </c>
      <c r="G97" s="5">
        <v>11628</v>
      </c>
      <c r="H97" s="5">
        <v>3848</v>
      </c>
      <c r="I97" s="5">
        <v>1752</v>
      </c>
      <c r="J97" s="5">
        <v>2096</v>
      </c>
    </row>
    <row r="98" spans="1:10" x14ac:dyDescent="0.3">
      <c r="A98" s="7">
        <v>91</v>
      </c>
      <c r="B98" s="5">
        <v>2122</v>
      </c>
      <c r="C98" s="5">
        <v>1190</v>
      </c>
      <c r="D98" s="5">
        <v>932</v>
      </c>
      <c r="E98" s="5">
        <v>1706</v>
      </c>
      <c r="F98" s="5">
        <v>948</v>
      </c>
      <c r="G98" s="5">
        <v>758</v>
      </c>
      <c r="H98" s="5">
        <v>416</v>
      </c>
      <c r="I98" s="5">
        <v>242</v>
      </c>
      <c r="J98" s="5">
        <v>174</v>
      </c>
    </row>
    <row r="99" spans="1:10" x14ac:dyDescent="0.3">
      <c r="A99" s="7">
        <v>92</v>
      </c>
      <c r="B99" s="5">
        <v>4247</v>
      </c>
      <c r="C99" s="5">
        <v>2311</v>
      </c>
      <c r="D99" s="5">
        <v>1936</v>
      </c>
      <c r="E99" s="5">
        <v>3419</v>
      </c>
      <c r="F99" s="5">
        <v>1838</v>
      </c>
      <c r="G99" s="5">
        <v>1581</v>
      </c>
      <c r="H99" s="5">
        <v>828</v>
      </c>
      <c r="I99" s="5">
        <v>473</v>
      </c>
      <c r="J99" s="5">
        <v>355</v>
      </c>
    </row>
    <row r="100" spans="1:10" x14ac:dyDescent="0.3">
      <c r="A100" s="7">
        <v>93</v>
      </c>
      <c r="B100" s="5">
        <v>1752</v>
      </c>
      <c r="C100" s="5">
        <v>991</v>
      </c>
      <c r="D100" s="5">
        <v>761</v>
      </c>
      <c r="E100" s="5">
        <v>1357</v>
      </c>
      <c r="F100" s="5">
        <v>752</v>
      </c>
      <c r="G100" s="5">
        <v>605</v>
      </c>
      <c r="H100" s="5">
        <v>395</v>
      </c>
      <c r="I100" s="5">
        <v>239</v>
      </c>
      <c r="J100" s="5">
        <v>156</v>
      </c>
    </row>
    <row r="101" spans="1:10" x14ac:dyDescent="0.3">
      <c r="A101" s="7">
        <v>94</v>
      </c>
      <c r="B101" s="5">
        <v>1548</v>
      </c>
      <c r="C101" s="5">
        <v>900</v>
      </c>
      <c r="D101" s="5">
        <v>648</v>
      </c>
      <c r="E101" s="5">
        <v>1228</v>
      </c>
      <c r="F101" s="5">
        <v>703</v>
      </c>
      <c r="G101" s="5">
        <v>525</v>
      </c>
      <c r="H101" s="5">
        <v>320</v>
      </c>
      <c r="I101" s="5">
        <v>197</v>
      </c>
      <c r="J101" s="5">
        <v>123</v>
      </c>
    </row>
    <row r="102" spans="1:10" x14ac:dyDescent="0.3">
      <c r="A102" s="7">
        <v>95</v>
      </c>
      <c r="B102" s="5">
        <v>10894</v>
      </c>
      <c r="C102" s="5">
        <v>5508</v>
      </c>
      <c r="D102" s="5">
        <v>5386</v>
      </c>
      <c r="E102" s="5">
        <v>9335</v>
      </c>
      <c r="F102" s="5">
        <v>4769</v>
      </c>
      <c r="G102" s="5">
        <v>4566</v>
      </c>
      <c r="H102" s="5">
        <v>1559</v>
      </c>
      <c r="I102" s="5">
        <v>739</v>
      </c>
      <c r="J102" s="5">
        <v>820</v>
      </c>
    </row>
    <row r="103" spans="1:10" x14ac:dyDescent="0.3">
      <c r="A103" s="7">
        <v>96</v>
      </c>
      <c r="B103" s="5">
        <v>2058</v>
      </c>
      <c r="C103" s="5">
        <v>1150</v>
      </c>
      <c r="D103" s="5">
        <v>908</v>
      </c>
      <c r="E103" s="5">
        <v>1701</v>
      </c>
      <c r="F103" s="5">
        <v>955</v>
      </c>
      <c r="G103" s="5">
        <v>746</v>
      </c>
      <c r="H103" s="5">
        <v>357</v>
      </c>
      <c r="I103" s="5">
        <v>195</v>
      </c>
      <c r="J103" s="5">
        <v>162</v>
      </c>
    </row>
    <row r="104" spans="1:10" x14ac:dyDescent="0.3">
      <c r="A104" s="7">
        <v>97</v>
      </c>
      <c r="B104" s="5">
        <v>1594</v>
      </c>
      <c r="C104" s="5">
        <v>864</v>
      </c>
      <c r="D104" s="5">
        <v>730</v>
      </c>
      <c r="E104" s="5">
        <v>1269</v>
      </c>
      <c r="F104" s="5">
        <v>685</v>
      </c>
      <c r="G104" s="5">
        <v>584</v>
      </c>
      <c r="H104" s="5">
        <v>325</v>
      </c>
      <c r="I104" s="5">
        <v>179</v>
      </c>
      <c r="J104" s="5">
        <v>146</v>
      </c>
    </row>
    <row r="105" spans="1:10" x14ac:dyDescent="0.3">
      <c r="A105" s="7">
        <v>98</v>
      </c>
      <c r="B105" s="5">
        <v>3793</v>
      </c>
      <c r="C105" s="5">
        <v>1969</v>
      </c>
      <c r="D105" s="5">
        <v>1824</v>
      </c>
      <c r="E105" s="5">
        <v>3113</v>
      </c>
      <c r="F105" s="5">
        <v>1591</v>
      </c>
      <c r="G105" s="5">
        <v>1522</v>
      </c>
      <c r="H105" s="5">
        <v>680</v>
      </c>
      <c r="I105" s="5">
        <v>378</v>
      </c>
      <c r="J105" s="5">
        <v>302</v>
      </c>
    </row>
    <row r="106" spans="1:10" x14ac:dyDescent="0.3">
      <c r="A106" s="7">
        <v>99</v>
      </c>
      <c r="B106" s="5">
        <v>2305</v>
      </c>
      <c r="C106" s="5">
        <v>1193</v>
      </c>
      <c r="D106" s="5">
        <v>1112</v>
      </c>
      <c r="E106" s="5">
        <v>1911</v>
      </c>
      <c r="F106" s="5">
        <v>977</v>
      </c>
      <c r="G106" s="5">
        <v>934</v>
      </c>
      <c r="H106" s="5">
        <v>394</v>
      </c>
      <c r="I106" s="5">
        <v>216</v>
      </c>
      <c r="J106" s="5">
        <v>178</v>
      </c>
    </row>
    <row r="107" spans="1:10" x14ac:dyDescent="0.3">
      <c r="A107" s="7" t="s">
        <v>8</v>
      </c>
      <c r="B107" s="5">
        <v>3900</v>
      </c>
      <c r="C107" s="5">
        <v>1411</v>
      </c>
      <c r="D107" s="5">
        <v>2489</v>
      </c>
      <c r="E107" s="5">
        <v>3411</v>
      </c>
      <c r="F107" s="5">
        <v>1245</v>
      </c>
      <c r="G107" s="5">
        <v>2166</v>
      </c>
      <c r="H107" s="5">
        <v>489</v>
      </c>
      <c r="I107" s="5">
        <v>166</v>
      </c>
      <c r="J107" s="5">
        <v>323</v>
      </c>
    </row>
    <row r="108" spans="1:10" x14ac:dyDescent="0.3">
      <c r="A108" s="7" t="s">
        <v>9</v>
      </c>
      <c r="B108" s="5">
        <v>62062</v>
      </c>
      <c r="C108" s="5">
        <v>34379</v>
      </c>
      <c r="D108" s="5">
        <v>27683</v>
      </c>
      <c r="E108" s="5">
        <v>51414</v>
      </c>
      <c r="F108" s="5">
        <v>28318</v>
      </c>
      <c r="G108" s="5">
        <v>23096</v>
      </c>
      <c r="H108" s="5">
        <v>10648</v>
      </c>
      <c r="I108" s="5">
        <v>6061</v>
      </c>
      <c r="J108" s="5">
        <v>4587</v>
      </c>
    </row>
  </sheetData>
  <mergeCells count="4">
    <mergeCell ref="B2:D2"/>
    <mergeCell ref="E2:G2"/>
    <mergeCell ref="H2:J2"/>
    <mergeCell ref="M6:Q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1B79-870C-4E41-96DD-F37FF47DB82E}">
  <dimension ref="A1:Z210"/>
  <sheetViews>
    <sheetView zoomScale="76" workbookViewId="0">
      <selection activeCell="U22" sqref="U22"/>
    </sheetView>
  </sheetViews>
  <sheetFormatPr defaultRowHeight="14.4" x14ac:dyDescent="0.3"/>
  <cols>
    <col min="1" max="1" width="9" bestFit="1" customWidth="1"/>
    <col min="2" max="2" width="10" style="112" bestFit="1" customWidth="1"/>
    <col min="3" max="7" width="10" bestFit="1" customWidth="1"/>
    <col min="8" max="10" width="8.88671875" bestFit="1" customWidth="1"/>
    <col min="13" max="15" width="10" bestFit="1" customWidth="1"/>
    <col min="16" max="16" width="9" bestFit="1" customWidth="1"/>
    <col min="19" max="19" width="9.6640625" bestFit="1" customWidth="1"/>
    <col min="20" max="20" width="9.33203125" bestFit="1" customWidth="1"/>
    <col min="21" max="21" width="10.77734375" bestFit="1" customWidth="1"/>
    <col min="22" max="22" width="9.33203125" bestFit="1" customWidth="1"/>
    <col min="23" max="24" width="9" bestFit="1" customWidth="1"/>
  </cols>
  <sheetData>
    <row r="1" spans="1:26" x14ac:dyDescent="0.3">
      <c r="A1">
        <v>2011</v>
      </c>
    </row>
    <row r="2" spans="1:26" x14ac:dyDescent="0.3">
      <c r="A2" s="1" t="s">
        <v>0</v>
      </c>
      <c r="B2" s="248" t="s">
        <v>1</v>
      </c>
      <c r="C2" s="248"/>
      <c r="D2" s="248"/>
      <c r="E2" s="248" t="s">
        <v>2</v>
      </c>
      <c r="F2" s="248"/>
      <c r="G2" s="248"/>
      <c r="H2" s="248" t="s">
        <v>3</v>
      </c>
      <c r="I2" s="248"/>
      <c r="J2" s="248"/>
    </row>
    <row r="3" spans="1:26" x14ac:dyDescent="0.3">
      <c r="A3" s="2"/>
      <c r="B3" s="116" t="s">
        <v>4</v>
      </c>
      <c r="C3" s="2" t="s">
        <v>5</v>
      </c>
      <c r="D3" s="2" t="s">
        <v>6</v>
      </c>
      <c r="E3" s="2" t="s">
        <v>4</v>
      </c>
      <c r="F3" s="2" t="s">
        <v>5</v>
      </c>
      <c r="G3" s="2" t="s">
        <v>6</v>
      </c>
      <c r="H3" s="2" t="s">
        <v>4</v>
      </c>
      <c r="I3" s="2" t="s">
        <v>5</v>
      </c>
      <c r="J3" s="2" t="s">
        <v>6</v>
      </c>
    </row>
    <row r="4" spans="1:26" ht="15" thickBot="1" x14ac:dyDescent="0.35">
      <c r="A4" s="1">
        <v>1</v>
      </c>
      <c r="B4" s="117">
        <v>2</v>
      </c>
      <c r="C4" s="1">
        <v>3</v>
      </c>
      <c r="D4" s="1">
        <v>4</v>
      </c>
      <c r="E4" s="1">
        <v>5</v>
      </c>
      <c r="F4" s="1">
        <v>6</v>
      </c>
      <c r="G4" s="1">
        <v>7</v>
      </c>
      <c r="H4" s="1">
        <v>8</v>
      </c>
      <c r="I4" s="1">
        <v>9</v>
      </c>
      <c r="J4" s="1">
        <v>10</v>
      </c>
    </row>
    <row r="5" spans="1:26" s="112" customFormat="1" x14ac:dyDescent="0.3">
      <c r="A5" s="111" t="s">
        <v>7</v>
      </c>
      <c r="B5" s="112">
        <v>41974218</v>
      </c>
      <c r="C5" s="112">
        <v>21212136</v>
      </c>
      <c r="D5" s="112">
        <v>20762082</v>
      </c>
      <c r="E5" s="112">
        <v>34970562</v>
      </c>
      <c r="F5" s="112">
        <v>17586203</v>
      </c>
      <c r="G5" s="112">
        <v>17384359</v>
      </c>
      <c r="H5" s="112">
        <v>7003656</v>
      </c>
      <c r="I5" s="112">
        <v>3625933</v>
      </c>
      <c r="J5" s="112">
        <v>3377723</v>
      </c>
      <c r="L5" s="113"/>
      <c r="M5" s="113"/>
      <c r="N5" s="114">
        <v>2011</v>
      </c>
      <c r="O5" s="115"/>
    </row>
    <row r="6" spans="1:26" ht="15" thickBot="1" x14ac:dyDescent="0.35">
      <c r="A6" s="4">
        <v>0</v>
      </c>
      <c r="B6" s="112">
        <v>670909</v>
      </c>
      <c r="C6">
        <v>345960</v>
      </c>
      <c r="D6">
        <v>324949</v>
      </c>
      <c r="E6">
        <v>575704</v>
      </c>
      <c r="F6">
        <v>296513</v>
      </c>
      <c r="G6">
        <v>279191</v>
      </c>
      <c r="H6">
        <v>95205</v>
      </c>
      <c r="I6">
        <v>49447</v>
      </c>
      <c r="J6">
        <v>45758</v>
      </c>
      <c r="L6" s="33"/>
      <c r="M6" s="33" t="s">
        <v>4</v>
      </c>
      <c r="N6" s="34" t="s">
        <v>5</v>
      </c>
      <c r="O6" s="35" t="s">
        <v>6</v>
      </c>
    </row>
    <row r="7" spans="1:26" ht="15" thickBot="1" x14ac:dyDescent="0.35">
      <c r="A7" s="4">
        <v>1</v>
      </c>
      <c r="B7" s="112">
        <v>769827</v>
      </c>
      <c r="C7">
        <v>399084</v>
      </c>
      <c r="D7">
        <v>370743</v>
      </c>
      <c r="E7">
        <v>653406</v>
      </c>
      <c r="F7">
        <v>338153</v>
      </c>
      <c r="G7">
        <v>315253</v>
      </c>
      <c r="H7">
        <v>116421</v>
      </c>
      <c r="I7">
        <v>60931</v>
      </c>
      <c r="J7">
        <v>55490</v>
      </c>
      <c r="L7" s="33" t="s">
        <v>7</v>
      </c>
      <c r="M7" s="36">
        <v>41974218</v>
      </c>
      <c r="N7" s="37">
        <v>21212136</v>
      </c>
      <c r="O7" s="38">
        <v>20762082</v>
      </c>
      <c r="R7" s="32"/>
      <c r="S7" s="59">
        <v>2011</v>
      </c>
      <c r="T7" t="s">
        <v>81</v>
      </c>
      <c r="U7" t="s">
        <v>89</v>
      </c>
      <c r="V7" t="s">
        <v>90</v>
      </c>
      <c r="W7" t="s">
        <v>91</v>
      </c>
      <c r="X7" t="s">
        <v>92</v>
      </c>
      <c r="Y7" t="s">
        <v>97</v>
      </c>
      <c r="Z7" t="s">
        <v>96</v>
      </c>
    </row>
    <row r="8" spans="1:26" x14ac:dyDescent="0.3">
      <c r="A8" s="4">
        <v>2</v>
      </c>
      <c r="B8" s="112">
        <v>707887</v>
      </c>
      <c r="C8">
        <v>363209</v>
      </c>
      <c r="D8">
        <v>344678</v>
      </c>
      <c r="E8">
        <v>609222</v>
      </c>
      <c r="F8">
        <v>311665</v>
      </c>
      <c r="G8">
        <v>297557</v>
      </c>
      <c r="H8">
        <v>98665</v>
      </c>
      <c r="I8">
        <v>51544</v>
      </c>
      <c r="J8">
        <v>47121</v>
      </c>
      <c r="L8" s="39" t="s">
        <v>27</v>
      </c>
      <c r="M8" s="40">
        <v>3653029</v>
      </c>
      <c r="N8">
        <v>1878127</v>
      </c>
      <c r="O8" s="41">
        <v>1774902</v>
      </c>
      <c r="P8" s="80">
        <f>(M8/41974218)*100</f>
        <v>8.70303051268281</v>
      </c>
      <c r="R8" s="32" t="s">
        <v>81</v>
      </c>
      <c r="S8" s="86">
        <f>SUM(P8:P10)</f>
        <v>28.771047027010724</v>
      </c>
      <c r="T8">
        <f>SUM(M8:M10)</f>
        <v>12076422</v>
      </c>
      <c r="U8">
        <f>SUM(M21:M24)</f>
        <v>2510387</v>
      </c>
      <c r="V8">
        <f>SUM(M11:M20)</f>
        <v>27268238</v>
      </c>
      <c r="W8">
        <f>T8/V8*100</f>
        <v>44.287504018411454</v>
      </c>
      <c r="X8">
        <f>U8/V8*100</f>
        <v>9.2062677463795062</v>
      </c>
      <c r="Y8">
        <f>T8+U8</f>
        <v>14586809</v>
      </c>
      <c r="Z8">
        <f>Y8/V8*100</f>
        <v>53.493771764790964</v>
      </c>
    </row>
    <row r="9" spans="1:26" x14ac:dyDescent="0.3">
      <c r="A9" s="4">
        <v>3</v>
      </c>
      <c r="B9" s="112">
        <v>750616</v>
      </c>
      <c r="C9">
        <v>381316</v>
      </c>
      <c r="D9">
        <v>369300</v>
      </c>
      <c r="E9">
        <v>647529</v>
      </c>
      <c r="F9">
        <v>327951</v>
      </c>
      <c r="G9">
        <v>319578</v>
      </c>
      <c r="H9">
        <v>103087</v>
      </c>
      <c r="I9">
        <v>53365</v>
      </c>
      <c r="J9">
        <v>49722</v>
      </c>
      <c r="L9" s="39" t="s">
        <v>59</v>
      </c>
      <c r="M9" s="40">
        <v>4074768</v>
      </c>
      <c r="N9">
        <v>2085339</v>
      </c>
      <c r="O9" s="41">
        <v>1989429</v>
      </c>
      <c r="P9" s="80">
        <f t="shared" ref="P9:P24" si="0">(M9/41974218)*100</f>
        <v>9.7077877662902505</v>
      </c>
      <c r="R9" s="68" t="s">
        <v>14</v>
      </c>
      <c r="S9" s="86">
        <v>9.3519264611433623</v>
      </c>
    </row>
    <row r="10" spans="1:26" x14ac:dyDescent="0.3">
      <c r="A10" s="4">
        <v>4</v>
      </c>
      <c r="B10" s="112">
        <v>753790</v>
      </c>
      <c r="C10">
        <v>388558</v>
      </c>
      <c r="D10">
        <v>365232</v>
      </c>
      <c r="E10">
        <v>650308</v>
      </c>
      <c r="F10">
        <v>334284</v>
      </c>
      <c r="G10">
        <v>316024</v>
      </c>
      <c r="H10">
        <v>103482</v>
      </c>
      <c r="I10">
        <v>54274</v>
      </c>
      <c r="J10">
        <v>49208</v>
      </c>
      <c r="L10" s="39" t="s">
        <v>60</v>
      </c>
      <c r="M10" s="40">
        <v>4348625</v>
      </c>
      <c r="N10">
        <v>2203535</v>
      </c>
      <c r="O10" s="41">
        <v>2145090</v>
      </c>
      <c r="P10" s="80">
        <f t="shared" si="0"/>
        <v>10.360228748037665</v>
      </c>
      <c r="R10" s="68" t="s">
        <v>15</v>
      </c>
      <c r="S10" s="86">
        <v>9.0139308849065394</v>
      </c>
    </row>
    <row r="11" spans="1:26" x14ac:dyDescent="0.3">
      <c r="A11" s="4">
        <v>5</v>
      </c>
      <c r="B11" s="112">
        <v>828111</v>
      </c>
      <c r="C11">
        <v>429353</v>
      </c>
      <c r="D11">
        <v>398758</v>
      </c>
      <c r="E11">
        <v>711530</v>
      </c>
      <c r="F11">
        <v>368153</v>
      </c>
      <c r="G11">
        <v>343377</v>
      </c>
      <c r="H11">
        <v>116581</v>
      </c>
      <c r="I11">
        <v>61200</v>
      </c>
      <c r="J11">
        <v>55381</v>
      </c>
      <c r="L11" s="39" t="s">
        <v>14</v>
      </c>
      <c r="M11" s="40">
        <v>3925398</v>
      </c>
      <c r="N11">
        <v>1972684</v>
      </c>
      <c r="O11" s="41">
        <v>1952714</v>
      </c>
      <c r="P11" s="80">
        <f t="shared" si="0"/>
        <v>9.3519264611433623</v>
      </c>
      <c r="R11" s="68" t="s">
        <v>16</v>
      </c>
      <c r="S11" s="86">
        <v>8.5148387993791808</v>
      </c>
    </row>
    <row r="12" spans="1:26" x14ac:dyDescent="0.3">
      <c r="A12" s="4">
        <v>6</v>
      </c>
      <c r="B12" s="112">
        <v>792054</v>
      </c>
      <c r="C12">
        <v>409017</v>
      </c>
      <c r="D12">
        <v>383037</v>
      </c>
      <c r="E12">
        <v>678171</v>
      </c>
      <c r="F12">
        <v>349113</v>
      </c>
      <c r="G12">
        <v>329058</v>
      </c>
      <c r="H12">
        <v>113883</v>
      </c>
      <c r="I12">
        <v>59904</v>
      </c>
      <c r="J12">
        <v>53979</v>
      </c>
      <c r="L12" s="39" t="s">
        <v>15</v>
      </c>
      <c r="M12" s="40">
        <v>3783527</v>
      </c>
      <c r="N12">
        <v>1870939</v>
      </c>
      <c r="O12" s="41">
        <v>1912588</v>
      </c>
      <c r="P12" s="80">
        <f t="shared" si="0"/>
        <v>9.0139308849065394</v>
      </c>
      <c r="R12" s="68" t="s">
        <v>17</v>
      </c>
      <c r="S12" s="86">
        <v>7.3926118170921011</v>
      </c>
    </row>
    <row r="13" spans="1:26" x14ac:dyDescent="0.3">
      <c r="A13" s="4">
        <v>7</v>
      </c>
      <c r="B13" s="112">
        <v>828124</v>
      </c>
      <c r="C13">
        <v>419291</v>
      </c>
      <c r="D13">
        <v>408833</v>
      </c>
      <c r="E13">
        <v>707591</v>
      </c>
      <c r="F13">
        <v>356969</v>
      </c>
      <c r="G13">
        <v>350622</v>
      </c>
      <c r="H13">
        <v>120533</v>
      </c>
      <c r="I13">
        <v>62322</v>
      </c>
      <c r="J13">
        <v>58211</v>
      </c>
      <c r="L13" s="39" t="s">
        <v>16</v>
      </c>
      <c r="M13" s="40">
        <v>3574037</v>
      </c>
      <c r="N13">
        <v>1772876</v>
      </c>
      <c r="O13" s="41">
        <v>1801161</v>
      </c>
      <c r="P13" s="80">
        <f t="shared" si="0"/>
        <v>8.5148387993791808</v>
      </c>
      <c r="R13" s="68" t="s">
        <v>18</v>
      </c>
      <c r="S13" s="86">
        <v>7.2691955809635331</v>
      </c>
    </row>
    <row r="14" spans="1:26" x14ac:dyDescent="0.3">
      <c r="A14" s="4">
        <v>8</v>
      </c>
      <c r="B14" s="112">
        <v>850364</v>
      </c>
      <c r="C14">
        <v>433510</v>
      </c>
      <c r="D14">
        <v>416854</v>
      </c>
      <c r="E14">
        <v>731656</v>
      </c>
      <c r="F14">
        <v>371645</v>
      </c>
      <c r="G14">
        <v>360011</v>
      </c>
      <c r="H14">
        <v>118708</v>
      </c>
      <c r="I14">
        <v>61865</v>
      </c>
      <c r="J14">
        <v>56843</v>
      </c>
      <c r="L14" s="39" t="s">
        <v>17</v>
      </c>
      <c r="M14" s="40">
        <v>3102991</v>
      </c>
      <c r="N14">
        <v>1542233</v>
      </c>
      <c r="O14" s="41">
        <v>1560758</v>
      </c>
      <c r="P14" s="80">
        <f t="shared" si="0"/>
        <v>7.3926118170921011</v>
      </c>
      <c r="R14" s="68" t="s">
        <v>19</v>
      </c>
      <c r="S14" s="86">
        <v>6.4122076080130901</v>
      </c>
    </row>
    <row r="15" spans="1:26" x14ac:dyDescent="0.3">
      <c r="A15" s="4">
        <v>9</v>
      </c>
      <c r="B15" s="112">
        <v>776115</v>
      </c>
      <c r="C15">
        <v>394168</v>
      </c>
      <c r="D15">
        <v>381947</v>
      </c>
      <c r="E15">
        <v>665994</v>
      </c>
      <c r="F15">
        <v>336636</v>
      </c>
      <c r="G15">
        <v>329358</v>
      </c>
      <c r="H15">
        <v>110121</v>
      </c>
      <c r="I15">
        <v>57532</v>
      </c>
      <c r="J15">
        <v>52589</v>
      </c>
      <c r="L15" s="39" t="s">
        <v>18</v>
      </c>
      <c r="M15" s="40">
        <v>3051188</v>
      </c>
      <c r="N15">
        <v>1528685</v>
      </c>
      <c r="O15" s="41">
        <v>1522503</v>
      </c>
      <c r="P15" s="80">
        <f t="shared" si="0"/>
        <v>7.2691955809635331</v>
      </c>
      <c r="R15" s="68" t="s">
        <v>20</v>
      </c>
      <c r="S15" s="86">
        <v>5.5606277167569864</v>
      </c>
    </row>
    <row r="16" spans="1:26" x14ac:dyDescent="0.3">
      <c r="A16" s="4">
        <v>10</v>
      </c>
      <c r="B16" s="112">
        <v>913606</v>
      </c>
      <c r="C16">
        <v>468214</v>
      </c>
      <c r="D16">
        <v>445392</v>
      </c>
      <c r="E16">
        <v>782284</v>
      </c>
      <c r="F16">
        <v>399530</v>
      </c>
      <c r="G16">
        <v>382754</v>
      </c>
      <c r="H16">
        <v>131322</v>
      </c>
      <c r="I16">
        <v>68684</v>
      </c>
      <c r="J16">
        <v>62638</v>
      </c>
      <c r="L16" s="39" t="s">
        <v>19</v>
      </c>
      <c r="M16" s="40">
        <v>2691474</v>
      </c>
      <c r="N16">
        <v>1387920</v>
      </c>
      <c r="O16" s="41">
        <v>1303554</v>
      </c>
      <c r="P16" s="80">
        <f t="shared" si="0"/>
        <v>6.4122076080130901</v>
      </c>
      <c r="R16" s="68" t="s">
        <v>21</v>
      </c>
      <c r="S16" s="86">
        <v>4.4022547364670377</v>
      </c>
    </row>
    <row r="17" spans="1:19" x14ac:dyDescent="0.3">
      <c r="A17" s="4">
        <v>11</v>
      </c>
      <c r="B17" s="112">
        <v>839933</v>
      </c>
      <c r="C17">
        <v>428712</v>
      </c>
      <c r="D17">
        <v>411221</v>
      </c>
      <c r="E17">
        <v>715742</v>
      </c>
      <c r="F17">
        <v>364263</v>
      </c>
      <c r="G17">
        <v>351479</v>
      </c>
      <c r="H17">
        <v>124191</v>
      </c>
      <c r="I17">
        <v>64449</v>
      </c>
      <c r="J17">
        <v>59742</v>
      </c>
      <c r="L17" s="39" t="s">
        <v>20</v>
      </c>
      <c r="M17" s="40">
        <v>2334030</v>
      </c>
      <c r="N17">
        <v>1212366</v>
      </c>
      <c r="O17" s="41">
        <v>1121664</v>
      </c>
      <c r="P17" s="80">
        <f t="shared" si="0"/>
        <v>5.5606277167569864</v>
      </c>
      <c r="R17" s="68" t="s">
        <v>22</v>
      </c>
      <c r="S17" s="86">
        <v>3.5348365513325346</v>
      </c>
    </row>
    <row r="18" spans="1:19" ht="15" thickBot="1" x14ac:dyDescent="0.35">
      <c r="A18" s="4">
        <v>12</v>
      </c>
      <c r="B18" s="112">
        <v>916799</v>
      </c>
      <c r="C18">
        <v>467103</v>
      </c>
      <c r="D18">
        <v>449696</v>
      </c>
      <c r="E18">
        <v>783706</v>
      </c>
      <c r="F18">
        <v>398499</v>
      </c>
      <c r="G18">
        <v>385207</v>
      </c>
      <c r="H18">
        <v>133093</v>
      </c>
      <c r="I18">
        <v>68604</v>
      </c>
      <c r="J18">
        <v>64489</v>
      </c>
      <c r="L18" s="39" t="s">
        <v>21</v>
      </c>
      <c r="M18" s="40">
        <v>1847812</v>
      </c>
      <c r="N18">
        <v>957524</v>
      </c>
      <c r="O18" s="41">
        <v>890288</v>
      </c>
      <c r="P18" s="80">
        <f t="shared" si="0"/>
        <v>4.4022547364670377</v>
      </c>
      <c r="R18" s="83" t="s">
        <v>30</v>
      </c>
      <c r="S18" s="84">
        <f>SUM(P20:P24)</f>
        <v>9.4926080576414797</v>
      </c>
    </row>
    <row r="19" spans="1:19" x14ac:dyDescent="0.3">
      <c r="A19" s="4">
        <v>13</v>
      </c>
      <c r="B19" s="112">
        <v>839473</v>
      </c>
      <c r="C19">
        <v>420237</v>
      </c>
      <c r="D19">
        <v>419236</v>
      </c>
      <c r="E19">
        <v>713333</v>
      </c>
      <c r="F19">
        <v>356242</v>
      </c>
      <c r="G19">
        <v>357091</v>
      </c>
      <c r="H19">
        <v>126140</v>
      </c>
      <c r="I19">
        <v>63995</v>
      </c>
      <c r="J19">
        <v>62145</v>
      </c>
      <c r="L19" s="39" t="s">
        <v>22</v>
      </c>
      <c r="M19" s="40">
        <v>1483720</v>
      </c>
      <c r="N19">
        <v>744291</v>
      </c>
      <c r="O19" s="41">
        <v>739429</v>
      </c>
      <c r="P19" s="80">
        <f t="shared" si="0"/>
        <v>3.5348365513325346</v>
      </c>
    </row>
    <row r="20" spans="1:19" x14ac:dyDescent="0.3">
      <c r="A20" s="4">
        <v>14</v>
      </c>
      <c r="B20" s="112">
        <v>838814</v>
      </c>
      <c r="C20">
        <v>419269</v>
      </c>
      <c r="D20">
        <v>419545</v>
      </c>
      <c r="E20">
        <v>710331</v>
      </c>
      <c r="F20">
        <v>354009</v>
      </c>
      <c r="G20">
        <v>356322</v>
      </c>
      <c r="H20">
        <v>128483</v>
      </c>
      <c r="I20">
        <v>65260</v>
      </c>
      <c r="J20">
        <v>63223</v>
      </c>
      <c r="L20" s="39" t="s">
        <v>23</v>
      </c>
      <c r="M20" s="40">
        <v>1474061</v>
      </c>
      <c r="N20">
        <v>737635</v>
      </c>
      <c r="O20" s="41">
        <v>736426</v>
      </c>
      <c r="P20" s="80">
        <f t="shared" si="0"/>
        <v>3.5118248063608948</v>
      </c>
    </row>
    <row r="21" spans="1:19" x14ac:dyDescent="0.3">
      <c r="A21" s="4">
        <v>15</v>
      </c>
      <c r="B21" s="112">
        <v>869586</v>
      </c>
      <c r="C21">
        <v>436883</v>
      </c>
      <c r="D21">
        <v>432703</v>
      </c>
      <c r="E21">
        <v>732658</v>
      </c>
      <c r="F21">
        <v>366479</v>
      </c>
      <c r="G21">
        <v>366179</v>
      </c>
      <c r="H21">
        <v>136928</v>
      </c>
      <c r="I21">
        <v>70404</v>
      </c>
      <c r="J21">
        <v>66524</v>
      </c>
      <c r="L21" s="39" t="s">
        <v>24</v>
      </c>
      <c r="M21" s="40">
        <v>979525</v>
      </c>
      <c r="N21">
        <v>487849</v>
      </c>
      <c r="O21" s="41">
        <v>491676</v>
      </c>
      <c r="P21" s="80">
        <f t="shared" si="0"/>
        <v>2.3336348994042009</v>
      </c>
    </row>
    <row r="22" spans="1:19" x14ac:dyDescent="0.3">
      <c r="A22" s="4">
        <v>16</v>
      </c>
      <c r="B22" s="112">
        <v>775052</v>
      </c>
      <c r="C22">
        <v>388035</v>
      </c>
      <c r="D22">
        <v>387017</v>
      </c>
      <c r="E22">
        <v>644802</v>
      </c>
      <c r="F22">
        <v>320852</v>
      </c>
      <c r="G22">
        <v>323950</v>
      </c>
      <c r="H22">
        <v>130250</v>
      </c>
      <c r="I22">
        <v>67183</v>
      </c>
      <c r="J22">
        <v>63067</v>
      </c>
      <c r="L22" s="39" t="s">
        <v>61</v>
      </c>
      <c r="M22" s="40">
        <v>768070</v>
      </c>
      <c r="N22">
        <v>380635</v>
      </c>
      <c r="O22" s="41">
        <v>387435</v>
      </c>
      <c r="P22" s="80">
        <f t="shared" si="0"/>
        <v>1.8298613687097163</v>
      </c>
    </row>
    <row r="23" spans="1:19" x14ac:dyDescent="0.3">
      <c r="A23" s="4">
        <v>17</v>
      </c>
      <c r="B23" s="112">
        <v>692046</v>
      </c>
      <c r="C23">
        <v>346739</v>
      </c>
      <c r="D23">
        <v>345307</v>
      </c>
      <c r="E23">
        <v>566815</v>
      </c>
      <c r="F23">
        <v>281802</v>
      </c>
      <c r="G23">
        <v>285013</v>
      </c>
      <c r="H23">
        <v>125231</v>
      </c>
      <c r="I23">
        <v>64937</v>
      </c>
      <c r="J23">
        <v>60294</v>
      </c>
      <c r="L23" s="39" t="s">
        <v>62</v>
      </c>
      <c r="M23" s="40">
        <v>364800</v>
      </c>
      <c r="N23">
        <v>183294</v>
      </c>
      <c r="O23" s="41">
        <v>181506</v>
      </c>
      <c r="P23" s="80">
        <f t="shared" si="0"/>
        <v>0.86910493484357465</v>
      </c>
    </row>
    <row r="24" spans="1:19" ht="15" thickBot="1" x14ac:dyDescent="0.35">
      <c r="A24" s="4">
        <v>18</v>
      </c>
      <c r="B24" s="112">
        <v>906416</v>
      </c>
      <c r="C24">
        <v>460498</v>
      </c>
      <c r="D24">
        <v>445918</v>
      </c>
      <c r="E24">
        <v>746384</v>
      </c>
      <c r="F24">
        <v>375829</v>
      </c>
      <c r="G24">
        <v>370555</v>
      </c>
      <c r="H24">
        <v>160032</v>
      </c>
      <c r="I24">
        <v>84669</v>
      </c>
      <c r="J24">
        <v>75363</v>
      </c>
      <c r="L24" s="33" t="s">
        <v>63</v>
      </c>
      <c r="M24" s="36">
        <v>397992</v>
      </c>
      <c r="N24" s="37">
        <v>204857</v>
      </c>
      <c r="O24" s="38">
        <v>193135</v>
      </c>
      <c r="P24" s="80">
        <f t="shared" si="0"/>
        <v>0.94818204832309205</v>
      </c>
    </row>
    <row r="25" spans="1:19" x14ac:dyDescent="0.3">
      <c r="A25" s="4">
        <v>19</v>
      </c>
      <c r="B25" s="112">
        <v>682298</v>
      </c>
      <c r="C25">
        <v>340529</v>
      </c>
      <c r="D25">
        <v>341769</v>
      </c>
      <c r="E25">
        <v>549512</v>
      </c>
      <c r="F25">
        <v>272027</v>
      </c>
      <c r="G25">
        <v>277485</v>
      </c>
      <c r="H25">
        <v>132786</v>
      </c>
      <c r="I25">
        <v>68502</v>
      </c>
      <c r="J25">
        <v>64284</v>
      </c>
    </row>
    <row r="26" spans="1:19" ht="15" thickBot="1" x14ac:dyDescent="0.35">
      <c r="A26" s="4">
        <v>20</v>
      </c>
      <c r="B26" s="112">
        <v>978031</v>
      </c>
      <c r="C26">
        <v>470195</v>
      </c>
      <c r="D26">
        <v>507836</v>
      </c>
      <c r="E26">
        <v>807728</v>
      </c>
      <c r="F26">
        <v>385238</v>
      </c>
      <c r="G26">
        <v>422490</v>
      </c>
      <c r="H26">
        <v>170303</v>
      </c>
      <c r="I26">
        <v>84957</v>
      </c>
      <c r="J26">
        <v>85346</v>
      </c>
      <c r="L26" s="51" t="s">
        <v>0</v>
      </c>
      <c r="M26">
        <v>2011</v>
      </c>
    </row>
    <row r="27" spans="1:19" x14ac:dyDescent="0.3">
      <c r="A27" s="4">
        <v>21</v>
      </c>
      <c r="B27" s="112">
        <v>676995</v>
      </c>
      <c r="C27">
        <v>338625</v>
      </c>
      <c r="D27">
        <v>338370</v>
      </c>
      <c r="E27">
        <v>544698</v>
      </c>
      <c r="F27">
        <v>271516</v>
      </c>
      <c r="G27">
        <v>273182</v>
      </c>
      <c r="H27">
        <v>132297</v>
      </c>
      <c r="I27">
        <v>67109</v>
      </c>
      <c r="J27">
        <v>65188</v>
      </c>
      <c r="L27" s="54" t="s">
        <v>37</v>
      </c>
      <c r="M27" s="81">
        <v>1.6029345278240879</v>
      </c>
    </row>
    <row r="28" spans="1:19" x14ac:dyDescent="0.3">
      <c r="A28" s="4">
        <v>22</v>
      </c>
      <c r="B28" s="112">
        <v>801401</v>
      </c>
      <c r="C28">
        <v>403387</v>
      </c>
      <c r="D28">
        <v>398014</v>
      </c>
      <c r="E28">
        <v>653946</v>
      </c>
      <c r="F28">
        <v>328127</v>
      </c>
      <c r="G28">
        <v>325819</v>
      </c>
      <c r="H28">
        <v>147455</v>
      </c>
      <c r="I28">
        <v>75260</v>
      </c>
      <c r="J28">
        <v>72195</v>
      </c>
      <c r="L28" s="40" t="s">
        <v>68</v>
      </c>
      <c r="M28" s="86">
        <v>7.1248755257639544</v>
      </c>
    </row>
    <row r="29" spans="1:19" x14ac:dyDescent="0.3">
      <c r="A29" s="4">
        <v>23</v>
      </c>
      <c r="B29" s="112">
        <v>669413</v>
      </c>
      <c r="C29">
        <v>331531</v>
      </c>
      <c r="D29">
        <v>337882</v>
      </c>
      <c r="E29">
        <v>542659</v>
      </c>
      <c r="F29">
        <v>266780</v>
      </c>
      <c r="G29">
        <v>275879</v>
      </c>
      <c r="H29">
        <v>126754</v>
      </c>
      <c r="I29">
        <v>64751</v>
      </c>
      <c r="J29">
        <v>62003</v>
      </c>
      <c r="L29" s="57" t="s">
        <v>75</v>
      </c>
      <c r="M29" s="86">
        <v>29.503708358038637</v>
      </c>
    </row>
    <row r="30" spans="1:19" x14ac:dyDescent="0.3">
      <c r="A30" s="4">
        <v>24</v>
      </c>
      <c r="B30" s="112">
        <v>657687</v>
      </c>
      <c r="C30">
        <v>327201</v>
      </c>
      <c r="D30">
        <v>330486</v>
      </c>
      <c r="E30">
        <v>529816</v>
      </c>
      <c r="F30">
        <v>262002</v>
      </c>
      <c r="G30">
        <v>267814</v>
      </c>
      <c r="H30">
        <v>127871</v>
      </c>
      <c r="I30">
        <v>65199</v>
      </c>
      <c r="J30">
        <v>62672</v>
      </c>
      <c r="L30" s="40" t="s">
        <v>77</v>
      </c>
      <c r="M30" s="86">
        <v>52.248845879924588</v>
      </c>
    </row>
    <row r="31" spans="1:19" ht="15" thickBot="1" x14ac:dyDescent="0.35">
      <c r="A31" s="4">
        <v>25</v>
      </c>
      <c r="B31" s="112">
        <v>996710</v>
      </c>
      <c r="C31">
        <v>471972</v>
      </c>
      <c r="D31">
        <v>524738</v>
      </c>
      <c r="E31">
        <v>826671</v>
      </c>
      <c r="F31">
        <v>390377</v>
      </c>
      <c r="G31">
        <v>436294</v>
      </c>
      <c r="H31">
        <v>170039</v>
      </c>
      <c r="I31">
        <v>81595</v>
      </c>
      <c r="J31">
        <v>88444</v>
      </c>
      <c r="L31" s="36" t="s">
        <v>30</v>
      </c>
      <c r="M31" s="84">
        <v>9.5196357084487335</v>
      </c>
    </row>
    <row r="32" spans="1:19" ht="15" thickBot="1" x14ac:dyDescent="0.35">
      <c r="A32" s="4">
        <v>26</v>
      </c>
      <c r="B32" s="112">
        <v>703464</v>
      </c>
      <c r="C32">
        <v>352927</v>
      </c>
      <c r="D32">
        <v>350537</v>
      </c>
      <c r="E32">
        <v>573553</v>
      </c>
      <c r="F32">
        <v>287802</v>
      </c>
      <c r="G32">
        <v>285751</v>
      </c>
      <c r="H32">
        <v>129911</v>
      </c>
      <c r="I32">
        <v>65125</v>
      </c>
      <c r="J32">
        <v>64786</v>
      </c>
    </row>
    <row r="33" spans="1:13" x14ac:dyDescent="0.3">
      <c r="A33" s="4">
        <v>27</v>
      </c>
      <c r="B33" s="112">
        <v>610902</v>
      </c>
      <c r="C33">
        <v>310830</v>
      </c>
      <c r="D33">
        <v>300072</v>
      </c>
      <c r="E33">
        <v>494764</v>
      </c>
      <c r="F33">
        <v>252445</v>
      </c>
      <c r="G33">
        <v>242319</v>
      </c>
      <c r="H33">
        <v>116138</v>
      </c>
      <c r="I33">
        <v>58385</v>
      </c>
      <c r="J33">
        <v>57753</v>
      </c>
      <c r="L33" s="54" t="s">
        <v>37</v>
      </c>
      <c r="M33" s="55">
        <v>1.6029345278240879</v>
      </c>
    </row>
    <row r="34" spans="1:13" x14ac:dyDescent="0.3">
      <c r="A34" s="4">
        <v>28</v>
      </c>
      <c r="B34" s="112">
        <v>762125</v>
      </c>
      <c r="C34">
        <v>381733</v>
      </c>
      <c r="D34">
        <v>380392</v>
      </c>
      <c r="E34">
        <v>624349</v>
      </c>
      <c r="F34">
        <v>311982</v>
      </c>
      <c r="G34">
        <v>312367</v>
      </c>
      <c r="H34">
        <v>137776</v>
      </c>
      <c r="I34">
        <v>69751</v>
      </c>
      <c r="J34">
        <v>68025</v>
      </c>
      <c r="L34" s="40" t="s">
        <v>68</v>
      </c>
      <c r="M34" s="56">
        <v>7.1248755257639544</v>
      </c>
    </row>
    <row r="35" spans="1:13" x14ac:dyDescent="0.3">
      <c r="A35" s="4">
        <v>29</v>
      </c>
      <c r="B35" s="112">
        <v>500836</v>
      </c>
      <c r="C35">
        <v>255414</v>
      </c>
      <c r="D35">
        <v>245422</v>
      </c>
      <c r="E35">
        <v>399653</v>
      </c>
      <c r="F35">
        <v>203778</v>
      </c>
      <c r="G35">
        <v>195875</v>
      </c>
      <c r="H35">
        <v>101183</v>
      </c>
      <c r="I35">
        <v>51636</v>
      </c>
      <c r="J35">
        <v>49547</v>
      </c>
      <c r="L35" s="57" t="s">
        <v>75</v>
      </c>
      <c r="M35" s="56">
        <v>29.503708358038637</v>
      </c>
    </row>
    <row r="36" spans="1:13" x14ac:dyDescent="0.3">
      <c r="A36" s="4">
        <v>30</v>
      </c>
      <c r="B36" s="112">
        <v>1056492</v>
      </c>
      <c r="C36">
        <v>504205</v>
      </c>
      <c r="D36">
        <v>552287</v>
      </c>
      <c r="E36">
        <v>873764</v>
      </c>
      <c r="F36">
        <v>414805</v>
      </c>
      <c r="G36">
        <v>458959</v>
      </c>
      <c r="H36">
        <v>182728</v>
      </c>
      <c r="I36">
        <v>89400</v>
      </c>
      <c r="J36">
        <v>93328</v>
      </c>
      <c r="L36" s="40" t="s">
        <v>77</v>
      </c>
      <c r="M36" s="56">
        <v>52.248845879924588</v>
      </c>
    </row>
    <row r="37" spans="1:13" ht="15" thickBot="1" x14ac:dyDescent="0.35">
      <c r="A37" s="4">
        <v>31</v>
      </c>
      <c r="B37" s="112">
        <v>487817</v>
      </c>
      <c r="C37">
        <v>247063</v>
      </c>
      <c r="D37">
        <v>240754</v>
      </c>
      <c r="E37">
        <v>389955</v>
      </c>
      <c r="F37">
        <v>197045</v>
      </c>
      <c r="G37">
        <v>192910</v>
      </c>
      <c r="H37">
        <v>97862</v>
      </c>
      <c r="I37">
        <v>50018</v>
      </c>
      <c r="J37">
        <v>47844</v>
      </c>
      <c r="L37" s="36" t="s">
        <v>30</v>
      </c>
      <c r="M37" s="58">
        <v>9.5196357084487335</v>
      </c>
    </row>
    <row r="38" spans="1:13" ht="15" thickBot="1" x14ac:dyDescent="0.35">
      <c r="A38" s="4">
        <v>32</v>
      </c>
      <c r="B38" s="112">
        <v>605079</v>
      </c>
      <c r="C38">
        <v>302942</v>
      </c>
      <c r="D38">
        <v>302137</v>
      </c>
      <c r="E38">
        <v>490100</v>
      </c>
      <c r="F38">
        <v>244089</v>
      </c>
      <c r="G38">
        <v>246011</v>
      </c>
      <c r="H38">
        <v>114979</v>
      </c>
      <c r="I38">
        <v>58853</v>
      </c>
      <c r="J38">
        <v>56126</v>
      </c>
    </row>
    <row r="39" spans="1:13" x14ac:dyDescent="0.3">
      <c r="A39" s="4">
        <v>33</v>
      </c>
      <c r="B39" s="112">
        <v>457133</v>
      </c>
      <c r="C39">
        <v>231376</v>
      </c>
      <c r="D39">
        <v>225757</v>
      </c>
      <c r="E39">
        <v>368742</v>
      </c>
      <c r="F39">
        <v>185872</v>
      </c>
      <c r="G39">
        <v>182870</v>
      </c>
      <c r="H39">
        <v>88391</v>
      </c>
      <c r="I39">
        <v>45504</v>
      </c>
      <c r="J39">
        <v>42887</v>
      </c>
      <c r="L39" s="32" t="s">
        <v>27</v>
      </c>
      <c r="M39" s="55">
        <v>8.70303051268281</v>
      </c>
    </row>
    <row r="40" spans="1:13" x14ac:dyDescent="0.3">
      <c r="A40" s="4">
        <v>34</v>
      </c>
      <c r="B40" s="112">
        <v>496470</v>
      </c>
      <c r="C40">
        <v>256647</v>
      </c>
      <c r="D40">
        <v>239823</v>
      </c>
      <c r="E40">
        <v>397628</v>
      </c>
      <c r="F40">
        <v>205392</v>
      </c>
      <c r="G40">
        <v>192236</v>
      </c>
      <c r="H40">
        <v>98842</v>
      </c>
      <c r="I40">
        <v>51255</v>
      </c>
      <c r="J40">
        <v>47587</v>
      </c>
      <c r="L40" s="40" t="s">
        <v>69</v>
      </c>
      <c r="M40" s="56">
        <v>20.068016514327912</v>
      </c>
    </row>
    <row r="41" spans="1:13" x14ac:dyDescent="0.3">
      <c r="A41" s="4">
        <v>35</v>
      </c>
      <c r="B41" s="112">
        <v>1023976</v>
      </c>
      <c r="C41">
        <v>502684</v>
      </c>
      <c r="D41">
        <v>521292</v>
      </c>
      <c r="E41">
        <v>844756</v>
      </c>
      <c r="F41">
        <v>414515</v>
      </c>
      <c r="G41">
        <v>430241</v>
      </c>
      <c r="H41">
        <v>179220</v>
      </c>
      <c r="I41">
        <v>88169</v>
      </c>
      <c r="J41">
        <v>91051</v>
      </c>
      <c r="L41" s="40" t="s">
        <v>80</v>
      </c>
      <c r="M41" s="56">
        <v>61.452430156054362</v>
      </c>
    </row>
    <row r="42" spans="1:13" ht="15" thickBot="1" x14ac:dyDescent="0.35">
      <c r="A42" s="4">
        <v>36</v>
      </c>
      <c r="B42" s="112">
        <v>583520</v>
      </c>
      <c r="C42">
        <v>294474</v>
      </c>
      <c r="D42">
        <v>289046</v>
      </c>
      <c r="E42">
        <v>479010</v>
      </c>
      <c r="F42">
        <v>241442</v>
      </c>
      <c r="G42">
        <v>237568</v>
      </c>
      <c r="H42">
        <v>104510</v>
      </c>
      <c r="I42">
        <v>53032</v>
      </c>
      <c r="J42">
        <v>51478</v>
      </c>
      <c r="L42" s="36" t="s">
        <v>30</v>
      </c>
      <c r="M42" s="58">
        <v>9.492608057641478</v>
      </c>
    </row>
    <row r="43" spans="1:13" x14ac:dyDescent="0.3">
      <c r="A43" s="4">
        <v>37</v>
      </c>
      <c r="B43" s="112">
        <v>425817</v>
      </c>
      <c r="C43">
        <v>216369</v>
      </c>
      <c r="D43">
        <v>209448</v>
      </c>
      <c r="E43">
        <v>340434</v>
      </c>
      <c r="F43">
        <v>172609</v>
      </c>
      <c r="G43">
        <v>167825</v>
      </c>
      <c r="H43">
        <v>85383</v>
      </c>
      <c r="I43">
        <v>43760</v>
      </c>
      <c r="J43">
        <v>41623</v>
      </c>
    </row>
    <row r="44" spans="1:13" x14ac:dyDescent="0.3">
      <c r="A44" s="4">
        <v>38</v>
      </c>
      <c r="B44" s="112">
        <v>601446</v>
      </c>
      <c r="C44">
        <v>298289</v>
      </c>
      <c r="D44">
        <v>303157</v>
      </c>
      <c r="E44">
        <v>491751</v>
      </c>
      <c r="F44">
        <v>242310</v>
      </c>
      <c r="G44">
        <v>249441</v>
      </c>
      <c r="H44">
        <v>109695</v>
      </c>
      <c r="I44">
        <v>55979</v>
      </c>
      <c r="J44">
        <v>53716</v>
      </c>
    </row>
    <row r="45" spans="1:13" x14ac:dyDescent="0.3">
      <c r="A45" s="4">
        <v>39</v>
      </c>
      <c r="B45" s="112">
        <v>416429</v>
      </c>
      <c r="C45">
        <v>216869</v>
      </c>
      <c r="D45">
        <v>199560</v>
      </c>
      <c r="E45">
        <v>331440</v>
      </c>
      <c r="F45">
        <v>171716</v>
      </c>
      <c r="G45">
        <v>159724</v>
      </c>
      <c r="H45">
        <v>84989</v>
      </c>
      <c r="I45">
        <v>45153</v>
      </c>
      <c r="J45">
        <v>39836</v>
      </c>
    </row>
    <row r="46" spans="1:13" x14ac:dyDescent="0.3">
      <c r="A46" s="4">
        <v>40</v>
      </c>
      <c r="B46" s="112">
        <v>1018408</v>
      </c>
      <c r="C46">
        <v>505346</v>
      </c>
      <c r="D46">
        <v>513062</v>
      </c>
      <c r="E46">
        <v>847321</v>
      </c>
      <c r="F46">
        <v>418295</v>
      </c>
      <c r="G46">
        <v>429026</v>
      </c>
      <c r="H46">
        <v>171087</v>
      </c>
      <c r="I46">
        <v>87051</v>
      </c>
      <c r="J46">
        <v>84036</v>
      </c>
    </row>
    <row r="47" spans="1:13" x14ac:dyDescent="0.3">
      <c r="A47" s="4">
        <v>41</v>
      </c>
      <c r="B47" s="112">
        <v>457342</v>
      </c>
      <c r="C47">
        <v>242420</v>
      </c>
      <c r="D47">
        <v>214922</v>
      </c>
      <c r="E47">
        <v>371358</v>
      </c>
      <c r="F47">
        <v>196223</v>
      </c>
      <c r="G47">
        <v>175135</v>
      </c>
      <c r="H47">
        <v>85984</v>
      </c>
      <c r="I47">
        <v>46197</v>
      </c>
      <c r="J47">
        <v>39787</v>
      </c>
    </row>
    <row r="48" spans="1:13" x14ac:dyDescent="0.3">
      <c r="A48" s="4">
        <v>42</v>
      </c>
      <c r="B48" s="112">
        <v>505738</v>
      </c>
      <c r="C48">
        <v>268307</v>
      </c>
      <c r="D48">
        <v>237431</v>
      </c>
      <c r="E48">
        <v>410743</v>
      </c>
      <c r="F48">
        <v>216755</v>
      </c>
      <c r="G48">
        <v>193988</v>
      </c>
      <c r="H48">
        <v>94995</v>
      </c>
      <c r="I48">
        <v>51552</v>
      </c>
      <c r="J48">
        <v>43443</v>
      </c>
    </row>
    <row r="49" spans="1:10" x14ac:dyDescent="0.3">
      <c r="A49" s="4">
        <v>43</v>
      </c>
      <c r="B49" s="112">
        <v>347450</v>
      </c>
      <c r="C49">
        <v>181339</v>
      </c>
      <c r="D49">
        <v>166111</v>
      </c>
      <c r="E49">
        <v>277713</v>
      </c>
      <c r="F49">
        <v>144041</v>
      </c>
      <c r="G49">
        <v>133672</v>
      </c>
      <c r="H49">
        <v>69737</v>
      </c>
      <c r="I49">
        <v>37298</v>
      </c>
      <c r="J49">
        <v>32439</v>
      </c>
    </row>
    <row r="50" spans="1:10" x14ac:dyDescent="0.3">
      <c r="A50" s="4">
        <v>44</v>
      </c>
      <c r="B50" s="112">
        <v>362536</v>
      </c>
      <c r="C50">
        <v>190508</v>
      </c>
      <c r="D50">
        <v>172028</v>
      </c>
      <c r="E50">
        <v>289178</v>
      </c>
      <c r="F50">
        <v>151070</v>
      </c>
      <c r="G50">
        <v>138108</v>
      </c>
      <c r="H50">
        <v>73358</v>
      </c>
      <c r="I50">
        <v>39438</v>
      </c>
      <c r="J50">
        <v>33920</v>
      </c>
    </row>
    <row r="51" spans="1:10" x14ac:dyDescent="0.3">
      <c r="A51" s="4">
        <v>45</v>
      </c>
      <c r="B51" s="112">
        <v>866482</v>
      </c>
      <c r="C51">
        <v>437220</v>
      </c>
      <c r="D51">
        <v>429262</v>
      </c>
      <c r="E51">
        <v>719471</v>
      </c>
      <c r="F51">
        <v>361769</v>
      </c>
      <c r="G51">
        <v>357702</v>
      </c>
      <c r="H51">
        <v>147011</v>
      </c>
      <c r="I51">
        <v>75451</v>
      </c>
      <c r="J51">
        <v>71560</v>
      </c>
    </row>
    <row r="52" spans="1:10" x14ac:dyDescent="0.3">
      <c r="A52" s="4">
        <v>46</v>
      </c>
      <c r="B52" s="112">
        <v>443599</v>
      </c>
      <c r="C52">
        <v>233358</v>
      </c>
      <c r="D52">
        <v>210241</v>
      </c>
      <c r="E52">
        <v>363332</v>
      </c>
      <c r="F52">
        <v>190363</v>
      </c>
      <c r="G52">
        <v>172969</v>
      </c>
      <c r="H52">
        <v>80267</v>
      </c>
      <c r="I52">
        <v>42995</v>
      </c>
      <c r="J52">
        <v>37272</v>
      </c>
    </row>
    <row r="53" spans="1:10" x14ac:dyDescent="0.3">
      <c r="A53" s="4">
        <v>47</v>
      </c>
      <c r="B53" s="112">
        <v>310696</v>
      </c>
      <c r="C53">
        <v>164935</v>
      </c>
      <c r="D53">
        <v>145761</v>
      </c>
      <c r="E53">
        <v>247684</v>
      </c>
      <c r="F53">
        <v>130263</v>
      </c>
      <c r="G53">
        <v>117421</v>
      </c>
      <c r="H53">
        <v>63012</v>
      </c>
      <c r="I53">
        <v>34672</v>
      </c>
      <c r="J53">
        <v>28340</v>
      </c>
    </row>
    <row r="54" spans="1:10" x14ac:dyDescent="0.3">
      <c r="A54" s="4">
        <v>48</v>
      </c>
      <c r="B54" s="112">
        <v>430826</v>
      </c>
      <c r="C54">
        <v>225442</v>
      </c>
      <c r="D54">
        <v>205384</v>
      </c>
      <c r="E54">
        <v>351120</v>
      </c>
      <c r="F54">
        <v>181866</v>
      </c>
      <c r="G54">
        <v>169254</v>
      </c>
      <c r="H54">
        <v>79706</v>
      </c>
      <c r="I54">
        <v>43576</v>
      </c>
      <c r="J54">
        <v>36130</v>
      </c>
    </row>
    <row r="55" spans="1:10" x14ac:dyDescent="0.3">
      <c r="A55" s="4">
        <v>49</v>
      </c>
      <c r="B55" s="112">
        <v>282427</v>
      </c>
      <c r="C55">
        <v>151411</v>
      </c>
      <c r="D55">
        <v>131016</v>
      </c>
      <c r="E55">
        <v>223992</v>
      </c>
      <c r="F55">
        <v>118476</v>
      </c>
      <c r="G55">
        <v>105516</v>
      </c>
      <c r="H55">
        <v>58435</v>
      </c>
      <c r="I55">
        <v>32935</v>
      </c>
      <c r="J55">
        <v>25500</v>
      </c>
    </row>
    <row r="56" spans="1:10" x14ac:dyDescent="0.3">
      <c r="A56" s="4">
        <v>50</v>
      </c>
      <c r="B56" s="112">
        <v>784920</v>
      </c>
      <c r="C56">
        <v>388647</v>
      </c>
      <c r="D56">
        <v>396273</v>
      </c>
      <c r="E56">
        <v>656535</v>
      </c>
      <c r="F56">
        <v>323596</v>
      </c>
      <c r="G56">
        <v>332939</v>
      </c>
      <c r="H56">
        <v>128385</v>
      </c>
      <c r="I56">
        <v>65051</v>
      </c>
      <c r="J56">
        <v>63334</v>
      </c>
    </row>
    <row r="57" spans="1:10" x14ac:dyDescent="0.3">
      <c r="A57" s="4">
        <v>51</v>
      </c>
      <c r="B57" s="112">
        <v>320576</v>
      </c>
      <c r="C57">
        <v>173338</v>
      </c>
      <c r="D57">
        <v>147238</v>
      </c>
      <c r="E57">
        <v>262447</v>
      </c>
      <c r="F57">
        <v>140294</v>
      </c>
      <c r="G57">
        <v>122153</v>
      </c>
      <c r="H57">
        <v>58129</v>
      </c>
      <c r="I57">
        <v>33044</v>
      </c>
      <c r="J57">
        <v>25085</v>
      </c>
    </row>
    <row r="58" spans="1:10" x14ac:dyDescent="0.3">
      <c r="A58" s="4">
        <v>52</v>
      </c>
      <c r="B58" s="112">
        <v>307743</v>
      </c>
      <c r="C58">
        <v>166334</v>
      </c>
      <c r="D58">
        <v>141409</v>
      </c>
      <c r="E58">
        <v>250453</v>
      </c>
      <c r="F58">
        <v>133846</v>
      </c>
      <c r="G58">
        <v>116607</v>
      </c>
      <c r="H58">
        <v>57290</v>
      </c>
      <c r="I58">
        <v>32488</v>
      </c>
      <c r="J58">
        <v>24802</v>
      </c>
    </row>
    <row r="59" spans="1:10" x14ac:dyDescent="0.3">
      <c r="A59" s="4">
        <v>53</v>
      </c>
      <c r="B59" s="112">
        <v>204224</v>
      </c>
      <c r="C59">
        <v>109710</v>
      </c>
      <c r="D59">
        <v>94514</v>
      </c>
      <c r="E59">
        <v>162602</v>
      </c>
      <c r="F59">
        <v>85332</v>
      </c>
      <c r="G59">
        <v>77270</v>
      </c>
      <c r="H59">
        <v>41622</v>
      </c>
      <c r="I59">
        <v>24378</v>
      </c>
      <c r="J59">
        <v>17244</v>
      </c>
    </row>
    <row r="60" spans="1:10" x14ac:dyDescent="0.3">
      <c r="A60" s="4">
        <v>54</v>
      </c>
      <c r="B60" s="112">
        <v>230349</v>
      </c>
      <c r="C60">
        <v>119495</v>
      </c>
      <c r="D60">
        <v>110854</v>
      </c>
      <c r="E60">
        <v>184025</v>
      </c>
      <c r="F60">
        <v>93461</v>
      </c>
      <c r="G60">
        <v>90564</v>
      </c>
      <c r="H60">
        <v>46324</v>
      </c>
      <c r="I60">
        <v>26034</v>
      </c>
      <c r="J60">
        <v>20290</v>
      </c>
    </row>
    <row r="61" spans="1:10" x14ac:dyDescent="0.3">
      <c r="A61" s="4">
        <v>55</v>
      </c>
      <c r="B61" s="112">
        <v>585492</v>
      </c>
      <c r="C61">
        <v>277931</v>
      </c>
      <c r="D61">
        <v>307561</v>
      </c>
      <c r="E61">
        <v>494312</v>
      </c>
      <c r="F61">
        <v>231736</v>
      </c>
      <c r="G61">
        <v>262576</v>
      </c>
      <c r="H61">
        <v>91180</v>
      </c>
      <c r="I61">
        <v>46195</v>
      </c>
      <c r="J61">
        <v>44985</v>
      </c>
    </row>
    <row r="62" spans="1:10" x14ac:dyDescent="0.3">
      <c r="A62" s="4">
        <v>56</v>
      </c>
      <c r="B62" s="112">
        <v>290454</v>
      </c>
      <c r="C62">
        <v>151823</v>
      </c>
      <c r="D62">
        <v>138631</v>
      </c>
      <c r="E62">
        <v>241982</v>
      </c>
      <c r="F62">
        <v>123881</v>
      </c>
      <c r="G62">
        <v>118101</v>
      </c>
      <c r="H62">
        <v>48472</v>
      </c>
      <c r="I62">
        <v>27942</v>
      </c>
      <c r="J62">
        <v>20530</v>
      </c>
    </row>
    <row r="63" spans="1:10" x14ac:dyDescent="0.3">
      <c r="A63" s="4">
        <v>57</v>
      </c>
      <c r="B63" s="112">
        <v>182426</v>
      </c>
      <c r="C63">
        <v>96710</v>
      </c>
      <c r="D63">
        <v>85716</v>
      </c>
      <c r="E63">
        <v>147809</v>
      </c>
      <c r="F63">
        <v>76101</v>
      </c>
      <c r="G63">
        <v>71708</v>
      </c>
      <c r="H63">
        <v>34617</v>
      </c>
      <c r="I63">
        <v>20609</v>
      </c>
      <c r="J63">
        <v>14008</v>
      </c>
    </row>
    <row r="64" spans="1:10" x14ac:dyDescent="0.3">
      <c r="A64" s="4">
        <v>58</v>
      </c>
      <c r="B64" s="112">
        <v>244495</v>
      </c>
      <c r="C64">
        <v>123835</v>
      </c>
      <c r="D64">
        <v>120660</v>
      </c>
      <c r="E64">
        <v>203544</v>
      </c>
      <c r="F64">
        <v>100443</v>
      </c>
      <c r="G64">
        <v>103101</v>
      </c>
      <c r="H64">
        <v>40951</v>
      </c>
      <c r="I64">
        <v>23392</v>
      </c>
      <c r="J64">
        <v>17559</v>
      </c>
    </row>
    <row r="65" spans="1:10" x14ac:dyDescent="0.3">
      <c r="A65" s="4">
        <v>59</v>
      </c>
      <c r="B65" s="112">
        <v>180853</v>
      </c>
      <c r="C65">
        <v>93992</v>
      </c>
      <c r="D65">
        <v>86861</v>
      </c>
      <c r="E65">
        <v>147983</v>
      </c>
      <c r="F65">
        <v>75250</v>
      </c>
      <c r="G65">
        <v>72733</v>
      </c>
      <c r="H65">
        <v>32870</v>
      </c>
      <c r="I65">
        <v>18742</v>
      </c>
      <c r="J65">
        <v>14128</v>
      </c>
    </row>
    <row r="66" spans="1:10" x14ac:dyDescent="0.3">
      <c r="A66" s="4">
        <v>60</v>
      </c>
      <c r="B66" s="112">
        <v>668928</v>
      </c>
      <c r="C66">
        <v>314904</v>
      </c>
      <c r="D66">
        <v>354024</v>
      </c>
      <c r="E66">
        <v>579147</v>
      </c>
      <c r="F66">
        <v>272098</v>
      </c>
      <c r="G66">
        <v>307049</v>
      </c>
      <c r="H66">
        <v>89781</v>
      </c>
      <c r="I66">
        <v>42806</v>
      </c>
      <c r="J66">
        <v>46975</v>
      </c>
    </row>
    <row r="67" spans="1:10" x14ac:dyDescent="0.3">
      <c r="A67" s="4">
        <v>61</v>
      </c>
      <c r="B67" s="112">
        <v>259961</v>
      </c>
      <c r="C67">
        <v>133010</v>
      </c>
      <c r="D67">
        <v>126951</v>
      </c>
      <c r="E67">
        <v>225087</v>
      </c>
      <c r="F67">
        <v>114198</v>
      </c>
      <c r="G67">
        <v>110889</v>
      </c>
      <c r="H67">
        <v>34874</v>
      </c>
      <c r="I67">
        <v>18812</v>
      </c>
      <c r="J67">
        <v>16062</v>
      </c>
    </row>
    <row r="68" spans="1:10" x14ac:dyDescent="0.3">
      <c r="A68" s="4">
        <v>62</v>
      </c>
      <c r="B68" s="112">
        <v>250283</v>
      </c>
      <c r="C68">
        <v>132177</v>
      </c>
      <c r="D68">
        <v>118106</v>
      </c>
      <c r="E68">
        <v>216761</v>
      </c>
      <c r="F68">
        <v>113588</v>
      </c>
      <c r="G68">
        <v>103173</v>
      </c>
      <c r="H68">
        <v>33522</v>
      </c>
      <c r="I68">
        <v>18589</v>
      </c>
      <c r="J68">
        <v>14933</v>
      </c>
    </row>
    <row r="69" spans="1:10" x14ac:dyDescent="0.3">
      <c r="A69" s="4">
        <v>63</v>
      </c>
      <c r="B69" s="112">
        <v>145395</v>
      </c>
      <c r="C69">
        <v>79149</v>
      </c>
      <c r="D69">
        <v>66246</v>
      </c>
      <c r="E69">
        <v>122150</v>
      </c>
      <c r="F69">
        <v>65439</v>
      </c>
      <c r="G69">
        <v>56711</v>
      </c>
      <c r="H69">
        <v>23245</v>
      </c>
      <c r="I69">
        <v>13710</v>
      </c>
      <c r="J69">
        <v>9535</v>
      </c>
    </row>
    <row r="70" spans="1:10" x14ac:dyDescent="0.3">
      <c r="A70" s="4">
        <v>64</v>
      </c>
      <c r="B70" s="112">
        <v>149494</v>
      </c>
      <c r="C70">
        <v>78395</v>
      </c>
      <c r="D70">
        <v>71099</v>
      </c>
      <c r="E70">
        <v>126299</v>
      </c>
      <c r="F70">
        <v>65369</v>
      </c>
      <c r="G70">
        <v>60930</v>
      </c>
      <c r="H70">
        <v>23195</v>
      </c>
      <c r="I70">
        <v>13026</v>
      </c>
      <c r="J70">
        <v>10169</v>
      </c>
    </row>
    <row r="71" spans="1:10" x14ac:dyDescent="0.3">
      <c r="A71" s="4">
        <v>65</v>
      </c>
      <c r="B71" s="112">
        <v>471553</v>
      </c>
      <c r="C71">
        <v>222967</v>
      </c>
      <c r="D71">
        <v>248586</v>
      </c>
      <c r="E71">
        <v>415207</v>
      </c>
      <c r="F71">
        <v>196368</v>
      </c>
      <c r="G71">
        <v>218839</v>
      </c>
      <c r="H71">
        <v>56346</v>
      </c>
      <c r="I71">
        <v>26599</v>
      </c>
      <c r="J71">
        <v>29747</v>
      </c>
    </row>
    <row r="72" spans="1:10" x14ac:dyDescent="0.3">
      <c r="A72" s="4">
        <v>66</v>
      </c>
      <c r="B72" s="112">
        <v>180654</v>
      </c>
      <c r="C72">
        <v>92898</v>
      </c>
      <c r="D72">
        <v>87756</v>
      </c>
      <c r="E72">
        <v>158121</v>
      </c>
      <c r="F72">
        <v>80815</v>
      </c>
      <c r="G72">
        <v>77306</v>
      </c>
      <c r="H72">
        <v>22533</v>
      </c>
      <c r="I72">
        <v>12083</v>
      </c>
      <c r="J72">
        <v>10450</v>
      </c>
    </row>
    <row r="73" spans="1:10" x14ac:dyDescent="0.3">
      <c r="A73" s="4">
        <v>67</v>
      </c>
      <c r="B73" s="112">
        <v>100529</v>
      </c>
      <c r="C73">
        <v>54942</v>
      </c>
      <c r="D73">
        <v>45587</v>
      </c>
      <c r="E73">
        <v>85494</v>
      </c>
      <c r="F73">
        <v>46062</v>
      </c>
      <c r="G73">
        <v>39432</v>
      </c>
      <c r="H73">
        <v>15035</v>
      </c>
      <c r="I73">
        <v>8880</v>
      </c>
      <c r="J73">
        <v>6155</v>
      </c>
    </row>
    <row r="74" spans="1:10" x14ac:dyDescent="0.3">
      <c r="A74" s="4">
        <v>68</v>
      </c>
      <c r="B74" s="112">
        <v>127510</v>
      </c>
      <c r="C74">
        <v>66099</v>
      </c>
      <c r="D74">
        <v>61411</v>
      </c>
      <c r="E74">
        <v>109162</v>
      </c>
      <c r="F74">
        <v>55693</v>
      </c>
      <c r="G74">
        <v>53469</v>
      </c>
      <c r="H74">
        <v>18348</v>
      </c>
      <c r="I74">
        <v>10406</v>
      </c>
      <c r="J74">
        <v>7942</v>
      </c>
    </row>
    <row r="75" spans="1:10" x14ac:dyDescent="0.3">
      <c r="A75" s="4">
        <v>69</v>
      </c>
      <c r="B75" s="112">
        <v>99279</v>
      </c>
      <c r="C75">
        <v>50943</v>
      </c>
      <c r="D75">
        <v>48336</v>
      </c>
      <c r="E75">
        <v>83686</v>
      </c>
      <c r="F75">
        <v>42341</v>
      </c>
      <c r="G75">
        <v>41345</v>
      </c>
      <c r="H75">
        <v>15593</v>
      </c>
      <c r="I75">
        <v>8602</v>
      </c>
      <c r="J75">
        <v>6991</v>
      </c>
    </row>
    <row r="76" spans="1:10" x14ac:dyDescent="0.3">
      <c r="A76" s="4">
        <v>70</v>
      </c>
      <c r="B76" s="112">
        <v>425210</v>
      </c>
      <c r="C76">
        <v>200417</v>
      </c>
      <c r="D76">
        <v>224793</v>
      </c>
      <c r="E76">
        <v>373162</v>
      </c>
      <c r="F76">
        <v>176361</v>
      </c>
      <c r="G76">
        <v>196801</v>
      </c>
      <c r="H76">
        <v>52048</v>
      </c>
      <c r="I76">
        <v>24056</v>
      </c>
      <c r="J76">
        <v>27992</v>
      </c>
    </row>
    <row r="77" spans="1:10" x14ac:dyDescent="0.3">
      <c r="A77" s="4">
        <v>71</v>
      </c>
      <c r="B77" s="112">
        <v>129231</v>
      </c>
      <c r="C77">
        <v>64878</v>
      </c>
      <c r="D77">
        <v>64353</v>
      </c>
      <c r="E77">
        <v>112549</v>
      </c>
      <c r="F77">
        <v>56082</v>
      </c>
      <c r="G77">
        <v>56467</v>
      </c>
      <c r="H77">
        <v>16682</v>
      </c>
      <c r="I77">
        <v>8796</v>
      </c>
      <c r="J77">
        <v>7886</v>
      </c>
    </row>
    <row r="78" spans="1:10" x14ac:dyDescent="0.3">
      <c r="A78" s="4">
        <v>72</v>
      </c>
      <c r="B78" s="112">
        <v>102291</v>
      </c>
      <c r="C78">
        <v>54730</v>
      </c>
      <c r="D78">
        <v>47561</v>
      </c>
      <c r="E78">
        <v>87947</v>
      </c>
      <c r="F78">
        <v>46866</v>
      </c>
      <c r="G78">
        <v>41081</v>
      </c>
      <c r="H78">
        <v>14344</v>
      </c>
      <c r="I78">
        <v>7864</v>
      </c>
      <c r="J78">
        <v>6480</v>
      </c>
    </row>
    <row r="79" spans="1:10" x14ac:dyDescent="0.3">
      <c r="A79" s="4">
        <v>73</v>
      </c>
      <c r="B79" s="112">
        <v>53272</v>
      </c>
      <c r="C79">
        <v>29753</v>
      </c>
      <c r="D79">
        <v>23519</v>
      </c>
      <c r="E79">
        <v>44583</v>
      </c>
      <c r="F79">
        <v>24525</v>
      </c>
      <c r="G79">
        <v>20058</v>
      </c>
      <c r="H79">
        <v>8689</v>
      </c>
      <c r="I79">
        <v>5228</v>
      </c>
      <c r="J79">
        <v>3461</v>
      </c>
    </row>
    <row r="80" spans="1:10" x14ac:dyDescent="0.3">
      <c r="A80" s="4">
        <v>74</v>
      </c>
      <c r="B80" s="112">
        <v>58066</v>
      </c>
      <c r="C80">
        <v>30857</v>
      </c>
      <c r="D80">
        <v>27209</v>
      </c>
      <c r="E80">
        <v>48278</v>
      </c>
      <c r="F80">
        <v>25431</v>
      </c>
      <c r="G80">
        <v>22847</v>
      </c>
      <c r="H80">
        <v>9788</v>
      </c>
      <c r="I80">
        <v>5426</v>
      </c>
      <c r="J80">
        <v>4362</v>
      </c>
    </row>
    <row r="81" spans="1:10" x14ac:dyDescent="0.3">
      <c r="A81" s="4">
        <v>75</v>
      </c>
      <c r="B81" s="112">
        <v>184523</v>
      </c>
      <c r="C81">
        <v>87822</v>
      </c>
      <c r="D81">
        <v>96701</v>
      </c>
      <c r="E81">
        <v>160600</v>
      </c>
      <c r="F81">
        <v>76780</v>
      </c>
      <c r="G81">
        <v>83820</v>
      </c>
      <c r="H81">
        <v>23923</v>
      </c>
      <c r="I81">
        <v>11042</v>
      </c>
      <c r="J81">
        <v>12881</v>
      </c>
    </row>
    <row r="82" spans="1:10" x14ac:dyDescent="0.3">
      <c r="A82" s="4">
        <v>76</v>
      </c>
      <c r="B82" s="112">
        <v>70813</v>
      </c>
      <c r="C82">
        <v>36424</v>
      </c>
      <c r="D82">
        <v>34389</v>
      </c>
      <c r="E82">
        <v>61276</v>
      </c>
      <c r="F82">
        <v>31389</v>
      </c>
      <c r="G82">
        <v>29887</v>
      </c>
      <c r="H82">
        <v>9537</v>
      </c>
      <c r="I82">
        <v>5035</v>
      </c>
      <c r="J82">
        <v>4502</v>
      </c>
    </row>
    <row r="83" spans="1:10" x14ac:dyDescent="0.3">
      <c r="A83" s="4">
        <v>77</v>
      </c>
      <c r="B83" s="112">
        <v>35533</v>
      </c>
      <c r="C83">
        <v>19652</v>
      </c>
      <c r="D83">
        <v>15881</v>
      </c>
      <c r="E83">
        <v>29953</v>
      </c>
      <c r="F83">
        <v>16351</v>
      </c>
      <c r="G83">
        <v>13602</v>
      </c>
      <c r="H83">
        <v>5580</v>
      </c>
      <c r="I83">
        <v>3301</v>
      </c>
      <c r="J83">
        <v>2279</v>
      </c>
    </row>
    <row r="84" spans="1:10" x14ac:dyDescent="0.3">
      <c r="A84" s="4">
        <v>78</v>
      </c>
      <c r="B84" s="112">
        <v>41127</v>
      </c>
      <c r="C84">
        <v>22078</v>
      </c>
      <c r="D84">
        <v>19049</v>
      </c>
      <c r="E84">
        <v>34778</v>
      </c>
      <c r="F84">
        <v>18571</v>
      </c>
      <c r="G84">
        <v>16207</v>
      </c>
      <c r="H84">
        <v>6349</v>
      </c>
      <c r="I84">
        <v>3507</v>
      </c>
      <c r="J84">
        <v>2842</v>
      </c>
    </row>
    <row r="85" spans="1:10" x14ac:dyDescent="0.3">
      <c r="A85" s="4">
        <v>79</v>
      </c>
      <c r="B85" s="112">
        <v>32804</v>
      </c>
      <c r="C85">
        <v>17318</v>
      </c>
      <c r="D85">
        <v>15486</v>
      </c>
      <c r="E85">
        <v>27470</v>
      </c>
      <c r="F85">
        <v>14461</v>
      </c>
      <c r="G85">
        <v>13009</v>
      </c>
      <c r="H85">
        <v>5334</v>
      </c>
      <c r="I85">
        <v>2857</v>
      </c>
      <c r="J85">
        <v>2477</v>
      </c>
    </row>
    <row r="86" spans="1:10" x14ac:dyDescent="0.3">
      <c r="A86" s="4">
        <v>80</v>
      </c>
      <c r="B86" s="112">
        <v>141427</v>
      </c>
      <c r="C86">
        <v>69255</v>
      </c>
      <c r="D86">
        <v>72172</v>
      </c>
      <c r="E86">
        <v>122907</v>
      </c>
      <c r="F86">
        <v>60944</v>
      </c>
      <c r="G86">
        <v>61963</v>
      </c>
      <c r="H86">
        <v>18520</v>
      </c>
      <c r="I86">
        <v>8311</v>
      </c>
      <c r="J86">
        <v>10209</v>
      </c>
    </row>
    <row r="87" spans="1:10" x14ac:dyDescent="0.3">
      <c r="A87" s="4">
        <v>81</v>
      </c>
      <c r="B87" s="112">
        <v>41267</v>
      </c>
      <c r="C87">
        <v>21294</v>
      </c>
      <c r="D87">
        <v>19973</v>
      </c>
      <c r="E87">
        <v>35671</v>
      </c>
      <c r="F87">
        <v>18363</v>
      </c>
      <c r="G87">
        <v>17308</v>
      </c>
      <c r="H87">
        <v>5596</v>
      </c>
      <c r="I87">
        <v>2931</v>
      </c>
      <c r="J87">
        <v>2665</v>
      </c>
    </row>
    <row r="88" spans="1:10" x14ac:dyDescent="0.3">
      <c r="A88" s="4">
        <v>82</v>
      </c>
      <c r="B88" s="112">
        <v>25662</v>
      </c>
      <c r="C88">
        <v>14518</v>
      </c>
      <c r="D88">
        <v>11144</v>
      </c>
      <c r="E88">
        <v>21533</v>
      </c>
      <c r="F88">
        <v>12240</v>
      </c>
      <c r="G88">
        <v>9293</v>
      </c>
      <c r="H88">
        <v>4129</v>
      </c>
      <c r="I88">
        <v>2278</v>
      </c>
      <c r="J88">
        <v>1851</v>
      </c>
    </row>
    <row r="89" spans="1:10" x14ac:dyDescent="0.3">
      <c r="A89" s="4">
        <v>83</v>
      </c>
      <c r="B89" s="112">
        <v>13678</v>
      </c>
      <c r="C89">
        <v>8104</v>
      </c>
      <c r="D89">
        <v>5574</v>
      </c>
      <c r="E89">
        <v>11108</v>
      </c>
      <c r="F89">
        <v>6567</v>
      </c>
      <c r="G89">
        <v>4541</v>
      </c>
      <c r="H89">
        <v>2570</v>
      </c>
      <c r="I89">
        <v>1537</v>
      </c>
      <c r="J89">
        <v>1033</v>
      </c>
    </row>
    <row r="90" spans="1:10" x14ac:dyDescent="0.3">
      <c r="A90" s="4">
        <v>84</v>
      </c>
      <c r="B90" s="112">
        <v>14779</v>
      </c>
      <c r="C90">
        <v>8458</v>
      </c>
      <c r="D90">
        <v>6321</v>
      </c>
      <c r="E90">
        <v>11997</v>
      </c>
      <c r="F90">
        <v>6970</v>
      </c>
      <c r="G90">
        <v>5027</v>
      </c>
      <c r="H90">
        <v>2782</v>
      </c>
      <c r="I90">
        <v>1488</v>
      </c>
      <c r="J90">
        <v>1294</v>
      </c>
    </row>
    <row r="91" spans="1:10" x14ac:dyDescent="0.3">
      <c r="A91" s="4">
        <v>85</v>
      </c>
      <c r="B91" s="112">
        <v>43142</v>
      </c>
      <c r="C91">
        <v>22656</v>
      </c>
      <c r="D91">
        <v>20486</v>
      </c>
      <c r="E91">
        <v>36809</v>
      </c>
      <c r="F91">
        <v>19582</v>
      </c>
      <c r="G91">
        <v>17227</v>
      </c>
      <c r="H91">
        <v>6333</v>
      </c>
      <c r="I91">
        <v>3074</v>
      </c>
      <c r="J91">
        <v>3259</v>
      </c>
    </row>
    <row r="92" spans="1:10" x14ac:dyDescent="0.3">
      <c r="A92" s="4">
        <v>86</v>
      </c>
      <c r="B92" s="112">
        <v>15954</v>
      </c>
      <c r="C92">
        <v>8677</v>
      </c>
      <c r="D92">
        <v>7277</v>
      </c>
      <c r="E92">
        <v>13422</v>
      </c>
      <c r="F92">
        <v>7348</v>
      </c>
      <c r="G92">
        <v>6074</v>
      </c>
      <c r="H92">
        <v>2532</v>
      </c>
      <c r="I92">
        <v>1329</v>
      </c>
      <c r="J92">
        <v>1203</v>
      </c>
    </row>
    <row r="93" spans="1:10" x14ac:dyDescent="0.3">
      <c r="A93" s="4">
        <v>87</v>
      </c>
      <c r="B93" s="112">
        <v>7998</v>
      </c>
      <c r="C93">
        <v>4658</v>
      </c>
      <c r="D93">
        <v>3340</v>
      </c>
      <c r="E93">
        <v>6487</v>
      </c>
      <c r="F93">
        <v>3843</v>
      </c>
      <c r="G93">
        <v>2644</v>
      </c>
      <c r="H93">
        <v>1511</v>
      </c>
      <c r="I93">
        <v>815</v>
      </c>
      <c r="J93">
        <v>696</v>
      </c>
    </row>
    <row r="94" spans="1:10" x14ac:dyDescent="0.3">
      <c r="A94" s="4">
        <v>88</v>
      </c>
      <c r="B94" s="112">
        <v>7728</v>
      </c>
      <c r="C94">
        <v>4363</v>
      </c>
      <c r="D94">
        <v>3365</v>
      </c>
      <c r="E94">
        <v>6286</v>
      </c>
      <c r="F94">
        <v>3590</v>
      </c>
      <c r="G94">
        <v>2696</v>
      </c>
      <c r="H94">
        <v>1442</v>
      </c>
      <c r="I94">
        <v>773</v>
      </c>
      <c r="J94">
        <v>669</v>
      </c>
    </row>
    <row r="95" spans="1:10" x14ac:dyDescent="0.3">
      <c r="A95" s="4">
        <v>89</v>
      </c>
      <c r="B95" s="112">
        <v>6630</v>
      </c>
      <c r="C95">
        <v>3463</v>
      </c>
      <c r="D95">
        <v>3167</v>
      </c>
      <c r="E95">
        <v>5375</v>
      </c>
      <c r="F95">
        <v>2825</v>
      </c>
      <c r="G95">
        <v>2550</v>
      </c>
      <c r="H95">
        <v>1255</v>
      </c>
      <c r="I95">
        <v>638</v>
      </c>
      <c r="J95">
        <v>617</v>
      </c>
    </row>
    <row r="96" spans="1:10" x14ac:dyDescent="0.3">
      <c r="A96" s="4">
        <v>90</v>
      </c>
      <c r="B96" s="112">
        <v>26921</v>
      </c>
      <c r="C96">
        <v>12830</v>
      </c>
      <c r="D96">
        <v>14091</v>
      </c>
      <c r="E96">
        <v>23069</v>
      </c>
      <c r="F96">
        <v>11176</v>
      </c>
      <c r="G96">
        <v>11893</v>
      </c>
      <c r="H96">
        <v>3852</v>
      </c>
      <c r="I96">
        <v>1654</v>
      </c>
      <c r="J96">
        <v>2198</v>
      </c>
    </row>
    <row r="97" spans="1:10" x14ac:dyDescent="0.3">
      <c r="A97" s="4">
        <v>91</v>
      </c>
      <c r="B97" s="112">
        <v>7554</v>
      </c>
      <c r="C97">
        <v>3737</v>
      </c>
      <c r="D97">
        <v>3817</v>
      </c>
      <c r="E97">
        <v>6321</v>
      </c>
      <c r="F97">
        <v>3155</v>
      </c>
      <c r="G97">
        <v>3166</v>
      </c>
      <c r="H97">
        <v>1233</v>
      </c>
      <c r="I97">
        <v>582</v>
      </c>
      <c r="J97">
        <v>651</v>
      </c>
    </row>
    <row r="98" spans="1:10" x14ac:dyDescent="0.3">
      <c r="A98" s="4">
        <v>92</v>
      </c>
      <c r="B98" s="112">
        <v>4852</v>
      </c>
      <c r="C98">
        <v>2588</v>
      </c>
      <c r="D98">
        <v>2264</v>
      </c>
      <c r="E98">
        <v>3953</v>
      </c>
      <c r="F98">
        <v>2133</v>
      </c>
      <c r="G98">
        <v>1820</v>
      </c>
      <c r="H98">
        <v>899</v>
      </c>
      <c r="I98">
        <v>455</v>
      </c>
      <c r="J98">
        <v>444</v>
      </c>
    </row>
    <row r="99" spans="1:10" x14ac:dyDescent="0.3">
      <c r="A99" s="4">
        <v>93</v>
      </c>
      <c r="B99" s="112">
        <v>2751</v>
      </c>
      <c r="C99">
        <v>1492</v>
      </c>
      <c r="D99">
        <v>1259</v>
      </c>
      <c r="E99">
        <v>2149</v>
      </c>
      <c r="F99">
        <v>1185</v>
      </c>
      <c r="G99">
        <v>964</v>
      </c>
      <c r="H99">
        <v>602</v>
      </c>
      <c r="I99">
        <v>307</v>
      </c>
      <c r="J99">
        <v>295</v>
      </c>
    </row>
    <row r="100" spans="1:10" x14ac:dyDescent="0.3">
      <c r="A100" s="4">
        <v>94</v>
      </c>
      <c r="B100" s="112">
        <v>2998</v>
      </c>
      <c r="C100">
        <v>1587</v>
      </c>
      <c r="D100">
        <v>1411</v>
      </c>
      <c r="E100">
        <v>2414</v>
      </c>
      <c r="F100">
        <v>1305</v>
      </c>
      <c r="G100">
        <v>1109</v>
      </c>
      <c r="H100">
        <v>584</v>
      </c>
      <c r="I100">
        <v>282</v>
      </c>
      <c r="J100">
        <v>302</v>
      </c>
    </row>
    <row r="101" spans="1:10" x14ac:dyDescent="0.3">
      <c r="A101" s="4">
        <v>95</v>
      </c>
      <c r="B101" s="112">
        <v>7956</v>
      </c>
      <c r="C101">
        <v>3878</v>
      </c>
      <c r="D101">
        <v>4078</v>
      </c>
      <c r="E101">
        <v>6685</v>
      </c>
      <c r="F101">
        <v>3275</v>
      </c>
      <c r="G101">
        <v>3410</v>
      </c>
      <c r="H101">
        <v>1271</v>
      </c>
      <c r="I101">
        <v>603</v>
      </c>
      <c r="J101">
        <v>668</v>
      </c>
    </row>
    <row r="102" spans="1:10" x14ac:dyDescent="0.3">
      <c r="A102" s="4">
        <v>96</v>
      </c>
      <c r="B102" s="112">
        <v>3368</v>
      </c>
      <c r="C102">
        <v>1776</v>
      </c>
      <c r="D102">
        <v>1592</v>
      </c>
      <c r="E102">
        <v>2757</v>
      </c>
      <c r="F102">
        <v>1478</v>
      </c>
      <c r="G102">
        <v>1279</v>
      </c>
      <c r="H102">
        <v>611</v>
      </c>
      <c r="I102">
        <v>298</v>
      </c>
      <c r="J102">
        <v>313</v>
      </c>
    </row>
    <row r="103" spans="1:10" x14ac:dyDescent="0.3">
      <c r="A103" s="4">
        <v>97</v>
      </c>
      <c r="B103" s="112">
        <v>2187</v>
      </c>
      <c r="C103">
        <v>1179</v>
      </c>
      <c r="D103">
        <v>1008</v>
      </c>
      <c r="E103">
        <v>1768</v>
      </c>
      <c r="F103">
        <v>971</v>
      </c>
      <c r="G103">
        <v>797</v>
      </c>
      <c r="H103">
        <v>419</v>
      </c>
      <c r="I103">
        <v>208</v>
      </c>
      <c r="J103">
        <v>211</v>
      </c>
    </row>
    <row r="104" spans="1:10" x14ac:dyDescent="0.3">
      <c r="A104" s="4">
        <v>98</v>
      </c>
      <c r="B104" s="112">
        <v>3067</v>
      </c>
      <c r="C104">
        <v>1562</v>
      </c>
      <c r="D104">
        <v>1505</v>
      </c>
      <c r="E104">
        <v>2557</v>
      </c>
      <c r="F104">
        <v>1314</v>
      </c>
      <c r="G104">
        <v>1243</v>
      </c>
      <c r="H104">
        <v>510</v>
      </c>
      <c r="I104">
        <v>248</v>
      </c>
      <c r="J104">
        <v>262</v>
      </c>
    </row>
    <row r="105" spans="1:10" x14ac:dyDescent="0.3">
      <c r="A105" s="4">
        <v>99</v>
      </c>
      <c r="B105" s="112">
        <v>1784</v>
      </c>
      <c r="C105">
        <v>861</v>
      </c>
      <c r="D105">
        <v>923</v>
      </c>
      <c r="E105">
        <v>1518</v>
      </c>
      <c r="F105">
        <v>750</v>
      </c>
      <c r="G105">
        <v>768</v>
      </c>
      <c r="H105">
        <v>266</v>
      </c>
      <c r="I105">
        <v>111</v>
      </c>
      <c r="J105">
        <v>155</v>
      </c>
    </row>
    <row r="106" spans="1:10" x14ac:dyDescent="0.3">
      <c r="A106" s="4" t="s">
        <v>8</v>
      </c>
      <c r="B106" s="112">
        <v>16289</v>
      </c>
      <c r="C106">
        <v>7921</v>
      </c>
      <c r="D106">
        <v>8368</v>
      </c>
      <c r="E106">
        <v>13157</v>
      </c>
      <c r="F106">
        <v>6414</v>
      </c>
      <c r="G106">
        <v>6743</v>
      </c>
      <c r="H106">
        <v>3132</v>
      </c>
      <c r="I106">
        <v>1507</v>
      </c>
      <c r="J106">
        <v>1625</v>
      </c>
    </row>
    <row r="107" spans="1:10" x14ac:dyDescent="0.3">
      <c r="A107" s="4" t="s">
        <v>9</v>
      </c>
      <c r="B107" s="112">
        <v>119171</v>
      </c>
      <c r="C107">
        <v>61347</v>
      </c>
      <c r="D107">
        <v>57824</v>
      </c>
      <c r="E107">
        <v>95210</v>
      </c>
      <c r="F107">
        <v>48470</v>
      </c>
      <c r="G107">
        <v>46740</v>
      </c>
      <c r="H107">
        <v>23961</v>
      </c>
      <c r="I107">
        <v>12877</v>
      </c>
      <c r="J107">
        <v>11084</v>
      </c>
    </row>
    <row r="110" spans="1:10" x14ac:dyDescent="0.3">
      <c r="D110" s="4">
        <v>0</v>
      </c>
      <c r="E110">
        <v>345960</v>
      </c>
      <c r="F110">
        <v>324949</v>
      </c>
    </row>
    <row r="111" spans="1:10" x14ac:dyDescent="0.3">
      <c r="D111" s="4">
        <v>1</v>
      </c>
      <c r="E111">
        <v>399084</v>
      </c>
      <c r="F111">
        <v>370743</v>
      </c>
    </row>
    <row r="112" spans="1:10" x14ac:dyDescent="0.3">
      <c r="D112" s="4">
        <v>2</v>
      </c>
      <c r="E112">
        <v>363209</v>
      </c>
      <c r="F112">
        <v>344678</v>
      </c>
    </row>
    <row r="113" spans="4:6" x14ac:dyDescent="0.3">
      <c r="D113" s="4">
        <v>3</v>
      </c>
      <c r="E113">
        <v>381316</v>
      </c>
      <c r="F113">
        <v>369300</v>
      </c>
    </row>
    <row r="114" spans="4:6" x14ac:dyDescent="0.3">
      <c r="D114" s="4">
        <v>4</v>
      </c>
      <c r="E114">
        <v>388558</v>
      </c>
      <c r="F114">
        <v>365232</v>
      </c>
    </row>
    <row r="115" spans="4:6" x14ac:dyDescent="0.3">
      <c r="D115" s="4">
        <v>5</v>
      </c>
      <c r="E115">
        <v>429353</v>
      </c>
      <c r="F115">
        <v>398758</v>
      </c>
    </row>
    <row r="116" spans="4:6" x14ac:dyDescent="0.3">
      <c r="D116" s="4">
        <v>6</v>
      </c>
      <c r="E116">
        <v>409017</v>
      </c>
      <c r="F116">
        <v>383037</v>
      </c>
    </row>
    <row r="117" spans="4:6" x14ac:dyDescent="0.3">
      <c r="D117" s="4">
        <v>7</v>
      </c>
      <c r="E117">
        <v>419291</v>
      </c>
      <c r="F117">
        <v>408833</v>
      </c>
    </row>
    <row r="118" spans="4:6" x14ac:dyDescent="0.3">
      <c r="D118" s="4">
        <v>8</v>
      </c>
      <c r="E118">
        <v>433510</v>
      </c>
      <c r="F118">
        <v>416854</v>
      </c>
    </row>
    <row r="119" spans="4:6" x14ac:dyDescent="0.3">
      <c r="D119" s="4">
        <v>9</v>
      </c>
      <c r="E119">
        <v>394168</v>
      </c>
      <c r="F119">
        <v>381947</v>
      </c>
    </row>
    <row r="120" spans="4:6" x14ac:dyDescent="0.3">
      <c r="D120" s="4">
        <v>10</v>
      </c>
      <c r="E120">
        <v>468214</v>
      </c>
      <c r="F120">
        <v>445392</v>
      </c>
    </row>
    <row r="121" spans="4:6" x14ac:dyDescent="0.3">
      <c r="D121" s="4">
        <v>11</v>
      </c>
      <c r="E121">
        <v>428712</v>
      </c>
      <c r="F121">
        <v>411221</v>
      </c>
    </row>
    <row r="122" spans="4:6" x14ac:dyDescent="0.3">
      <c r="D122" s="4">
        <v>12</v>
      </c>
      <c r="E122">
        <v>467103</v>
      </c>
      <c r="F122">
        <v>449696</v>
      </c>
    </row>
    <row r="123" spans="4:6" x14ac:dyDescent="0.3">
      <c r="D123" s="4">
        <v>13</v>
      </c>
      <c r="E123">
        <v>420237</v>
      </c>
      <c r="F123">
        <v>419236</v>
      </c>
    </row>
    <row r="124" spans="4:6" x14ac:dyDescent="0.3">
      <c r="D124" s="4">
        <v>14</v>
      </c>
      <c r="E124">
        <v>419269</v>
      </c>
      <c r="F124">
        <v>419545</v>
      </c>
    </row>
    <row r="125" spans="4:6" x14ac:dyDescent="0.3">
      <c r="D125" s="4">
        <v>15</v>
      </c>
      <c r="E125">
        <v>436883</v>
      </c>
      <c r="F125">
        <v>432703</v>
      </c>
    </row>
    <row r="126" spans="4:6" x14ac:dyDescent="0.3">
      <c r="D126" s="4">
        <v>16</v>
      </c>
      <c r="E126">
        <v>388035</v>
      </c>
      <c r="F126">
        <v>387017</v>
      </c>
    </row>
    <row r="127" spans="4:6" x14ac:dyDescent="0.3">
      <c r="D127" s="4">
        <v>17</v>
      </c>
      <c r="E127">
        <v>346739</v>
      </c>
      <c r="F127">
        <v>345307</v>
      </c>
    </row>
    <row r="128" spans="4:6" x14ac:dyDescent="0.3">
      <c r="D128" s="4">
        <v>18</v>
      </c>
      <c r="E128">
        <v>460498</v>
      </c>
      <c r="F128">
        <v>445918</v>
      </c>
    </row>
    <row r="129" spans="4:6" x14ac:dyDescent="0.3">
      <c r="D129" s="4">
        <v>19</v>
      </c>
      <c r="E129">
        <v>340529</v>
      </c>
      <c r="F129">
        <v>341769</v>
      </c>
    </row>
    <row r="130" spans="4:6" x14ac:dyDescent="0.3">
      <c r="D130" s="4">
        <v>20</v>
      </c>
      <c r="E130">
        <v>470195</v>
      </c>
      <c r="F130">
        <v>507836</v>
      </c>
    </row>
    <row r="131" spans="4:6" x14ac:dyDescent="0.3">
      <c r="D131" s="4">
        <v>21</v>
      </c>
      <c r="E131">
        <v>338625</v>
      </c>
      <c r="F131">
        <v>338370</v>
      </c>
    </row>
    <row r="132" spans="4:6" x14ac:dyDescent="0.3">
      <c r="D132" s="4">
        <v>22</v>
      </c>
      <c r="E132">
        <v>403387</v>
      </c>
      <c r="F132">
        <v>398014</v>
      </c>
    </row>
    <row r="133" spans="4:6" x14ac:dyDescent="0.3">
      <c r="D133" s="4">
        <v>23</v>
      </c>
      <c r="E133">
        <v>331531</v>
      </c>
      <c r="F133">
        <v>337882</v>
      </c>
    </row>
    <row r="134" spans="4:6" x14ac:dyDescent="0.3">
      <c r="D134" s="4">
        <v>24</v>
      </c>
      <c r="E134">
        <v>327201</v>
      </c>
      <c r="F134">
        <v>330486</v>
      </c>
    </row>
    <row r="135" spans="4:6" x14ac:dyDescent="0.3">
      <c r="D135" s="4">
        <v>25</v>
      </c>
      <c r="E135">
        <v>471972</v>
      </c>
      <c r="F135">
        <v>524738</v>
      </c>
    </row>
    <row r="136" spans="4:6" x14ac:dyDescent="0.3">
      <c r="D136" s="4">
        <v>26</v>
      </c>
      <c r="E136">
        <v>352927</v>
      </c>
      <c r="F136">
        <v>350537</v>
      </c>
    </row>
    <row r="137" spans="4:6" x14ac:dyDescent="0.3">
      <c r="D137" s="4">
        <v>27</v>
      </c>
      <c r="E137">
        <v>310830</v>
      </c>
      <c r="F137">
        <v>300072</v>
      </c>
    </row>
    <row r="138" spans="4:6" x14ac:dyDescent="0.3">
      <c r="D138" s="4">
        <v>28</v>
      </c>
      <c r="E138">
        <v>381733</v>
      </c>
      <c r="F138">
        <v>380392</v>
      </c>
    </row>
    <row r="139" spans="4:6" x14ac:dyDescent="0.3">
      <c r="D139" s="4">
        <v>29</v>
      </c>
      <c r="E139">
        <v>255414</v>
      </c>
      <c r="F139">
        <v>245422</v>
      </c>
    </row>
    <row r="140" spans="4:6" x14ac:dyDescent="0.3">
      <c r="D140" s="4">
        <v>30</v>
      </c>
      <c r="E140">
        <v>504205</v>
      </c>
      <c r="F140">
        <v>552287</v>
      </c>
    </row>
    <row r="141" spans="4:6" x14ac:dyDescent="0.3">
      <c r="D141" s="4">
        <v>31</v>
      </c>
      <c r="E141">
        <v>247063</v>
      </c>
      <c r="F141">
        <v>240754</v>
      </c>
    </row>
    <row r="142" spans="4:6" x14ac:dyDescent="0.3">
      <c r="D142" s="4">
        <v>32</v>
      </c>
      <c r="E142">
        <v>302942</v>
      </c>
      <c r="F142">
        <v>302137</v>
      </c>
    </row>
    <row r="143" spans="4:6" x14ac:dyDescent="0.3">
      <c r="D143" s="4">
        <v>33</v>
      </c>
      <c r="E143">
        <v>231376</v>
      </c>
      <c r="F143">
        <v>225757</v>
      </c>
    </row>
    <row r="144" spans="4:6" x14ac:dyDescent="0.3">
      <c r="D144" s="4">
        <v>34</v>
      </c>
      <c r="E144">
        <v>256647</v>
      </c>
      <c r="F144">
        <v>239823</v>
      </c>
    </row>
    <row r="145" spans="4:6" x14ac:dyDescent="0.3">
      <c r="D145" s="4">
        <v>35</v>
      </c>
      <c r="E145">
        <v>502684</v>
      </c>
      <c r="F145">
        <v>521292</v>
      </c>
    </row>
    <row r="146" spans="4:6" x14ac:dyDescent="0.3">
      <c r="D146" s="4">
        <v>36</v>
      </c>
      <c r="E146">
        <v>294474</v>
      </c>
      <c r="F146">
        <v>289046</v>
      </c>
    </row>
    <row r="147" spans="4:6" x14ac:dyDescent="0.3">
      <c r="D147" s="4">
        <v>37</v>
      </c>
      <c r="E147">
        <v>216369</v>
      </c>
      <c r="F147">
        <v>209448</v>
      </c>
    </row>
    <row r="148" spans="4:6" x14ac:dyDescent="0.3">
      <c r="D148" s="4">
        <v>38</v>
      </c>
      <c r="E148">
        <v>298289</v>
      </c>
      <c r="F148">
        <v>303157</v>
      </c>
    </row>
    <row r="149" spans="4:6" x14ac:dyDescent="0.3">
      <c r="D149" s="4">
        <v>39</v>
      </c>
      <c r="E149">
        <v>216869</v>
      </c>
      <c r="F149">
        <v>199560</v>
      </c>
    </row>
    <row r="150" spans="4:6" x14ac:dyDescent="0.3">
      <c r="D150" s="4">
        <v>40</v>
      </c>
      <c r="E150">
        <v>505346</v>
      </c>
      <c r="F150">
        <v>513062</v>
      </c>
    </row>
    <row r="151" spans="4:6" x14ac:dyDescent="0.3">
      <c r="D151" s="4">
        <v>41</v>
      </c>
      <c r="E151">
        <v>242420</v>
      </c>
      <c r="F151">
        <v>214922</v>
      </c>
    </row>
    <row r="152" spans="4:6" x14ac:dyDescent="0.3">
      <c r="D152" s="4">
        <v>42</v>
      </c>
      <c r="E152">
        <v>268307</v>
      </c>
      <c r="F152">
        <v>237431</v>
      </c>
    </row>
    <row r="153" spans="4:6" x14ac:dyDescent="0.3">
      <c r="D153" s="4">
        <v>43</v>
      </c>
      <c r="E153">
        <v>181339</v>
      </c>
      <c r="F153">
        <v>166111</v>
      </c>
    </row>
    <row r="154" spans="4:6" x14ac:dyDescent="0.3">
      <c r="D154" s="4">
        <v>44</v>
      </c>
      <c r="E154">
        <v>190508</v>
      </c>
      <c r="F154">
        <v>172028</v>
      </c>
    </row>
    <row r="155" spans="4:6" x14ac:dyDescent="0.3">
      <c r="D155" s="4">
        <v>45</v>
      </c>
      <c r="E155">
        <v>437220</v>
      </c>
      <c r="F155">
        <v>429262</v>
      </c>
    </row>
    <row r="156" spans="4:6" x14ac:dyDescent="0.3">
      <c r="D156" s="4">
        <v>46</v>
      </c>
      <c r="E156">
        <v>233358</v>
      </c>
      <c r="F156">
        <v>210241</v>
      </c>
    </row>
    <row r="157" spans="4:6" x14ac:dyDescent="0.3">
      <c r="D157" s="4">
        <v>47</v>
      </c>
      <c r="E157">
        <v>164935</v>
      </c>
      <c r="F157">
        <v>145761</v>
      </c>
    </row>
    <row r="158" spans="4:6" x14ac:dyDescent="0.3">
      <c r="D158" s="4">
        <v>48</v>
      </c>
      <c r="E158">
        <v>225442</v>
      </c>
      <c r="F158">
        <v>205384</v>
      </c>
    </row>
    <row r="159" spans="4:6" x14ac:dyDescent="0.3">
      <c r="D159" s="4">
        <v>49</v>
      </c>
      <c r="E159">
        <v>151411</v>
      </c>
      <c r="F159">
        <v>131016</v>
      </c>
    </row>
    <row r="160" spans="4:6" x14ac:dyDescent="0.3">
      <c r="D160" s="4">
        <v>50</v>
      </c>
      <c r="E160">
        <v>388647</v>
      </c>
      <c r="F160">
        <v>396273</v>
      </c>
    </row>
    <row r="161" spans="4:6" x14ac:dyDescent="0.3">
      <c r="D161" s="4">
        <v>51</v>
      </c>
      <c r="E161">
        <v>173338</v>
      </c>
      <c r="F161">
        <v>147238</v>
      </c>
    </row>
    <row r="162" spans="4:6" x14ac:dyDescent="0.3">
      <c r="D162" s="4">
        <v>52</v>
      </c>
      <c r="E162">
        <v>166334</v>
      </c>
      <c r="F162">
        <v>141409</v>
      </c>
    </row>
    <row r="163" spans="4:6" x14ac:dyDescent="0.3">
      <c r="D163" s="4">
        <v>53</v>
      </c>
      <c r="E163">
        <v>109710</v>
      </c>
      <c r="F163">
        <v>94514</v>
      </c>
    </row>
    <row r="164" spans="4:6" x14ac:dyDescent="0.3">
      <c r="D164" s="4">
        <v>54</v>
      </c>
      <c r="E164">
        <v>119495</v>
      </c>
      <c r="F164">
        <v>110854</v>
      </c>
    </row>
    <row r="165" spans="4:6" x14ac:dyDescent="0.3">
      <c r="D165" s="4">
        <v>55</v>
      </c>
      <c r="E165">
        <v>277931</v>
      </c>
      <c r="F165">
        <v>307561</v>
      </c>
    </row>
    <row r="166" spans="4:6" x14ac:dyDescent="0.3">
      <c r="D166" s="4">
        <v>56</v>
      </c>
      <c r="E166">
        <v>151823</v>
      </c>
      <c r="F166">
        <v>138631</v>
      </c>
    </row>
    <row r="167" spans="4:6" x14ac:dyDescent="0.3">
      <c r="D167" s="4">
        <v>57</v>
      </c>
      <c r="E167">
        <v>96710</v>
      </c>
      <c r="F167">
        <v>85716</v>
      </c>
    </row>
    <row r="168" spans="4:6" x14ac:dyDescent="0.3">
      <c r="D168" s="4">
        <v>58</v>
      </c>
      <c r="E168">
        <v>123835</v>
      </c>
      <c r="F168">
        <v>120660</v>
      </c>
    </row>
    <row r="169" spans="4:6" x14ac:dyDescent="0.3">
      <c r="D169" s="4">
        <v>59</v>
      </c>
      <c r="E169">
        <v>93992</v>
      </c>
      <c r="F169">
        <v>86861</v>
      </c>
    </row>
    <row r="170" spans="4:6" x14ac:dyDescent="0.3">
      <c r="D170" s="4">
        <v>60</v>
      </c>
      <c r="E170">
        <v>314904</v>
      </c>
      <c r="F170">
        <v>354024</v>
      </c>
    </row>
    <row r="171" spans="4:6" x14ac:dyDescent="0.3">
      <c r="D171" s="4">
        <v>61</v>
      </c>
      <c r="E171">
        <v>133010</v>
      </c>
      <c r="F171">
        <v>126951</v>
      </c>
    </row>
    <row r="172" spans="4:6" x14ac:dyDescent="0.3">
      <c r="D172" s="4">
        <v>62</v>
      </c>
      <c r="E172">
        <v>132177</v>
      </c>
      <c r="F172">
        <v>118106</v>
      </c>
    </row>
    <row r="173" spans="4:6" x14ac:dyDescent="0.3">
      <c r="D173" s="4">
        <v>63</v>
      </c>
      <c r="E173">
        <v>79149</v>
      </c>
      <c r="F173">
        <v>66246</v>
      </c>
    </row>
    <row r="174" spans="4:6" x14ac:dyDescent="0.3">
      <c r="D174" s="4">
        <v>64</v>
      </c>
      <c r="E174">
        <v>78395</v>
      </c>
      <c r="F174">
        <v>71099</v>
      </c>
    </row>
    <row r="175" spans="4:6" x14ac:dyDescent="0.3">
      <c r="D175" s="4">
        <v>65</v>
      </c>
      <c r="E175">
        <v>222967</v>
      </c>
      <c r="F175">
        <v>248586</v>
      </c>
    </row>
    <row r="176" spans="4:6" x14ac:dyDescent="0.3">
      <c r="D176" s="4">
        <v>66</v>
      </c>
      <c r="E176">
        <v>92898</v>
      </c>
      <c r="F176">
        <v>87756</v>
      </c>
    </row>
    <row r="177" spans="4:6" x14ac:dyDescent="0.3">
      <c r="D177" s="4">
        <v>67</v>
      </c>
      <c r="E177">
        <v>54942</v>
      </c>
      <c r="F177">
        <v>45587</v>
      </c>
    </row>
    <row r="178" spans="4:6" x14ac:dyDescent="0.3">
      <c r="D178" s="4">
        <v>68</v>
      </c>
      <c r="E178">
        <v>66099</v>
      </c>
      <c r="F178">
        <v>61411</v>
      </c>
    </row>
    <row r="179" spans="4:6" x14ac:dyDescent="0.3">
      <c r="D179" s="4">
        <v>69</v>
      </c>
      <c r="E179">
        <v>50943</v>
      </c>
      <c r="F179">
        <v>48336</v>
      </c>
    </row>
    <row r="180" spans="4:6" x14ac:dyDescent="0.3">
      <c r="D180" s="4">
        <v>70</v>
      </c>
      <c r="E180">
        <v>200417</v>
      </c>
      <c r="F180">
        <v>224793</v>
      </c>
    </row>
    <row r="181" spans="4:6" x14ac:dyDescent="0.3">
      <c r="D181" s="4">
        <v>71</v>
      </c>
      <c r="E181">
        <v>64878</v>
      </c>
      <c r="F181">
        <v>64353</v>
      </c>
    </row>
    <row r="182" spans="4:6" x14ac:dyDescent="0.3">
      <c r="D182" s="4">
        <v>72</v>
      </c>
      <c r="E182">
        <v>54730</v>
      </c>
      <c r="F182">
        <v>47561</v>
      </c>
    </row>
    <row r="183" spans="4:6" x14ac:dyDescent="0.3">
      <c r="D183" s="4">
        <v>73</v>
      </c>
      <c r="E183">
        <v>29753</v>
      </c>
      <c r="F183">
        <v>23519</v>
      </c>
    </row>
    <row r="184" spans="4:6" x14ac:dyDescent="0.3">
      <c r="D184" s="4">
        <v>74</v>
      </c>
      <c r="E184">
        <v>30857</v>
      </c>
      <c r="F184">
        <v>27209</v>
      </c>
    </row>
    <row r="185" spans="4:6" x14ac:dyDescent="0.3">
      <c r="D185" s="4">
        <v>75</v>
      </c>
      <c r="E185">
        <v>87822</v>
      </c>
      <c r="F185">
        <v>96701</v>
      </c>
    </row>
    <row r="186" spans="4:6" x14ac:dyDescent="0.3">
      <c r="D186" s="4">
        <v>76</v>
      </c>
      <c r="E186">
        <v>36424</v>
      </c>
      <c r="F186">
        <v>34389</v>
      </c>
    </row>
    <row r="187" spans="4:6" x14ac:dyDescent="0.3">
      <c r="D187" s="4">
        <v>77</v>
      </c>
      <c r="E187">
        <v>19652</v>
      </c>
      <c r="F187">
        <v>15881</v>
      </c>
    </row>
    <row r="188" spans="4:6" x14ac:dyDescent="0.3">
      <c r="D188" s="4">
        <v>78</v>
      </c>
      <c r="E188">
        <v>22078</v>
      </c>
      <c r="F188">
        <v>19049</v>
      </c>
    </row>
    <row r="189" spans="4:6" x14ac:dyDescent="0.3">
      <c r="D189" s="4">
        <v>79</v>
      </c>
      <c r="E189">
        <v>17318</v>
      </c>
      <c r="F189">
        <v>15486</v>
      </c>
    </row>
    <row r="190" spans="4:6" x14ac:dyDescent="0.3">
      <c r="D190" s="4">
        <v>80</v>
      </c>
      <c r="E190">
        <v>204857</v>
      </c>
      <c r="F190">
        <v>193135</v>
      </c>
    </row>
    <row r="191" spans="4:6" x14ac:dyDescent="0.3">
      <c r="D191" s="4">
        <v>81</v>
      </c>
    </row>
    <row r="192" spans="4:6" x14ac:dyDescent="0.3">
      <c r="D192" s="4">
        <v>82</v>
      </c>
    </row>
    <row r="193" spans="4:4" x14ac:dyDescent="0.3">
      <c r="D193" s="4">
        <v>83</v>
      </c>
    </row>
    <row r="194" spans="4:4" x14ac:dyDescent="0.3">
      <c r="D194" s="4">
        <v>84</v>
      </c>
    </row>
    <row r="195" spans="4:4" x14ac:dyDescent="0.3">
      <c r="D195" s="4">
        <v>85</v>
      </c>
    </row>
    <row r="196" spans="4:4" x14ac:dyDescent="0.3">
      <c r="D196" s="4">
        <v>86</v>
      </c>
    </row>
    <row r="197" spans="4:4" x14ac:dyDescent="0.3">
      <c r="D197" s="4">
        <v>87</v>
      </c>
    </row>
    <row r="198" spans="4:4" x14ac:dyDescent="0.3">
      <c r="D198" s="4">
        <v>88</v>
      </c>
    </row>
    <row r="199" spans="4:4" x14ac:dyDescent="0.3">
      <c r="D199" s="4">
        <v>89</v>
      </c>
    </row>
    <row r="200" spans="4:4" x14ac:dyDescent="0.3">
      <c r="D200" s="4">
        <v>90</v>
      </c>
    </row>
    <row r="201" spans="4:4" x14ac:dyDescent="0.3">
      <c r="D201" s="4">
        <v>91</v>
      </c>
    </row>
    <row r="202" spans="4:4" x14ac:dyDescent="0.3">
      <c r="D202" s="4">
        <v>92</v>
      </c>
    </row>
    <row r="203" spans="4:4" x14ac:dyDescent="0.3">
      <c r="D203" s="4">
        <v>93</v>
      </c>
    </row>
    <row r="204" spans="4:4" x14ac:dyDescent="0.3">
      <c r="D204" s="4">
        <v>94</v>
      </c>
    </row>
    <row r="205" spans="4:4" x14ac:dyDescent="0.3">
      <c r="D205" s="4">
        <v>95</v>
      </c>
    </row>
    <row r="206" spans="4:4" x14ac:dyDescent="0.3">
      <c r="D206" s="4">
        <v>96</v>
      </c>
    </row>
    <row r="207" spans="4:4" x14ac:dyDescent="0.3">
      <c r="D207" s="4">
        <v>97</v>
      </c>
    </row>
    <row r="208" spans="4:4" x14ac:dyDescent="0.3">
      <c r="D208" s="4">
        <v>98</v>
      </c>
    </row>
    <row r="209" spans="4:4" x14ac:dyDescent="0.3">
      <c r="D209" s="4">
        <v>99</v>
      </c>
    </row>
    <row r="210" spans="4:4" x14ac:dyDescent="0.3">
      <c r="D210" s="4" t="s">
        <v>8</v>
      </c>
    </row>
  </sheetData>
  <mergeCells count="3">
    <mergeCell ref="B2:D2"/>
    <mergeCell ref="H2:J2"/>
    <mergeCell ref="E2:G2"/>
  </mergeCells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9E5D8-1669-4E20-833B-A22C47E6DCF2}">
  <dimension ref="B1:M23"/>
  <sheetViews>
    <sheetView workbookViewId="0">
      <selection activeCell="O14" sqref="O14"/>
    </sheetView>
  </sheetViews>
  <sheetFormatPr defaultRowHeight="14.4" x14ac:dyDescent="0.3"/>
  <cols>
    <col min="6" max="6" width="9.5546875" bestFit="1" customWidth="1"/>
  </cols>
  <sheetData>
    <row r="1" spans="2:13" x14ac:dyDescent="0.3">
      <c r="B1" s="242" t="s">
        <v>76</v>
      </c>
      <c r="C1" s="242"/>
      <c r="D1" s="242"/>
      <c r="E1" s="242"/>
    </row>
    <row r="2" spans="2:13" ht="15" x14ac:dyDescent="0.3">
      <c r="B2" s="249" t="s">
        <v>36</v>
      </c>
      <c r="C2" s="22"/>
      <c r="D2" s="23">
        <v>2021</v>
      </c>
      <c r="E2" s="22"/>
    </row>
    <row r="3" spans="2:13" ht="15" x14ac:dyDescent="0.3">
      <c r="B3" s="250"/>
      <c r="C3" s="24" t="s">
        <v>56</v>
      </c>
      <c r="D3" s="25" t="s">
        <v>57</v>
      </c>
      <c r="E3" s="24" t="s">
        <v>58</v>
      </c>
    </row>
    <row r="4" spans="2:13" ht="15.6" thickBot="1" x14ac:dyDescent="0.35">
      <c r="B4" s="18">
        <v>1</v>
      </c>
      <c r="C4" s="18">
        <v>2</v>
      </c>
      <c r="D4" s="18">
        <v>3</v>
      </c>
      <c r="E4" s="18">
        <v>4</v>
      </c>
    </row>
    <row r="5" spans="2:13" x14ac:dyDescent="0.3">
      <c r="B5" s="19" t="s">
        <v>37</v>
      </c>
      <c r="C5" s="26">
        <v>710</v>
      </c>
      <c r="D5" s="26">
        <v>366</v>
      </c>
      <c r="E5" s="26">
        <v>344</v>
      </c>
      <c r="F5" s="80">
        <f>(C5/45696)*100</f>
        <v>1.5537464985994398</v>
      </c>
      <c r="H5" s="54" t="s">
        <v>37</v>
      </c>
      <c r="I5" s="90">
        <v>1.5537464985994398</v>
      </c>
      <c r="J5" s="53"/>
      <c r="L5" s="32" t="s">
        <v>81</v>
      </c>
      <c r="M5" s="81">
        <f>SUM(F6:F8)</f>
        <v>23.643207282913167</v>
      </c>
    </row>
    <row r="6" spans="2:13" x14ac:dyDescent="0.3">
      <c r="B6" s="20" t="s">
        <v>38</v>
      </c>
      <c r="C6" s="27">
        <v>3467</v>
      </c>
      <c r="D6" s="27">
        <v>1785</v>
      </c>
      <c r="E6" s="27">
        <v>1682</v>
      </c>
      <c r="F6" s="80">
        <f t="shared" ref="F6:F23" si="0">(C6/45696)*100</f>
        <v>7.5870973389355738</v>
      </c>
      <c r="H6" s="40" t="s">
        <v>68</v>
      </c>
      <c r="I6" s="86">
        <v>6.0333508403361344</v>
      </c>
      <c r="J6" s="53"/>
      <c r="L6" s="68" t="s">
        <v>14</v>
      </c>
      <c r="M6" s="86">
        <v>8.6856617647058822</v>
      </c>
    </row>
    <row r="7" spans="2:13" x14ac:dyDescent="0.3">
      <c r="B7" s="20" t="s">
        <v>39</v>
      </c>
      <c r="C7" s="27">
        <v>3556</v>
      </c>
      <c r="D7" s="27">
        <v>1832</v>
      </c>
      <c r="E7" s="27">
        <v>1724</v>
      </c>
      <c r="F7" s="80">
        <f t="shared" si="0"/>
        <v>7.7818627450980395</v>
      </c>
      <c r="H7" s="57" t="s">
        <v>75</v>
      </c>
      <c r="I7" s="86">
        <v>24.741771708683473</v>
      </c>
      <c r="J7" s="53"/>
      <c r="L7" s="68" t="s">
        <v>15</v>
      </c>
      <c r="M7" s="86">
        <v>8.8979341736694675</v>
      </c>
    </row>
    <row r="8" spans="2:13" x14ac:dyDescent="0.3">
      <c r="B8" s="20" t="s">
        <v>40</v>
      </c>
      <c r="C8" s="27">
        <v>3781</v>
      </c>
      <c r="D8" s="27">
        <v>1941</v>
      </c>
      <c r="E8" s="27">
        <v>1839</v>
      </c>
      <c r="F8" s="80">
        <f t="shared" si="0"/>
        <v>8.2742471988795518</v>
      </c>
      <c r="H8" s="40" t="s">
        <v>77</v>
      </c>
      <c r="I8" s="86">
        <v>56.212797619047613</v>
      </c>
      <c r="J8" s="53"/>
      <c r="L8" s="68" t="s">
        <v>16</v>
      </c>
      <c r="M8" s="86">
        <v>8.4908963585434183</v>
      </c>
    </row>
    <row r="9" spans="2:13" ht="15" thickBot="1" x14ac:dyDescent="0.35">
      <c r="B9" s="20" t="s">
        <v>41</v>
      </c>
      <c r="C9" s="27">
        <v>3969</v>
      </c>
      <c r="D9" s="27">
        <v>2027</v>
      </c>
      <c r="E9" s="27">
        <v>1942</v>
      </c>
      <c r="F9" s="80">
        <f t="shared" si="0"/>
        <v>8.6856617647058822</v>
      </c>
      <c r="H9" s="36" t="s">
        <v>30</v>
      </c>
      <c r="I9" s="84">
        <v>11.460521708683473</v>
      </c>
      <c r="J9" s="53"/>
      <c r="L9" s="68" t="s">
        <v>17</v>
      </c>
      <c r="M9" s="86">
        <v>8.0291491596638664</v>
      </c>
    </row>
    <row r="10" spans="2:13" x14ac:dyDescent="0.3">
      <c r="B10" s="20" t="s">
        <v>42</v>
      </c>
      <c r="C10" s="27">
        <v>4066</v>
      </c>
      <c r="D10" s="27">
        <v>2065</v>
      </c>
      <c r="E10" s="27">
        <v>2002</v>
      </c>
      <c r="F10" s="80">
        <f t="shared" si="0"/>
        <v>8.8979341736694675</v>
      </c>
      <c r="L10" s="68" t="s">
        <v>18</v>
      </c>
      <c r="M10" s="86">
        <v>7.4733018207282909</v>
      </c>
    </row>
    <row r="11" spans="2:13" ht="15" thickBot="1" x14ac:dyDescent="0.35">
      <c r="B11" s="20" t="s">
        <v>43</v>
      </c>
      <c r="C11" s="27">
        <v>3880</v>
      </c>
      <c r="D11" s="27">
        <v>1945</v>
      </c>
      <c r="E11" s="27">
        <v>1935</v>
      </c>
      <c r="F11" s="80">
        <f t="shared" si="0"/>
        <v>8.4908963585434183</v>
      </c>
      <c r="I11" s="27">
        <v>2021</v>
      </c>
      <c r="L11" s="68" t="s">
        <v>19</v>
      </c>
      <c r="M11" s="86">
        <v>6.8189775910364139</v>
      </c>
    </row>
    <row r="12" spans="2:13" x14ac:dyDescent="0.3">
      <c r="B12" s="20" t="s">
        <v>44</v>
      </c>
      <c r="C12" s="27">
        <v>3669</v>
      </c>
      <c r="D12" s="27">
        <v>1813</v>
      </c>
      <c r="E12" s="27">
        <v>1856</v>
      </c>
      <c r="F12" s="80">
        <f t="shared" si="0"/>
        <v>8.0291491596638664</v>
      </c>
      <c r="H12" s="54" t="s">
        <v>37</v>
      </c>
      <c r="I12" s="55">
        <v>1.5537464985994398</v>
      </c>
      <c r="L12" s="68" t="s">
        <v>20</v>
      </c>
      <c r="M12" s="86">
        <v>6.2718837535014007</v>
      </c>
    </row>
    <row r="13" spans="2:13" x14ac:dyDescent="0.3">
      <c r="B13" s="20" t="s">
        <v>45</v>
      </c>
      <c r="C13" s="27">
        <v>3415</v>
      </c>
      <c r="D13" s="27">
        <v>1681</v>
      </c>
      <c r="E13" s="27">
        <v>1735</v>
      </c>
      <c r="F13" s="80">
        <f t="shared" si="0"/>
        <v>7.4733018207282909</v>
      </c>
      <c r="H13" s="40" t="s">
        <v>68</v>
      </c>
      <c r="I13" s="56">
        <v>6.0333508403361344</v>
      </c>
      <c r="L13" s="68" t="s">
        <v>21</v>
      </c>
      <c r="M13" s="86">
        <v>5.5803571428571432</v>
      </c>
    </row>
    <row r="14" spans="2:13" x14ac:dyDescent="0.3">
      <c r="B14" s="20" t="s">
        <v>46</v>
      </c>
      <c r="C14" s="27">
        <v>3116</v>
      </c>
      <c r="D14" s="27">
        <v>1537</v>
      </c>
      <c r="E14" s="27">
        <v>1578</v>
      </c>
      <c r="F14" s="80">
        <f t="shared" si="0"/>
        <v>6.8189775910364139</v>
      </c>
      <c r="H14" s="57" t="s">
        <v>75</v>
      </c>
      <c r="I14" s="56">
        <v>24.741771708683473</v>
      </c>
      <c r="L14" s="68" t="s">
        <v>22</v>
      </c>
      <c r="M14" s="86">
        <v>4.6502976190476195</v>
      </c>
    </row>
    <row r="15" spans="2:13" ht="15" thickBot="1" x14ac:dyDescent="0.35">
      <c r="B15" s="20" t="s">
        <v>47</v>
      </c>
      <c r="C15" s="27">
        <v>2866</v>
      </c>
      <c r="D15" s="27">
        <v>1431</v>
      </c>
      <c r="E15" s="27">
        <v>1435</v>
      </c>
      <c r="F15" s="80">
        <f t="shared" si="0"/>
        <v>6.2718837535014007</v>
      </c>
      <c r="H15" s="40" t="s">
        <v>77</v>
      </c>
      <c r="I15" s="56">
        <v>56.212797619047613</v>
      </c>
      <c r="L15" s="83" t="s">
        <v>30</v>
      </c>
      <c r="M15" s="84">
        <f>SUM(F18:F22)</f>
        <v>11.460521708683475</v>
      </c>
    </row>
    <row r="16" spans="2:13" ht="15" thickBot="1" x14ac:dyDescent="0.35">
      <c r="B16" s="20" t="s">
        <v>48</v>
      </c>
      <c r="C16" s="27">
        <v>2550</v>
      </c>
      <c r="D16" s="27">
        <v>1296</v>
      </c>
      <c r="E16" s="27">
        <v>1254</v>
      </c>
      <c r="F16" s="80">
        <f t="shared" si="0"/>
        <v>5.5803571428571432</v>
      </c>
      <c r="H16" s="36" t="s">
        <v>30</v>
      </c>
      <c r="I16" s="58">
        <v>11.460521708683473</v>
      </c>
    </row>
    <row r="17" spans="2:9" ht="15" thickBot="1" x14ac:dyDescent="0.35">
      <c r="B17" s="20" t="s">
        <v>49</v>
      </c>
      <c r="C17" s="27">
        <v>2125</v>
      </c>
      <c r="D17" s="27">
        <v>1086</v>
      </c>
      <c r="E17" s="27">
        <v>1039</v>
      </c>
      <c r="F17" s="80">
        <f t="shared" si="0"/>
        <v>4.6502976190476195</v>
      </c>
    </row>
    <row r="18" spans="2:9" x14ac:dyDescent="0.3">
      <c r="B18" s="20" t="s">
        <v>50</v>
      </c>
      <c r="C18" s="27">
        <v>1669</v>
      </c>
      <c r="D18" s="28">
        <v>838</v>
      </c>
      <c r="E18" s="28">
        <v>831</v>
      </c>
      <c r="F18" s="80">
        <f t="shared" si="0"/>
        <v>3.6523984593837535</v>
      </c>
      <c r="H18" s="61" t="s">
        <v>0</v>
      </c>
      <c r="I18" s="59">
        <v>2021</v>
      </c>
    </row>
    <row r="19" spans="2:9" x14ac:dyDescent="0.3">
      <c r="B19" s="20" t="s">
        <v>51</v>
      </c>
      <c r="C19" s="27">
        <v>1312</v>
      </c>
      <c r="D19" s="28">
        <v>643</v>
      </c>
      <c r="E19" s="28">
        <v>669</v>
      </c>
      <c r="F19" s="80">
        <f t="shared" si="0"/>
        <v>2.8711484593837535</v>
      </c>
      <c r="H19" s="40" t="s">
        <v>27</v>
      </c>
      <c r="I19" s="56">
        <v>7.5870973389355738</v>
      </c>
    </row>
    <row r="20" spans="2:9" x14ac:dyDescent="0.3">
      <c r="B20" s="20" t="s">
        <v>52</v>
      </c>
      <c r="C20" s="27">
        <v>1024</v>
      </c>
      <c r="D20" s="28">
        <v>498</v>
      </c>
      <c r="E20" s="28">
        <v>526</v>
      </c>
      <c r="F20" s="80">
        <f t="shared" si="0"/>
        <v>2.2408963585434174</v>
      </c>
      <c r="H20" s="40" t="s">
        <v>69</v>
      </c>
      <c r="I20" s="56">
        <v>16.056109943977592</v>
      </c>
    </row>
    <row r="21" spans="2:9" x14ac:dyDescent="0.3">
      <c r="B21" s="20" t="s">
        <v>53</v>
      </c>
      <c r="C21" s="28">
        <v>679</v>
      </c>
      <c r="D21" s="28">
        <v>326</v>
      </c>
      <c r="E21" s="28">
        <v>353</v>
      </c>
      <c r="F21" s="80">
        <f t="shared" si="0"/>
        <v>1.485906862745098</v>
      </c>
      <c r="H21" s="40" t="s">
        <v>80</v>
      </c>
      <c r="I21" s="56">
        <v>64.898459383753504</v>
      </c>
    </row>
    <row r="22" spans="2:9" ht="15" thickBot="1" x14ac:dyDescent="0.35">
      <c r="B22" s="20" t="s">
        <v>54</v>
      </c>
      <c r="C22" s="28">
        <v>553</v>
      </c>
      <c r="D22" s="28">
        <v>258</v>
      </c>
      <c r="E22" s="28">
        <v>294</v>
      </c>
      <c r="F22" s="80">
        <f t="shared" si="0"/>
        <v>1.210171568627451</v>
      </c>
      <c r="H22" s="36" t="s">
        <v>30</v>
      </c>
      <c r="I22" s="58">
        <v>11.460521708683473</v>
      </c>
    </row>
    <row r="23" spans="2:9" ht="15" x14ac:dyDescent="0.3">
      <c r="B23" s="21" t="s">
        <v>55</v>
      </c>
      <c r="C23" s="29">
        <v>45696</v>
      </c>
      <c r="D23" s="29">
        <v>23003</v>
      </c>
      <c r="E23" s="29">
        <v>22693</v>
      </c>
      <c r="F23" s="80">
        <f t="shared" si="0"/>
        <v>100</v>
      </c>
    </row>
  </sheetData>
  <mergeCells count="2">
    <mergeCell ref="B2:B3"/>
    <mergeCell ref="B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7505-D907-4619-98AD-996FA4A73673}">
  <dimension ref="B1:M24"/>
  <sheetViews>
    <sheetView workbookViewId="0">
      <selection activeCell="C23" sqref="C23"/>
    </sheetView>
  </sheetViews>
  <sheetFormatPr defaultRowHeight="14.4" x14ac:dyDescent="0.3"/>
  <cols>
    <col min="6" max="6" width="9.5546875" bestFit="1" customWidth="1"/>
  </cols>
  <sheetData>
    <row r="1" spans="2:13" x14ac:dyDescent="0.3">
      <c r="B1" s="242" t="s">
        <v>76</v>
      </c>
      <c r="C1" s="242"/>
      <c r="D1" s="242"/>
      <c r="E1" s="242"/>
    </row>
    <row r="2" spans="2:13" ht="15" x14ac:dyDescent="0.3">
      <c r="B2" s="249" t="s">
        <v>36</v>
      </c>
      <c r="C2" s="22"/>
      <c r="D2" s="30">
        <v>2026</v>
      </c>
      <c r="E2" s="22"/>
    </row>
    <row r="3" spans="2:13" ht="15" x14ac:dyDescent="0.3">
      <c r="B3" s="250"/>
      <c r="C3" s="24" t="s">
        <v>56</v>
      </c>
      <c r="D3" s="25" t="s">
        <v>57</v>
      </c>
      <c r="E3" s="24" t="s">
        <v>58</v>
      </c>
    </row>
    <row r="4" spans="2:13" ht="15" x14ac:dyDescent="0.3">
      <c r="B4" s="18">
        <v>1</v>
      </c>
      <c r="C4" s="18">
        <v>2</v>
      </c>
      <c r="D4" s="18">
        <v>3</v>
      </c>
      <c r="E4" s="18">
        <v>4</v>
      </c>
    </row>
    <row r="5" spans="2:13" ht="15" thickBot="1" x14ac:dyDescent="0.35">
      <c r="B5" s="19" t="s">
        <v>37</v>
      </c>
      <c r="C5" s="26">
        <v>679</v>
      </c>
      <c r="D5" s="26">
        <v>350</v>
      </c>
      <c r="E5" s="26">
        <v>329</v>
      </c>
      <c r="F5" s="80">
        <f>(C5/47147)*100</f>
        <v>1.4401764693405732</v>
      </c>
    </row>
    <row r="6" spans="2:13" x14ac:dyDescent="0.3">
      <c r="B6" s="20" t="s">
        <v>38</v>
      </c>
      <c r="C6" s="27">
        <v>3314</v>
      </c>
      <c r="D6" s="27">
        <v>1706</v>
      </c>
      <c r="E6" s="27">
        <v>1607</v>
      </c>
      <c r="F6" s="80">
        <f t="shared" ref="F6:F23" si="0">(C6/47147)*100</f>
        <v>7.0290792627314564</v>
      </c>
      <c r="H6" s="54" t="s">
        <v>37</v>
      </c>
      <c r="I6" s="90">
        <v>1.4401764693405732</v>
      </c>
      <c r="L6" s="32" t="s">
        <v>81</v>
      </c>
      <c r="M6" s="81">
        <f>SUM(F6:F8)</f>
        <v>21.761723969711753</v>
      </c>
    </row>
    <row r="7" spans="2:13" x14ac:dyDescent="0.3">
      <c r="B7" s="20" t="s">
        <v>39</v>
      </c>
      <c r="C7" s="27">
        <v>3418</v>
      </c>
      <c r="D7" s="27">
        <v>1758</v>
      </c>
      <c r="E7" s="27">
        <v>1659</v>
      </c>
      <c r="F7" s="80">
        <f t="shared" si="0"/>
        <v>7.2496659384478326</v>
      </c>
      <c r="H7" s="40" t="s">
        <v>68</v>
      </c>
      <c r="I7" s="86">
        <v>5.5889027933908837</v>
      </c>
      <c r="L7" s="68" t="s">
        <v>14</v>
      </c>
      <c r="M7" s="86">
        <v>7.9262731456932576</v>
      </c>
    </row>
    <row r="8" spans="2:13" x14ac:dyDescent="0.3">
      <c r="B8" s="20" t="s">
        <v>40</v>
      </c>
      <c r="C8" s="27">
        <v>3528</v>
      </c>
      <c r="D8" s="27">
        <v>1816</v>
      </c>
      <c r="E8" s="27">
        <v>1712</v>
      </c>
      <c r="F8" s="80">
        <f t="shared" si="0"/>
        <v>7.4829787685324627</v>
      </c>
      <c r="H8" s="57" t="s">
        <v>75</v>
      </c>
      <c r="I8" s="86">
        <v>22.65891785267355</v>
      </c>
      <c r="L8" s="68" t="s">
        <v>15</v>
      </c>
      <c r="M8" s="86">
        <v>8.2720003393641157</v>
      </c>
    </row>
    <row r="9" spans="2:13" x14ac:dyDescent="0.3">
      <c r="B9" s="20" t="s">
        <v>41</v>
      </c>
      <c r="C9" s="27">
        <v>3737</v>
      </c>
      <c r="D9" s="27">
        <v>1919</v>
      </c>
      <c r="E9" s="27">
        <v>1817</v>
      </c>
      <c r="F9" s="80">
        <f t="shared" si="0"/>
        <v>7.9262731456932576</v>
      </c>
      <c r="H9" s="40" t="s">
        <v>77</v>
      </c>
      <c r="I9" s="86">
        <v>57.265573631408152</v>
      </c>
      <c r="L9" s="68" t="s">
        <v>16</v>
      </c>
      <c r="M9" s="86">
        <v>8.5074341951767867</v>
      </c>
    </row>
    <row r="10" spans="2:13" ht="15" thickBot="1" x14ac:dyDescent="0.35">
      <c r="B10" s="20" t="s">
        <v>42</v>
      </c>
      <c r="C10" s="27">
        <v>3900</v>
      </c>
      <c r="D10" s="27">
        <v>1994</v>
      </c>
      <c r="E10" s="27">
        <v>1905</v>
      </c>
      <c r="F10" s="80">
        <f t="shared" si="0"/>
        <v>8.2720003393641157</v>
      </c>
      <c r="H10" s="36" t="s">
        <v>30</v>
      </c>
      <c r="I10" s="84">
        <v>13.048550278914883</v>
      </c>
      <c r="L10" s="68" t="s">
        <v>17</v>
      </c>
      <c r="M10" s="86">
        <v>8.1214075126731284</v>
      </c>
    </row>
    <row r="11" spans="2:13" x14ac:dyDescent="0.3">
      <c r="B11" s="20" t="s">
        <v>43</v>
      </c>
      <c r="C11" s="27">
        <v>4011</v>
      </c>
      <c r="D11" s="27">
        <v>2032</v>
      </c>
      <c r="E11" s="27">
        <v>1979</v>
      </c>
      <c r="F11" s="80">
        <f t="shared" si="0"/>
        <v>8.5074341951767867</v>
      </c>
      <c r="L11" s="68" t="s">
        <v>18</v>
      </c>
      <c r="M11" s="86">
        <v>7.6759921097842927</v>
      </c>
    </row>
    <row r="12" spans="2:13" ht="15" thickBot="1" x14ac:dyDescent="0.35">
      <c r="B12" s="20" t="s">
        <v>44</v>
      </c>
      <c r="C12" s="27">
        <v>3829</v>
      </c>
      <c r="D12" s="27">
        <v>1914</v>
      </c>
      <c r="E12" s="27">
        <v>1915</v>
      </c>
      <c r="F12" s="80">
        <f t="shared" si="0"/>
        <v>8.1214075126731284</v>
      </c>
      <c r="I12" s="27">
        <v>2026</v>
      </c>
      <c r="L12" s="68" t="s">
        <v>19</v>
      </c>
      <c r="M12" s="86">
        <v>7.1393726005896454</v>
      </c>
    </row>
    <row r="13" spans="2:13" x14ac:dyDescent="0.3">
      <c r="B13" s="20" t="s">
        <v>45</v>
      </c>
      <c r="C13" s="27">
        <v>3619</v>
      </c>
      <c r="D13" s="27">
        <v>1782</v>
      </c>
      <c r="E13" s="27">
        <v>1837</v>
      </c>
      <c r="F13" s="80">
        <f t="shared" si="0"/>
        <v>7.6759921097842927</v>
      </c>
      <c r="H13" s="54" t="s">
        <v>37</v>
      </c>
      <c r="I13" s="55">
        <v>1.4401764693405732</v>
      </c>
      <c r="L13" s="68" t="s">
        <v>20</v>
      </c>
      <c r="M13" s="86">
        <v>6.4733705219844309</v>
      </c>
    </row>
    <row r="14" spans="2:13" x14ac:dyDescent="0.3">
      <c r="B14" s="20" t="s">
        <v>46</v>
      </c>
      <c r="C14" s="27">
        <v>3366</v>
      </c>
      <c r="D14" s="27">
        <v>1650</v>
      </c>
      <c r="E14" s="27">
        <v>1716</v>
      </c>
      <c r="F14" s="80">
        <f t="shared" si="0"/>
        <v>7.1393726005896454</v>
      </c>
      <c r="H14" s="40" t="s">
        <v>68</v>
      </c>
      <c r="I14" s="56">
        <v>5.5889027933908837</v>
      </c>
      <c r="L14" s="68" t="s">
        <v>21</v>
      </c>
      <c r="M14" s="86">
        <v>5.8985725496850279</v>
      </c>
    </row>
    <row r="15" spans="2:13" x14ac:dyDescent="0.3">
      <c r="B15" s="20" t="s">
        <v>47</v>
      </c>
      <c r="C15" s="27">
        <v>3052</v>
      </c>
      <c r="D15" s="27">
        <v>1501</v>
      </c>
      <c r="E15" s="27">
        <v>1551</v>
      </c>
      <c r="F15" s="80">
        <f t="shared" si="0"/>
        <v>6.4733705219844309</v>
      </c>
      <c r="H15" s="57" t="s">
        <v>75</v>
      </c>
      <c r="I15" s="56">
        <v>22.65891785267355</v>
      </c>
      <c r="L15" s="68" t="s">
        <v>22</v>
      </c>
      <c r="M15" s="86">
        <v>5.1774238021507202</v>
      </c>
    </row>
    <row r="16" spans="2:13" ht="15" thickBot="1" x14ac:dyDescent="0.35">
      <c r="B16" s="20" t="s">
        <v>48</v>
      </c>
      <c r="C16" s="27">
        <v>2781</v>
      </c>
      <c r="D16" s="27">
        <v>1383</v>
      </c>
      <c r="E16" s="27">
        <v>1398</v>
      </c>
      <c r="F16" s="80">
        <f t="shared" si="0"/>
        <v>5.8985725496850279</v>
      </c>
      <c r="H16" s="40" t="s">
        <v>77</v>
      </c>
      <c r="I16" s="56">
        <v>57.265573631408152</v>
      </c>
      <c r="L16" s="83" t="s">
        <v>30</v>
      </c>
      <c r="M16" s="84">
        <f>SUM(F18:F22)</f>
        <v>13.048550278914885</v>
      </c>
    </row>
    <row r="17" spans="2:13" ht="15" thickBot="1" x14ac:dyDescent="0.35">
      <c r="B17" s="20" t="s">
        <v>49</v>
      </c>
      <c r="C17" s="27">
        <v>2441</v>
      </c>
      <c r="D17" s="27">
        <v>1231</v>
      </c>
      <c r="E17" s="27">
        <v>1211</v>
      </c>
      <c r="F17" s="80">
        <f t="shared" si="0"/>
        <v>5.1774238021507202</v>
      </c>
      <c r="H17" s="36" t="s">
        <v>30</v>
      </c>
      <c r="I17" s="58">
        <v>13.048550278914883</v>
      </c>
    </row>
    <row r="18" spans="2:13" x14ac:dyDescent="0.3">
      <c r="B18" s="20" t="s">
        <v>50</v>
      </c>
      <c r="C18" s="27">
        <v>1994</v>
      </c>
      <c r="D18" s="27">
        <v>1005</v>
      </c>
      <c r="E18" s="28">
        <v>989</v>
      </c>
      <c r="F18" s="80">
        <f t="shared" si="0"/>
        <v>4.2293253017159094</v>
      </c>
    </row>
    <row r="19" spans="2:13" ht="15" thickBot="1" x14ac:dyDescent="0.35">
      <c r="B19" s="20" t="s">
        <v>51</v>
      </c>
      <c r="C19" s="27">
        <v>1512</v>
      </c>
      <c r="D19" s="28">
        <v>749</v>
      </c>
      <c r="E19" s="28">
        <v>763</v>
      </c>
      <c r="F19" s="80">
        <f t="shared" si="0"/>
        <v>3.2069909007996262</v>
      </c>
    </row>
    <row r="20" spans="2:13" x14ac:dyDescent="0.3">
      <c r="B20" s="20" t="s">
        <v>52</v>
      </c>
      <c r="C20" s="27">
        <v>1131</v>
      </c>
      <c r="D20" s="28">
        <v>547</v>
      </c>
      <c r="E20" s="28">
        <v>584</v>
      </c>
      <c r="F20" s="80">
        <f t="shared" si="0"/>
        <v>2.398880098415594</v>
      </c>
      <c r="H20" s="61" t="s">
        <v>0</v>
      </c>
      <c r="I20" s="55">
        <v>2026</v>
      </c>
      <c r="L20" s="61"/>
      <c r="M20" s="59"/>
    </row>
    <row r="21" spans="2:13" x14ac:dyDescent="0.3">
      <c r="B21" s="20" t="s">
        <v>53</v>
      </c>
      <c r="C21" s="28">
        <v>808</v>
      </c>
      <c r="D21" s="28">
        <v>383</v>
      </c>
      <c r="E21" s="28">
        <v>425</v>
      </c>
      <c r="F21" s="80">
        <f t="shared" si="0"/>
        <v>1.7137887882580016</v>
      </c>
      <c r="H21" s="40" t="s">
        <v>27</v>
      </c>
      <c r="I21" s="91">
        <v>7.0290792627314564</v>
      </c>
      <c r="J21" s="53"/>
      <c r="L21" s="40"/>
      <c r="M21" s="56"/>
    </row>
    <row r="22" spans="2:13" x14ac:dyDescent="0.3">
      <c r="B22" s="20" t="s">
        <v>54</v>
      </c>
      <c r="C22" s="28">
        <v>707</v>
      </c>
      <c r="D22" s="28">
        <v>321</v>
      </c>
      <c r="E22" s="28">
        <v>386</v>
      </c>
      <c r="F22" s="80">
        <f t="shared" si="0"/>
        <v>1.4995651897257514</v>
      </c>
      <c r="H22" s="40" t="s">
        <v>69</v>
      </c>
      <c r="I22" s="92">
        <v>14.732644706980297</v>
      </c>
      <c r="J22" s="53"/>
      <c r="L22" s="40"/>
      <c r="M22" s="56"/>
    </row>
    <row r="23" spans="2:13" ht="15" x14ac:dyDescent="0.3">
      <c r="B23" s="21" t="s">
        <v>55</v>
      </c>
      <c r="C23" s="29">
        <v>47147</v>
      </c>
      <c r="D23" s="29">
        <v>23692</v>
      </c>
      <c r="E23" s="29">
        <v>23455</v>
      </c>
      <c r="F23" s="80">
        <f t="shared" si="0"/>
        <v>100</v>
      </c>
      <c r="H23" s="40" t="s">
        <v>80</v>
      </c>
      <c r="I23" s="92">
        <v>65.191846777101404</v>
      </c>
      <c r="J23" s="53"/>
      <c r="L23" s="40"/>
      <c r="M23" s="56"/>
    </row>
    <row r="24" spans="2:13" ht="15" thickBot="1" x14ac:dyDescent="0.35">
      <c r="H24" s="36" t="s">
        <v>30</v>
      </c>
      <c r="I24" s="93">
        <v>13.048550278914883</v>
      </c>
      <c r="J24" s="53"/>
      <c r="L24" s="36"/>
      <c r="M24" s="58"/>
    </row>
  </sheetData>
  <mergeCells count="2">
    <mergeCell ref="B2:B3"/>
    <mergeCell ref="B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60B1-7791-4F29-A3DF-41AA2CB51064}">
  <dimension ref="B1:W23"/>
  <sheetViews>
    <sheetView workbookViewId="0">
      <selection activeCell="L6" sqref="L6:L7"/>
    </sheetView>
  </sheetViews>
  <sheetFormatPr defaultRowHeight="14.4" x14ac:dyDescent="0.3"/>
  <cols>
    <col min="6" max="6" width="9.5546875" bestFit="1" customWidth="1"/>
  </cols>
  <sheetData>
    <row r="1" spans="2:23" x14ac:dyDescent="0.3">
      <c r="B1" s="242" t="s">
        <v>76</v>
      </c>
      <c r="C1" s="242"/>
      <c r="D1" s="242"/>
      <c r="E1" s="242"/>
    </row>
    <row r="2" spans="2:23" ht="15" x14ac:dyDescent="0.3">
      <c r="B2" s="249" t="s">
        <v>36</v>
      </c>
      <c r="C2" s="22"/>
      <c r="D2" s="23">
        <v>2031</v>
      </c>
      <c r="E2" s="22"/>
    </row>
    <row r="3" spans="2:23" ht="15" x14ac:dyDescent="0.3">
      <c r="B3" s="250"/>
      <c r="C3" s="24" t="s">
        <v>56</v>
      </c>
      <c r="D3" s="25" t="s">
        <v>57</v>
      </c>
      <c r="E3" s="24" t="s">
        <v>58</v>
      </c>
    </row>
    <row r="4" spans="2:23" ht="15.6" thickBot="1" x14ac:dyDescent="0.35">
      <c r="B4" s="18">
        <v>1</v>
      </c>
      <c r="C4" s="18">
        <v>2</v>
      </c>
      <c r="D4" s="18">
        <v>3</v>
      </c>
      <c r="E4" s="18">
        <v>4</v>
      </c>
    </row>
    <row r="5" spans="2:23" x14ac:dyDescent="0.3">
      <c r="B5" s="19" t="s">
        <v>37</v>
      </c>
      <c r="C5" s="26">
        <v>640</v>
      </c>
      <c r="D5" s="26">
        <v>329</v>
      </c>
      <c r="E5" s="26">
        <v>311</v>
      </c>
      <c r="F5" s="80">
        <f>SUM(C5/48259)*100</f>
        <v>1.326177500569842</v>
      </c>
      <c r="H5" s="54" t="s">
        <v>37</v>
      </c>
      <c r="I5" s="90">
        <v>1.326177500569842</v>
      </c>
      <c r="K5" s="32" t="s">
        <v>81</v>
      </c>
      <c r="L5" s="81">
        <f>SUM(F6:F8)</f>
        <v>20.276010692306098</v>
      </c>
      <c r="P5" s="19"/>
      <c r="Q5" s="26" t="s">
        <v>26</v>
      </c>
      <c r="R5" s="26" t="s">
        <v>11</v>
      </c>
      <c r="V5" s="178"/>
      <c r="W5" s="178"/>
    </row>
    <row r="6" spans="2:23" x14ac:dyDescent="0.3">
      <c r="B6" s="20" t="s">
        <v>38</v>
      </c>
      <c r="C6" s="27">
        <v>3125</v>
      </c>
      <c r="D6" s="27">
        <v>1607</v>
      </c>
      <c r="E6" s="27">
        <v>1518</v>
      </c>
      <c r="F6" s="80">
        <f t="shared" ref="F6:F23" si="0">SUM(C6/48259)*100</f>
        <v>6.475476077001181</v>
      </c>
      <c r="H6" s="40" t="s">
        <v>68</v>
      </c>
      <c r="I6" s="86">
        <v>5.1492985764313399</v>
      </c>
      <c r="K6" s="68" t="s">
        <v>14</v>
      </c>
      <c r="L6" s="86">
        <v>7.2235230734163576</v>
      </c>
      <c r="P6" s="20" t="s">
        <v>38</v>
      </c>
      <c r="Q6" s="27">
        <v>1607</v>
      </c>
      <c r="R6" s="27">
        <v>1518</v>
      </c>
    </row>
    <row r="7" spans="2:23" x14ac:dyDescent="0.3">
      <c r="B7" s="20" t="s">
        <v>39</v>
      </c>
      <c r="C7" s="27">
        <v>3269</v>
      </c>
      <c r="D7" s="27">
        <v>1682</v>
      </c>
      <c r="E7" s="27">
        <v>1587</v>
      </c>
      <c r="F7" s="80">
        <f t="shared" si="0"/>
        <v>6.7738660146293954</v>
      </c>
      <c r="H7" s="57" t="s">
        <v>75</v>
      </c>
      <c r="I7" s="86">
        <v>21.024057688721275</v>
      </c>
      <c r="K7" s="68" t="s">
        <v>15</v>
      </c>
      <c r="L7" s="86">
        <v>7.602726952485547</v>
      </c>
      <c r="P7" s="20" t="s">
        <v>69</v>
      </c>
      <c r="Q7" s="27">
        <v>3425</v>
      </c>
      <c r="R7" s="27">
        <v>3235</v>
      </c>
    </row>
    <row r="8" spans="2:23" x14ac:dyDescent="0.3">
      <c r="B8" s="20" t="s">
        <v>40</v>
      </c>
      <c r="C8" s="27">
        <v>3391</v>
      </c>
      <c r="D8" s="27">
        <v>1743</v>
      </c>
      <c r="E8" s="27">
        <v>1648</v>
      </c>
      <c r="F8" s="80">
        <f t="shared" si="0"/>
        <v>7.0266686006755217</v>
      </c>
      <c r="H8" s="40" t="s">
        <v>77</v>
      </c>
      <c r="I8" s="86">
        <v>57.537454153629376</v>
      </c>
      <c r="K8" s="68" t="s">
        <v>16</v>
      </c>
      <c r="L8" s="86">
        <v>7.9715700698315333</v>
      </c>
      <c r="P8" s="20" t="s">
        <v>41</v>
      </c>
      <c r="Q8" s="27">
        <v>1794</v>
      </c>
      <c r="R8" s="27">
        <v>1691</v>
      </c>
    </row>
    <row r="9" spans="2:23" ht="15" thickBot="1" x14ac:dyDescent="0.35">
      <c r="B9" s="20" t="s">
        <v>41</v>
      </c>
      <c r="C9" s="27">
        <v>3486</v>
      </c>
      <c r="D9" s="27">
        <v>1794</v>
      </c>
      <c r="E9" s="27">
        <v>1691</v>
      </c>
      <c r="F9" s="80">
        <f t="shared" si="0"/>
        <v>7.2235230734163576</v>
      </c>
      <c r="H9" s="36" t="s">
        <v>30</v>
      </c>
      <c r="I9" s="84">
        <v>14.965084232992808</v>
      </c>
      <c r="K9" s="68" t="s">
        <v>17</v>
      </c>
      <c r="L9" s="86">
        <v>8.209867589465178</v>
      </c>
      <c r="P9" s="20" t="s">
        <v>42</v>
      </c>
      <c r="Q9" s="27">
        <v>1888</v>
      </c>
      <c r="R9" s="27">
        <v>1781</v>
      </c>
    </row>
    <row r="10" spans="2:23" x14ac:dyDescent="0.3">
      <c r="B10" s="20" t="s">
        <v>42</v>
      </c>
      <c r="C10" s="27">
        <v>3669</v>
      </c>
      <c r="D10" s="27">
        <v>1888</v>
      </c>
      <c r="E10" s="27">
        <v>1781</v>
      </c>
      <c r="F10" s="80">
        <f t="shared" si="0"/>
        <v>7.602726952485547</v>
      </c>
      <c r="K10" s="68" t="s">
        <v>18</v>
      </c>
      <c r="L10" s="86">
        <v>7.8348080150852688</v>
      </c>
      <c r="P10" s="20" t="s">
        <v>43</v>
      </c>
      <c r="Q10" s="27">
        <v>1963</v>
      </c>
      <c r="R10" s="27">
        <v>1884</v>
      </c>
    </row>
    <row r="11" spans="2:23" ht="15" thickBot="1" x14ac:dyDescent="0.35">
      <c r="B11" s="20" t="s">
        <v>43</v>
      </c>
      <c r="C11" s="27">
        <v>3847</v>
      </c>
      <c r="D11" s="27">
        <v>1963</v>
      </c>
      <c r="E11" s="27">
        <v>1884</v>
      </c>
      <c r="F11" s="80">
        <f t="shared" si="0"/>
        <v>7.9715700698315333</v>
      </c>
      <c r="K11" s="68" t="s">
        <v>19</v>
      </c>
      <c r="L11" s="86">
        <v>7.397583870366149</v>
      </c>
      <c r="P11" s="20" t="s">
        <v>44</v>
      </c>
      <c r="Q11" s="27">
        <v>2001</v>
      </c>
      <c r="R11" s="27">
        <v>1960</v>
      </c>
    </row>
    <row r="12" spans="2:23" x14ac:dyDescent="0.3">
      <c r="B12" s="20" t="s">
        <v>44</v>
      </c>
      <c r="C12" s="27">
        <v>3962</v>
      </c>
      <c r="D12" s="27">
        <v>2001</v>
      </c>
      <c r="E12" s="27">
        <v>1960</v>
      </c>
      <c r="F12" s="80">
        <f t="shared" si="0"/>
        <v>8.209867589465178</v>
      </c>
      <c r="H12" s="32"/>
      <c r="I12" s="59">
        <v>2031</v>
      </c>
      <c r="K12" s="68" t="s">
        <v>20</v>
      </c>
      <c r="L12" s="86">
        <v>6.840174889657888</v>
      </c>
      <c r="P12" s="20" t="s">
        <v>45</v>
      </c>
      <c r="Q12" s="27">
        <v>1883</v>
      </c>
      <c r="R12" s="27">
        <v>1898</v>
      </c>
    </row>
    <row r="13" spans="2:23" x14ac:dyDescent="0.3">
      <c r="B13" s="20" t="s">
        <v>45</v>
      </c>
      <c r="C13" s="27">
        <v>3781</v>
      </c>
      <c r="D13" s="27">
        <v>1883</v>
      </c>
      <c r="E13" s="27">
        <v>1898</v>
      </c>
      <c r="F13" s="80">
        <f t="shared" si="0"/>
        <v>7.8348080150852688</v>
      </c>
      <c r="H13" s="74" t="s">
        <v>37</v>
      </c>
      <c r="I13" s="56">
        <v>1.326177500569842</v>
      </c>
      <c r="K13" s="68" t="s">
        <v>21</v>
      </c>
      <c r="L13" s="86">
        <v>6.1480760065480009</v>
      </c>
      <c r="P13" s="20" t="s">
        <v>46</v>
      </c>
      <c r="Q13" s="27">
        <v>1751</v>
      </c>
      <c r="R13" s="27">
        <v>1819</v>
      </c>
    </row>
    <row r="14" spans="2:23" ht="15" thickBot="1" x14ac:dyDescent="0.35">
      <c r="B14" s="20" t="s">
        <v>46</v>
      </c>
      <c r="C14" s="27">
        <v>3570</v>
      </c>
      <c r="D14" s="27">
        <v>1751</v>
      </c>
      <c r="E14" s="27">
        <v>1819</v>
      </c>
      <c r="F14" s="80">
        <f t="shared" si="0"/>
        <v>7.397583870366149</v>
      </c>
      <c r="H14" s="40" t="s">
        <v>68</v>
      </c>
      <c r="I14" s="56">
        <v>5.1492985764313399</v>
      </c>
      <c r="K14" s="70" t="s">
        <v>22</v>
      </c>
      <c r="L14" s="84">
        <v>5.5326467601898095</v>
      </c>
      <c r="P14" s="20" t="s">
        <v>47</v>
      </c>
      <c r="Q14" s="27">
        <v>1613</v>
      </c>
      <c r="R14" s="27">
        <v>1688</v>
      </c>
    </row>
    <row r="15" spans="2:23" ht="15" thickBot="1" x14ac:dyDescent="0.35">
      <c r="B15" s="20" t="s">
        <v>47</v>
      </c>
      <c r="C15" s="27">
        <v>3301</v>
      </c>
      <c r="D15" s="27">
        <v>1613</v>
      </c>
      <c r="E15" s="27">
        <v>1688</v>
      </c>
      <c r="F15" s="80">
        <f t="shared" si="0"/>
        <v>6.840174889657888</v>
      </c>
      <c r="H15" s="57" t="s">
        <v>75</v>
      </c>
      <c r="I15" s="56">
        <v>21.024057688721275</v>
      </c>
      <c r="K15" s="83" t="s">
        <v>30</v>
      </c>
      <c r="L15" s="84">
        <f>SUM(F18:F22)</f>
        <v>14.965084232992808</v>
      </c>
      <c r="P15" s="20" t="s">
        <v>48</v>
      </c>
      <c r="Q15" s="27">
        <v>1454</v>
      </c>
      <c r="R15" s="27">
        <v>1513</v>
      </c>
    </row>
    <row r="16" spans="2:23" x14ac:dyDescent="0.3">
      <c r="B16" s="20" t="s">
        <v>48</v>
      </c>
      <c r="C16" s="27">
        <v>2967</v>
      </c>
      <c r="D16" s="27">
        <v>1454</v>
      </c>
      <c r="E16" s="27">
        <v>1513</v>
      </c>
      <c r="F16" s="80">
        <f t="shared" si="0"/>
        <v>6.1480760065480009</v>
      </c>
      <c r="H16" s="40" t="s">
        <v>77</v>
      </c>
      <c r="I16" s="56">
        <v>57.537454153629376</v>
      </c>
      <c r="P16" s="20" t="s">
        <v>49</v>
      </c>
      <c r="Q16" s="27">
        <v>1317</v>
      </c>
      <c r="R16" s="27">
        <v>1354</v>
      </c>
    </row>
    <row r="17" spans="2:18" ht="15" thickBot="1" x14ac:dyDescent="0.35">
      <c r="B17" s="20" t="s">
        <v>49</v>
      </c>
      <c r="C17" s="27">
        <v>2670</v>
      </c>
      <c r="D17" s="27">
        <v>1317</v>
      </c>
      <c r="E17" s="27">
        <v>1354</v>
      </c>
      <c r="F17" s="80">
        <f t="shared" si="0"/>
        <v>5.5326467601898095</v>
      </c>
      <c r="H17" s="36" t="s">
        <v>30</v>
      </c>
      <c r="I17" s="58">
        <v>14.965084232992808</v>
      </c>
      <c r="P17" s="20" t="s">
        <v>50</v>
      </c>
      <c r="Q17" s="27">
        <v>1144</v>
      </c>
      <c r="R17" s="27">
        <v>1157</v>
      </c>
    </row>
    <row r="18" spans="2:18" ht="15" thickBot="1" x14ac:dyDescent="0.35">
      <c r="B18" s="20" t="s">
        <v>50</v>
      </c>
      <c r="C18" s="27">
        <v>2301</v>
      </c>
      <c r="D18" s="27">
        <v>1144</v>
      </c>
      <c r="E18" s="27">
        <v>1157</v>
      </c>
      <c r="F18" s="80">
        <f t="shared" si="0"/>
        <v>4.7680225450175096</v>
      </c>
      <c r="P18" s="20" t="s">
        <v>51</v>
      </c>
      <c r="Q18" s="28">
        <v>904</v>
      </c>
      <c r="R18" s="28">
        <v>914</v>
      </c>
    </row>
    <row r="19" spans="2:18" x14ac:dyDescent="0.3">
      <c r="B19" s="20" t="s">
        <v>51</v>
      </c>
      <c r="C19" s="27">
        <v>1819</v>
      </c>
      <c r="D19" s="28">
        <v>904</v>
      </c>
      <c r="E19" s="28">
        <v>914</v>
      </c>
      <c r="F19" s="80">
        <f t="shared" si="0"/>
        <v>3.7692451149008472</v>
      </c>
      <c r="H19" s="61" t="s">
        <v>0</v>
      </c>
      <c r="I19" s="59">
        <v>2031</v>
      </c>
      <c r="P19" s="20" t="s">
        <v>52</v>
      </c>
      <c r="Q19" s="28">
        <v>643</v>
      </c>
      <c r="R19" s="28">
        <v>673</v>
      </c>
    </row>
    <row r="20" spans="2:18" x14ac:dyDescent="0.3">
      <c r="B20" s="20" t="s">
        <v>52</v>
      </c>
      <c r="C20" s="27">
        <v>1317</v>
      </c>
      <c r="D20" s="28">
        <v>643</v>
      </c>
      <c r="E20" s="28">
        <v>673</v>
      </c>
      <c r="F20" s="80">
        <f t="shared" si="0"/>
        <v>2.7290246378913778</v>
      </c>
      <c r="H20" s="40" t="s">
        <v>27</v>
      </c>
      <c r="I20" s="56">
        <v>6.475476077001181</v>
      </c>
      <c r="P20" s="20" t="s">
        <v>53</v>
      </c>
      <c r="Q20" s="28">
        <v>427</v>
      </c>
      <c r="R20" s="28">
        <v>480</v>
      </c>
    </row>
    <row r="21" spans="2:18" x14ac:dyDescent="0.3">
      <c r="B21" s="20" t="s">
        <v>53</v>
      </c>
      <c r="C21" s="28">
        <v>906</v>
      </c>
      <c r="D21" s="28">
        <v>427</v>
      </c>
      <c r="E21" s="28">
        <v>480</v>
      </c>
      <c r="F21" s="80">
        <f t="shared" si="0"/>
        <v>1.8773700242441824</v>
      </c>
      <c r="H21" s="40" t="s">
        <v>69</v>
      </c>
      <c r="I21" s="56">
        <v>13.800534615304919</v>
      </c>
      <c r="P21" s="20" t="s">
        <v>54</v>
      </c>
      <c r="Q21" s="28">
        <v>390</v>
      </c>
      <c r="R21" s="28">
        <v>490</v>
      </c>
    </row>
    <row r="22" spans="2:18" ht="15" x14ac:dyDescent="0.3">
      <c r="B22" s="20" t="s">
        <v>54</v>
      </c>
      <c r="C22" s="28">
        <v>879</v>
      </c>
      <c r="D22" s="28">
        <v>390</v>
      </c>
      <c r="E22" s="28">
        <v>490</v>
      </c>
      <c r="F22" s="80">
        <f t="shared" si="0"/>
        <v>1.8214219109388923</v>
      </c>
      <c r="H22" s="40" t="s">
        <v>80</v>
      </c>
      <c r="I22" s="56">
        <v>64.760977227045728</v>
      </c>
      <c r="P22" s="21" t="s">
        <v>55</v>
      </c>
      <c r="Q22" s="29">
        <v>24204</v>
      </c>
      <c r="R22" s="29">
        <v>24055</v>
      </c>
    </row>
    <row r="23" spans="2:18" ht="15.6" thickBot="1" x14ac:dyDescent="0.35">
      <c r="B23" s="21" t="s">
        <v>55</v>
      </c>
      <c r="C23" s="29">
        <v>48259</v>
      </c>
      <c r="D23" s="29">
        <v>24204</v>
      </c>
      <c r="E23" s="29">
        <v>24055</v>
      </c>
      <c r="F23" s="80">
        <f t="shared" si="0"/>
        <v>100</v>
      </c>
      <c r="H23" s="36" t="s">
        <v>30</v>
      </c>
      <c r="I23" s="58">
        <v>14.965084232992808</v>
      </c>
    </row>
  </sheetData>
  <mergeCells count="2">
    <mergeCell ref="B2:B3"/>
    <mergeCell ref="B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B0F24-687B-4143-82D0-6B9621DF910E}">
  <dimension ref="B1:V27"/>
  <sheetViews>
    <sheetView zoomScale="97" workbookViewId="0">
      <selection activeCell="C17" sqref="C17"/>
    </sheetView>
  </sheetViews>
  <sheetFormatPr defaultRowHeight="14.4" x14ac:dyDescent="0.3"/>
  <cols>
    <col min="7" max="7" width="11.5546875" bestFit="1" customWidth="1"/>
    <col min="19" max="19" width="16.33203125" customWidth="1"/>
    <col min="20" max="20" width="15.109375" customWidth="1"/>
    <col min="22" max="22" width="11.5546875" customWidth="1"/>
  </cols>
  <sheetData>
    <row r="1" spans="2:22" x14ac:dyDescent="0.3">
      <c r="B1" s="242" t="s">
        <v>76</v>
      </c>
      <c r="C1" s="242"/>
      <c r="D1" s="242"/>
      <c r="E1" s="242"/>
      <c r="F1" s="50"/>
    </row>
    <row r="2" spans="2:22" ht="15" x14ac:dyDescent="0.3">
      <c r="B2" s="249" t="s">
        <v>36</v>
      </c>
      <c r="C2" s="22"/>
      <c r="D2" s="23">
        <v>2036</v>
      </c>
      <c r="E2" s="22"/>
      <c r="F2" s="22"/>
      <c r="P2">
        <v>2011</v>
      </c>
    </row>
    <row r="3" spans="2:22" ht="30" x14ac:dyDescent="0.3">
      <c r="B3" s="250"/>
      <c r="C3" s="24" t="s">
        <v>56</v>
      </c>
      <c r="D3" s="25" t="s">
        <v>57</v>
      </c>
      <c r="E3" s="24" t="s">
        <v>58</v>
      </c>
      <c r="F3" s="181" t="s">
        <v>101</v>
      </c>
      <c r="P3" t="s">
        <v>81</v>
      </c>
      <c r="Q3" t="s">
        <v>89</v>
      </c>
      <c r="R3" t="s">
        <v>90</v>
      </c>
      <c r="S3" t="s">
        <v>91</v>
      </c>
      <c r="T3" t="s">
        <v>92</v>
      </c>
      <c r="U3" t="s">
        <v>97</v>
      </c>
      <c r="V3" t="s">
        <v>96</v>
      </c>
    </row>
    <row r="4" spans="2:22" ht="15.6" thickBot="1" x14ac:dyDescent="0.35">
      <c r="B4" s="18">
        <v>1</v>
      </c>
      <c r="C4" s="18">
        <v>2</v>
      </c>
      <c r="D4" s="18">
        <v>3</v>
      </c>
      <c r="E4" s="18">
        <v>4</v>
      </c>
      <c r="F4" s="182"/>
      <c r="P4">
        <v>12076422</v>
      </c>
      <c r="Q4">
        <v>2510387</v>
      </c>
      <c r="R4">
        <v>27268238</v>
      </c>
      <c r="S4">
        <v>44.287504018411454</v>
      </c>
      <c r="T4">
        <v>9.2062677463795062</v>
      </c>
      <c r="U4">
        <v>14586809</v>
      </c>
      <c r="V4">
        <v>53.493771764790964</v>
      </c>
    </row>
    <row r="5" spans="2:22" ht="15" thickBot="1" x14ac:dyDescent="0.35">
      <c r="B5" s="19" t="s">
        <v>37</v>
      </c>
      <c r="C5" s="26">
        <v>601</v>
      </c>
      <c r="D5" s="26">
        <v>309</v>
      </c>
      <c r="E5" s="26">
        <v>292</v>
      </c>
      <c r="F5" s="28">
        <f>(E5/D5)*1000</f>
        <v>944.98381877022655</v>
      </c>
      <c r="G5" s="80">
        <f>(C5/49025)*100</f>
        <v>1.2259051504334524</v>
      </c>
      <c r="J5" s="54" t="s">
        <v>37</v>
      </c>
      <c r="K5" s="95">
        <v>1.2259051504334524</v>
      </c>
      <c r="P5">
        <v>2036</v>
      </c>
    </row>
    <row r="6" spans="2:22" x14ac:dyDescent="0.3">
      <c r="B6" s="20" t="s">
        <v>38</v>
      </c>
      <c r="C6" s="27">
        <v>2932</v>
      </c>
      <c r="D6" s="27">
        <v>1509</v>
      </c>
      <c r="E6" s="27">
        <v>1424</v>
      </c>
      <c r="F6" s="28">
        <f t="shared" ref="F6:F23" si="0">(E6/D6)*1000</f>
        <v>943.6713055003313</v>
      </c>
      <c r="G6" s="80">
        <f t="shared" ref="G6:G23" si="1">(C6/49025)*100</f>
        <v>5.9806221315655277</v>
      </c>
      <c r="J6" s="40" t="s">
        <v>68</v>
      </c>
      <c r="K6" s="86">
        <v>4.7547169811320753</v>
      </c>
      <c r="M6" s="32" t="s">
        <v>81</v>
      </c>
      <c r="N6" s="81">
        <f>SUM(G6:G8)</f>
        <v>18.8883222845487</v>
      </c>
      <c r="P6" t="s">
        <v>81</v>
      </c>
      <c r="Q6" t="s">
        <v>90</v>
      </c>
      <c r="R6" t="s">
        <v>93</v>
      </c>
      <c r="S6" t="s">
        <v>94</v>
      </c>
      <c r="T6" t="s">
        <v>95</v>
      </c>
      <c r="U6" t="s">
        <v>96</v>
      </c>
    </row>
    <row r="7" spans="2:22" x14ac:dyDescent="0.3">
      <c r="B7" s="20" t="s">
        <v>39</v>
      </c>
      <c r="C7" s="27">
        <v>3084</v>
      </c>
      <c r="D7" s="27">
        <v>1585</v>
      </c>
      <c r="E7" s="27">
        <v>1499</v>
      </c>
      <c r="F7" s="28">
        <f t="shared" si="0"/>
        <v>945.74132492113563</v>
      </c>
      <c r="G7" s="80">
        <f t="shared" si="1"/>
        <v>6.2906680265170838</v>
      </c>
      <c r="J7" s="57" t="s">
        <v>75</v>
      </c>
      <c r="K7" s="86">
        <v>19.740948495665478</v>
      </c>
      <c r="M7" s="68" t="s">
        <v>14</v>
      </c>
      <c r="N7" s="86">
        <v>6.833248342682305</v>
      </c>
      <c r="P7" s="179">
        <f>SUM(C5:C8)</f>
        <v>9861</v>
      </c>
      <c r="Q7" s="178">
        <f>SUM(C9:C18)</f>
        <v>33940</v>
      </c>
      <c r="R7" s="178">
        <f>SUM(C19:C22)</f>
        <v>5824</v>
      </c>
      <c r="S7">
        <f>P7/Q7*100</f>
        <v>29.054213317619325</v>
      </c>
      <c r="T7">
        <f>R7/Q7*100</f>
        <v>17.159693576900413</v>
      </c>
      <c r="U7" s="179">
        <f>P7+R7</f>
        <v>15685</v>
      </c>
      <c r="V7">
        <f>U7/Q7*100</f>
        <v>46.213906894519738</v>
      </c>
    </row>
    <row r="8" spans="2:22" x14ac:dyDescent="0.3">
      <c r="B8" s="20" t="s">
        <v>40</v>
      </c>
      <c r="C8" s="27">
        <v>3244</v>
      </c>
      <c r="D8" s="27">
        <v>1667</v>
      </c>
      <c r="E8" s="27">
        <v>1577</v>
      </c>
      <c r="F8" s="28">
        <f t="shared" si="0"/>
        <v>946.01079784043191</v>
      </c>
      <c r="G8" s="80">
        <f t="shared" si="1"/>
        <v>6.6170321264660883</v>
      </c>
      <c r="J8" s="40" t="s">
        <v>77</v>
      </c>
      <c r="K8" s="86">
        <v>57.244263131055583</v>
      </c>
      <c r="M8" s="68" t="s">
        <v>15</v>
      </c>
      <c r="N8" s="86">
        <v>6.976032636409994</v>
      </c>
    </row>
    <row r="9" spans="2:22" ht="15" thickBot="1" x14ac:dyDescent="0.35">
      <c r="B9" s="20" t="s">
        <v>41</v>
      </c>
      <c r="C9" s="27">
        <v>3350</v>
      </c>
      <c r="D9" s="27">
        <v>1722</v>
      </c>
      <c r="E9" s="27">
        <v>1628</v>
      </c>
      <c r="F9" s="28">
        <f t="shared" si="0"/>
        <v>945.41231126596983</v>
      </c>
      <c r="G9" s="80">
        <f t="shared" si="1"/>
        <v>6.833248342682305</v>
      </c>
      <c r="J9" s="36" t="s">
        <v>30</v>
      </c>
      <c r="K9" s="84">
        <v>17.03212646608873</v>
      </c>
      <c r="M9" s="68" t="s">
        <v>16</v>
      </c>
      <c r="N9" s="86">
        <v>7.3839877613462512</v>
      </c>
    </row>
    <row r="10" spans="2:22" x14ac:dyDescent="0.3">
      <c r="B10" s="20" t="s">
        <v>42</v>
      </c>
      <c r="C10" s="27">
        <v>3420</v>
      </c>
      <c r="D10" s="27">
        <v>1764</v>
      </c>
      <c r="E10" s="27">
        <v>1656</v>
      </c>
      <c r="F10" s="28">
        <f t="shared" si="0"/>
        <v>938.77551020408168</v>
      </c>
      <c r="G10" s="80">
        <f t="shared" si="1"/>
        <v>6.976032636409994</v>
      </c>
      <c r="M10" s="68" t="s">
        <v>17</v>
      </c>
      <c r="N10" s="86">
        <v>7.7531871494135647</v>
      </c>
    </row>
    <row r="11" spans="2:22" ht="15" thickBot="1" x14ac:dyDescent="0.35">
      <c r="B11" s="20" t="s">
        <v>43</v>
      </c>
      <c r="C11" s="27">
        <v>3620</v>
      </c>
      <c r="D11" s="27">
        <v>1859</v>
      </c>
      <c r="E11" s="27">
        <v>1762</v>
      </c>
      <c r="F11" s="28">
        <f t="shared" si="0"/>
        <v>947.82140935987093</v>
      </c>
      <c r="G11" s="80">
        <f t="shared" si="1"/>
        <v>7.3839877613462512</v>
      </c>
      <c r="K11">
        <v>2036</v>
      </c>
      <c r="M11" s="68" t="s">
        <v>18</v>
      </c>
      <c r="N11" s="86">
        <v>7.9836817950025489</v>
      </c>
    </row>
    <row r="12" spans="2:22" x14ac:dyDescent="0.3">
      <c r="B12" s="20" t="s">
        <v>44</v>
      </c>
      <c r="C12" s="27">
        <v>3801</v>
      </c>
      <c r="D12" s="27">
        <v>1934</v>
      </c>
      <c r="E12" s="27">
        <v>1867</v>
      </c>
      <c r="F12" s="28">
        <f t="shared" si="0"/>
        <v>965.35677352637015</v>
      </c>
      <c r="G12" s="80">
        <f t="shared" si="1"/>
        <v>7.7531871494135647</v>
      </c>
      <c r="J12" s="54" t="s">
        <v>37</v>
      </c>
      <c r="K12" s="55">
        <v>1.2259051504334524</v>
      </c>
      <c r="M12" s="68" t="s">
        <v>19</v>
      </c>
      <c r="N12" s="86">
        <v>7.6124426313105564</v>
      </c>
    </row>
    <row r="13" spans="2:22" x14ac:dyDescent="0.3">
      <c r="B13" s="20" t="s">
        <v>45</v>
      </c>
      <c r="C13" s="27">
        <v>3914</v>
      </c>
      <c r="D13" s="27">
        <v>1971</v>
      </c>
      <c r="E13" s="27">
        <v>1943</v>
      </c>
      <c r="F13" s="28">
        <f t="shared" si="0"/>
        <v>985.79401319127351</v>
      </c>
      <c r="G13" s="80">
        <f t="shared" si="1"/>
        <v>7.9836817950025489</v>
      </c>
      <c r="J13" s="40" t="s">
        <v>68</v>
      </c>
      <c r="K13" s="56">
        <v>4.7547169811320753</v>
      </c>
      <c r="M13" s="68" t="s">
        <v>20</v>
      </c>
      <c r="N13" s="86">
        <v>7.1514533401325853</v>
      </c>
    </row>
    <row r="14" spans="2:22" x14ac:dyDescent="0.3">
      <c r="B14" s="20" t="s">
        <v>46</v>
      </c>
      <c r="C14" s="27">
        <v>3732</v>
      </c>
      <c r="D14" s="27">
        <v>1853</v>
      </c>
      <c r="E14" s="27">
        <v>1879</v>
      </c>
      <c r="F14" s="28">
        <f t="shared" si="0"/>
        <v>1014.0313005936318</v>
      </c>
      <c r="G14" s="80">
        <f t="shared" si="1"/>
        <v>7.6124426313105564</v>
      </c>
      <c r="J14" s="57" t="s">
        <v>75</v>
      </c>
      <c r="K14" s="56">
        <v>19.740948495665478</v>
      </c>
      <c r="M14" s="68" t="s">
        <v>21</v>
      </c>
      <c r="N14" s="86">
        <v>6.5578786333503309</v>
      </c>
    </row>
    <row r="15" spans="2:22" ht="15" thickBot="1" x14ac:dyDescent="0.35">
      <c r="B15" s="20" t="s">
        <v>47</v>
      </c>
      <c r="C15" s="27">
        <v>3506</v>
      </c>
      <c r="D15" s="27">
        <v>1714</v>
      </c>
      <c r="E15" s="27">
        <v>1791</v>
      </c>
      <c r="F15" s="28">
        <f t="shared" si="0"/>
        <v>1044.9241540256708</v>
      </c>
      <c r="G15" s="80">
        <f t="shared" si="1"/>
        <v>7.1514533401325853</v>
      </c>
      <c r="J15" s="40" t="s">
        <v>77</v>
      </c>
      <c r="K15" s="56">
        <v>57.244263131055583</v>
      </c>
      <c r="M15" s="70" t="s">
        <v>22</v>
      </c>
      <c r="N15" s="86">
        <v>5.8255991840897501</v>
      </c>
    </row>
    <row r="16" spans="2:22" ht="15" thickBot="1" x14ac:dyDescent="0.35">
      <c r="B16" s="20" t="s">
        <v>48</v>
      </c>
      <c r="C16" s="27">
        <v>3215</v>
      </c>
      <c r="D16" s="27">
        <v>1565</v>
      </c>
      <c r="E16" s="27">
        <v>1650</v>
      </c>
      <c r="F16" s="28">
        <f t="shared" si="0"/>
        <v>1054.3130990415334</v>
      </c>
      <c r="G16" s="80">
        <f t="shared" si="1"/>
        <v>6.5578786333503309</v>
      </c>
      <c r="J16" s="36" t="s">
        <v>30</v>
      </c>
      <c r="K16" s="58">
        <v>17.03212646608873</v>
      </c>
      <c r="M16" s="83" t="s">
        <v>30</v>
      </c>
      <c r="N16" s="84">
        <f>SUM(G18:G22)</f>
        <v>17.032126466088734</v>
      </c>
    </row>
    <row r="17" spans="2:13" ht="15" thickBot="1" x14ac:dyDescent="0.35">
      <c r="B17" s="20" t="s">
        <v>49</v>
      </c>
      <c r="C17" s="27">
        <v>2856</v>
      </c>
      <c r="D17" s="27">
        <v>1388</v>
      </c>
      <c r="E17" s="27">
        <v>1468</v>
      </c>
      <c r="F17" s="28">
        <f t="shared" si="0"/>
        <v>1057.6368876080692</v>
      </c>
      <c r="G17" s="80">
        <f t="shared" si="1"/>
        <v>5.8255991840897501</v>
      </c>
    </row>
    <row r="18" spans="2:13" x14ac:dyDescent="0.3">
      <c r="B18" s="20" t="s">
        <v>50</v>
      </c>
      <c r="C18" s="27">
        <v>2526</v>
      </c>
      <c r="D18" s="27">
        <v>1229</v>
      </c>
      <c r="E18" s="27">
        <v>1297</v>
      </c>
      <c r="F18" s="28">
        <f t="shared" si="0"/>
        <v>1055.3295362082995</v>
      </c>
      <c r="G18" s="80">
        <f t="shared" si="1"/>
        <v>5.1524732279449257</v>
      </c>
      <c r="J18" s="61" t="s">
        <v>0</v>
      </c>
      <c r="K18" s="59">
        <v>2036</v>
      </c>
    </row>
    <row r="19" spans="2:13" x14ac:dyDescent="0.3">
      <c r="B19" s="20" t="s">
        <v>51</v>
      </c>
      <c r="C19" s="27">
        <v>2112</v>
      </c>
      <c r="D19" s="27">
        <v>1036</v>
      </c>
      <c r="E19" s="27">
        <v>1076</v>
      </c>
      <c r="F19" s="28">
        <f t="shared" si="0"/>
        <v>1038.6100386100386</v>
      </c>
      <c r="G19" s="80">
        <f t="shared" si="1"/>
        <v>4.3080061193268735</v>
      </c>
      <c r="J19" s="40" t="s">
        <v>27</v>
      </c>
      <c r="K19" s="56">
        <v>5.9806221315655277</v>
      </c>
    </row>
    <row r="20" spans="2:13" x14ac:dyDescent="0.3">
      <c r="B20" s="20" t="s">
        <v>52</v>
      </c>
      <c r="C20" s="27">
        <v>1598</v>
      </c>
      <c r="D20" s="28">
        <v>783</v>
      </c>
      <c r="E20" s="28">
        <v>815</v>
      </c>
      <c r="F20" s="28">
        <f t="shared" si="0"/>
        <v>1040.8684546615582</v>
      </c>
      <c r="G20" s="80">
        <f t="shared" si="1"/>
        <v>3.2595614482406936</v>
      </c>
      <c r="J20" s="40" t="s">
        <v>69</v>
      </c>
      <c r="K20" s="56">
        <v>12.907700152983173</v>
      </c>
      <c r="M20">
        <f>(SUM(E18:E22)/E23)*100</f>
        <v>17.726585794224565</v>
      </c>
    </row>
    <row r="21" spans="2:13" x14ac:dyDescent="0.3">
      <c r="B21" s="20" t="s">
        <v>53</v>
      </c>
      <c r="C21" s="27">
        <v>1068</v>
      </c>
      <c r="D21" s="28">
        <v>508</v>
      </c>
      <c r="E21" s="28">
        <v>560</v>
      </c>
      <c r="F21" s="28">
        <f t="shared" si="0"/>
        <v>1102.3622047244096</v>
      </c>
      <c r="G21" s="80">
        <f>(C21/49025)*100</f>
        <v>2.1784803671596125</v>
      </c>
      <c r="J21" s="40" t="s">
        <v>80</v>
      </c>
      <c r="K21" s="56">
        <v>64.0775114737379</v>
      </c>
    </row>
    <row r="22" spans="2:13" ht="15" thickBot="1" x14ac:dyDescent="0.35">
      <c r="B22" s="20" t="s">
        <v>54</v>
      </c>
      <c r="C22" s="27">
        <v>1046</v>
      </c>
      <c r="D22" s="28">
        <v>455</v>
      </c>
      <c r="E22" s="28">
        <v>592</v>
      </c>
      <c r="F22" s="28">
        <f t="shared" si="0"/>
        <v>1301.0989010989013</v>
      </c>
      <c r="G22" s="80">
        <f t="shared" si="1"/>
        <v>2.1336053034166245</v>
      </c>
      <c r="J22" s="36" t="s">
        <v>30</v>
      </c>
      <c r="K22" s="58">
        <v>17.03212646608873</v>
      </c>
    </row>
    <row r="23" spans="2:13" ht="15" x14ac:dyDescent="0.3">
      <c r="B23" s="21" t="s">
        <v>55</v>
      </c>
      <c r="C23" s="29">
        <v>49025</v>
      </c>
      <c r="D23" s="29">
        <v>24542</v>
      </c>
      <c r="E23" s="29">
        <v>24483</v>
      </c>
      <c r="F23" s="28">
        <f t="shared" si="0"/>
        <v>997.59595794963741</v>
      </c>
      <c r="G23" s="80">
        <f t="shared" si="1"/>
        <v>100</v>
      </c>
    </row>
    <row r="25" spans="2:13" x14ac:dyDescent="0.3">
      <c r="J25" t="s">
        <v>81</v>
      </c>
      <c r="K25" s="178">
        <f>SUM(C6:C8)</f>
        <v>9260</v>
      </c>
      <c r="L25" s="178">
        <f t="shared" ref="L25:M25" si="2">SUM(D6:D8)</f>
        <v>4761</v>
      </c>
      <c r="M25" s="178">
        <f t="shared" si="2"/>
        <v>4500</v>
      </c>
    </row>
    <row r="26" spans="2:13" x14ac:dyDescent="0.3">
      <c r="J26" t="s">
        <v>108</v>
      </c>
      <c r="K26" s="178">
        <f>SUM(C9:C14)</f>
        <v>21837</v>
      </c>
      <c r="L26" s="178">
        <f t="shared" ref="L26:M26" si="3">SUM(D9:D14)</f>
        <v>11103</v>
      </c>
      <c r="M26" s="178">
        <f t="shared" si="3"/>
        <v>10735</v>
      </c>
    </row>
    <row r="27" spans="2:13" x14ac:dyDescent="0.3">
      <c r="J27" t="s">
        <v>104</v>
      </c>
      <c r="K27" s="178">
        <f>SUM(C15:C22)</f>
        <v>17927</v>
      </c>
      <c r="L27" s="178">
        <f t="shared" ref="L27:M27" si="4">SUM(D15:D22)</f>
        <v>8678</v>
      </c>
      <c r="M27" s="178">
        <f t="shared" si="4"/>
        <v>9249</v>
      </c>
    </row>
  </sheetData>
  <mergeCells count="2">
    <mergeCell ref="B2:B3"/>
    <mergeCell ref="B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compiled</vt:lpstr>
      <vt:lpstr>worksheet</vt:lpstr>
      <vt:lpstr>1951</vt:lpstr>
      <vt:lpstr>1961</vt:lpstr>
      <vt:lpstr>1971</vt:lpstr>
      <vt:lpstr>1981</vt:lpstr>
      <vt:lpstr>1991</vt:lpstr>
      <vt:lpstr>2001</vt:lpstr>
      <vt:lpstr>2011</vt:lpstr>
      <vt:lpstr>2021</vt:lpstr>
      <vt:lpstr>2026</vt:lpstr>
      <vt:lpstr>2031</vt:lpstr>
      <vt:lpstr>2036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CYSD .</dc:creator>
  <cp:lastModifiedBy>CYSD .</cp:lastModifiedBy>
  <dcterms:created xsi:type="dcterms:W3CDTF">2015-06-05T18:17:20Z</dcterms:created>
  <dcterms:modified xsi:type="dcterms:W3CDTF">2026-05-04T12:43:51Z</dcterms:modified>
</cp:coreProperties>
</file>